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ub/Code/MilanoWaterProject/"/>
    </mc:Choice>
  </mc:AlternateContent>
  <xr:revisionPtr revIDLastSave="0" documentId="13_ncr:1_{5218829C-E4E5-8943-B867-6D442EA74E25}" xr6:coauthVersionLast="47" xr6:coauthVersionMax="47" xr10:uidLastSave="{00000000-0000-0000-0000-000000000000}"/>
  <bookViews>
    <workbookView xWindow="2820" yWindow="500" windowWidth="48380" windowHeight="19020" activeTab="5" xr2:uid="{60223CC9-929C-2C40-9DF4-4D5E66E85102}"/>
  </bookViews>
  <sheets>
    <sheet name="Original" sheetId="1" r:id="rId1"/>
    <sheet name="Previous2023" sheetId="3" r:id="rId2"/>
    <sheet name="early2023" sheetId="11" r:id="rId3"/>
    <sheet name="current2023" sheetId="13" r:id="rId4"/>
    <sheet name="future2023" sheetId="16" r:id="rId5"/>
    <sheet name="Current ICD" sheetId="17" r:id="rId6"/>
    <sheet name="Log Data" sheetId="15" r:id="rId7"/>
    <sheet name="AlarmTable" sheetId="4" r:id="rId8"/>
    <sheet name="TestStruct" sheetId="5" r:id="rId9"/>
    <sheet name="Cal Data" sheetId="12" r:id="rId10"/>
    <sheet name="Calculations" sheetId="6" r:id="rId11"/>
    <sheet name="Sheet2" sheetId="7" r:id="rId12"/>
    <sheet name="FlowCalc" sheetId="8" r:id="rId13"/>
    <sheet name="PressCalc" sheetId="9" r:id="rId14"/>
    <sheet name="PSI" sheetId="19" r:id="rId15"/>
    <sheet name="LogGui" sheetId="20" r:id="rId16"/>
  </sheets>
  <definedNames>
    <definedName name="_xlnm._FilterDatabase" localSheetId="12" hidden="1">FlowCalc!$A$79:$AG$567</definedName>
    <definedName name="_xlnm._FilterDatabase" localSheetId="11" hidden="1">Sheet2!$A$1:$B$142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9" l="1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26" i="8"/>
  <c r="O26" i="8" s="1"/>
  <c r="J53" i="8"/>
  <c r="J54" i="8" s="1"/>
  <c r="J55" i="8" s="1"/>
  <c r="J56" i="8" s="1"/>
  <c r="J57" i="8" s="1"/>
  <c r="J60" i="8" s="1"/>
  <c r="G46" i="8"/>
  <c r="E46" i="8"/>
  <c r="A44" i="8"/>
  <c r="B44" i="8" s="1"/>
  <c r="C44" i="8" s="1"/>
  <c r="D44" i="8" s="1"/>
  <c r="E38" i="8"/>
  <c r="F38" i="8" s="1"/>
  <c r="C40" i="8"/>
  <c r="E37" i="8"/>
  <c r="F37" i="8" s="1"/>
  <c r="P8" i="12"/>
  <c r="P9" i="12"/>
  <c r="P10" i="12"/>
  <c r="P12" i="12"/>
  <c r="P13" i="12"/>
  <c r="P14" i="12"/>
  <c r="P15" i="12"/>
  <c r="P16" i="12"/>
  <c r="P17" i="12"/>
  <c r="P18" i="12"/>
  <c r="P11" i="12"/>
  <c r="I4" i="19" l="1"/>
  <c r="E2" i="19" s="1"/>
  <c r="O27" i="8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O40" i="8" s="1"/>
  <c r="O41" i="8" s="1"/>
  <c r="O42" i="8" s="1"/>
  <c r="O43" i="8" s="1"/>
  <c r="O44" i="8" s="1"/>
  <c r="O45" i="8" s="1"/>
  <c r="O46" i="8" s="1"/>
  <c r="O47" i="8" s="1"/>
  <c r="O48" i="8" s="1"/>
  <c r="O49" i="8" s="1"/>
  <c r="O50" i="8" s="1"/>
  <c r="O51" i="8" s="1"/>
  <c r="O52" i="8" s="1"/>
  <c r="O53" i="8" s="1"/>
  <c r="O54" i="8" s="1"/>
  <c r="O55" i="8" s="1"/>
  <c r="O56" i="8" s="1"/>
  <c r="O57" i="8" s="1"/>
  <c r="O58" i="8" s="1"/>
  <c r="O59" i="8" s="1"/>
  <c r="O60" i="8" s="1"/>
  <c r="O61" i="8" s="1"/>
  <c r="O62" i="8" s="1"/>
  <c r="E47" i="8"/>
  <c r="E48" i="8" s="1"/>
  <c r="E44" i="8"/>
  <c r="O11" i="9"/>
  <c r="O12" i="9"/>
  <c r="X11" i="9"/>
  <c r="V11" i="9"/>
  <c r="V12" i="9"/>
  <c r="X12" i="9" s="1"/>
  <c r="T11" i="9"/>
  <c r="T12" i="9"/>
  <c r="O10" i="9"/>
  <c r="O9" i="9"/>
  <c r="O16" i="9"/>
  <c r="Q33" i="9" s="1"/>
  <c r="O15" i="9"/>
  <c r="Q32" i="9" s="1"/>
  <c r="O14" i="9"/>
  <c r="Q31" i="9" s="1"/>
  <c r="O13" i="9"/>
  <c r="Q30" i="9" s="1"/>
  <c r="X22" i="9"/>
  <c r="V22" i="9"/>
  <c r="W22" i="9"/>
  <c r="U22" i="9"/>
  <c r="T16" i="9"/>
  <c r="V16" i="9" s="1"/>
  <c r="X16" i="9" s="1"/>
  <c r="T15" i="9"/>
  <c r="V15" i="9" s="1"/>
  <c r="X15" i="9" s="1"/>
  <c r="V14" i="9"/>
  <c r="X14" i="9" s="1"/>
  <c r="T14" i="9"/>
  <c r="Z13" i="9"/>
  <c r="V13" i="9"/>
  <c r="X13" i="9" s="1"/>
  <c r="T13" i="9"/>
  <c r="Z10" i="9"/>
  <c r="T10" i="9"/>
  <c r="V10" i="9" s="1"/>
  <c r="X10" i="9" s="1"/>
  <c r="Z9" i="9"/>
  <c r="T9" i="9"/>
  <c r="V9" i="9" s="1"/>
  <c r="X9" i="9" s="1"/>
  <c r="J20" i="9"/>
  <c r="D17" i="9" s="1"/>
  <c r="C15" i="9"/>
  <c r="B17" i="9" s="1"/>
  <c r="B5" i="9"/>
  <c r="R27" i="8"/>
  <c r="S27" i="8" s="1"/>
  <c r="X27" i="8"/>
  <c r="X26" i="8"/>
  <c r="R26" i="8"/>
  <c r="S26" i="8" s="1"/>
  <c r="N28" i="8"/>
  <c r="X28" i="8" s="1"/>
  <c r="N29" i="8"/>
  <c r="X29" i="8" s="1"/>
  <c r="N30" i="8"/>
  <c r="X30" i="8" s="1"/>
  <c r="N31" i="8"/>
  <c r="X31" i="8" s="1"/>
  <c r="N32" i="8"/>
  <c r="X32" i="8" s="1"/>
  <c r="N33" i="8"/>
  <c r="X33" i="8" s="1"/>
  <c r="N34" i="8"/>
  <c r="X34" i="8" s="1"/>
  <c r="N35" i="8"/>
  <c r="X35" i="8" s="1"/>
  <c r="N36" i="8"/>
  <c r="X36" i="8" s="1"/>
  <c r="N37" i="8"/>
  <c r="X37" i="8" s="1"/>
  <c r="N38" i="8"/>
  <c r="X38" i="8" s="1"/>
  <c r="N39" i="8"/>
  <c r="X39" i="8" s="1"/>
  <c r="N40" i="8"/>
  <c r="X40" i="8" s="1"/>
  <c r="N41" i="8"/>
  <c r="X41" i="8" s="1"/>
  <c r="N42" i="8"/>
  <c r="X42" i="8" s="1"/>
  <c r="N43" i="8"/>
  <c r="X43" i="8" s="1"/>
  <c r="N44" i="8"/>
  <c r="X44" i="8" s="1"/>
  <c r="N45" i="8"/>
  <c r="X45" i="8" s="1"/>
  <c r="N46" i="8"/>
  <c r="X46" i="8" s="1"/>
  <c r="N47" i="8"/>
  <c r="X47" i="8" s="1"/>
  <c r="N48" i="8"/>
  <c r="X48" i="8" s="1"/>
  <c r="N49" i="8"/>
  <c r="X49" i="8" s="1"/>
  <c r="N50" i="8"/>
  <c r="X50" i="8" s="1"/>
  <c r="N51" i="8"/>
  <c r="X51" i="8" s="1"/>
  <c r="N52" i="8"/>
  <c r="X52" i="8" s="1"/>
  <c r="N53" i="8"/>
  <c r="X53" i="8" s="1"/>
  <c r="N54" i="8"/>
  <c r="X54" i="8" s="1"/>
  <c r="N55" i="8"/>
  <c r="X55" i="8" s="1"/>
  <c r="N56" i="8"/>
  <c r="X56" i="8" s="1"/>
  <c r="N57" i="8"/>
  <c r="X57" i="8" s="1"/>
  <c r="N58" i="8"/>
  <c r="X58" i="8" s="1"/>
  <c r="N59" i="8"/>
  <c r="X59" i="8" s="1"/>
  <c r="N60" i="8"/>
  <c r="X60" i="8" s="1"/>
  <c r="N61" i="8"/>
  <c r="X61" i="8" s="1"/>
  <c r="N62" i="8"/>
  <c r="X62" i="8" s="1"/>
  <c r="L28" i="8"/>
  <c r="L29" i="8"/>
  <c r="L30" i="8"/>
  <c r="L31" i="8"/>
  <c r="Q31" i="8" s="1"/>
  <c r="L32" i="8"/>
  <c r="L33" i="8"/>
  <c r="L34" i="8"/>
  <c r="L35" i="8"/>
  <c r="L36" i="8"/>
  <c r="L37" i="8"/>
  <c r="Q37" i="8" s="1"/>
  <c r="L38" i="8"/>
  <c r="Q38" i="8" s="1"/>
  <c r="L39" i="8"/>
  <c r="Q39" i="8" s="1"/>
  <c r="L40" i="8"/>
  <c r="L41" i="8"/>
  <c r="Q41" i="8" s="1"/>
  <c r="L42" i="8"/>
  <c r="L43" i="8"/>
  <c r="L44" i="8"/>
  <c r="L45" i="8"/>
  <c r="Q45" i="8" s="1"/>
  <c r="L46" i="8"/>
  <c r="Q46" i="8" s="1"/>
  <c r="L47" i="8"/>
  <c r="Q47" i="8" s="1"/>
  <c r="L48" i="8"/>
  <c r="L49" i="8"/>
  <c r="Q49" i="8" s="1"/>
  <c r="L50" i="8"/>
  <c r="L51" i="8"/>
  <c r="L52" i="8"/>
  <c r="L53" i="8"/>
  <c r="Q53" i="8" s="1"/>
  <c r="L54" i="8"/>
  <c r="Q54" i="8" s="1"/>
  <c r="L55" i="8"/>
  <c r="Q55" i="8" s="1"/>
  <c r="L56" i="8"/>
  <c r="L57" i="8"/>
  <c r="Q57" i="8" s="1"/>
  <c r="L58" i="8"/>
  <c r="L59" i="8"/>
  <c r="L60" i="8"/>
  <c r="L61" i="8"/>
  <c r="Q61" i="8" s="1"/>
  <c r="L62" i="8"/>
  <c r="Q62" i="8" s="1"/>
  <c r="N3" i="8"/>
  <c r="X3" i="8" s="1"/>
  <c r="N4" i="8"/>
  <c r="X4" i="8" s="1"/>
  <c r="N5" i="8"/>
  <c r="X5" i="8" s="1"/>
  <c r="N6" i="8"/>
  <c r="X6" i="8" s="1"/>
  <c r="N7" i="8"/>
  <c r="X7" i="8" s="1"/>
  <c r="N8" i="8"/>
  <c r="X8" i="8" s="1"/>
  <c r="N9" i="8"/>
  <c r="X9" i="8" s="1"/>
  <c r="N10" i="8"/>
  <c r="X10" i="8" s="1"/>
  <c r="N11" i="8"/>
  <c r="X11" i="8" s="1"/>
  <c r="N12" i="8"/>
  <c r="X12" i="8" s="1"/>
  <c r="N13" i="8"/>
  <c r="X13" i="8" s="1"/>
  <c r="N14" i="8"/>
  <c r="X14" i="8" s="1"/>
  <c r="N15" i="8"/>
  <c r="X15" i="8" s="1"/>
  <c r="N16" i="8"/>
  <c r="X16" i="8" s="1"/>
  <c r="N17" i="8"/>
  <c r="X17" i="8" s="1"/>
  <c r="N18" i="8"/>
  <c r="X18" i="8" s="1"/>
  <c r="N19" i="8"/>
  <c r="X19" i="8" s="1"/>
  <c r="N20" i="8"/>
  <c r="X20" i="8" s="1"/>
  <c r="N21" i="8"/>
  <c r="X21" i="8" s="1"/>
  <c r="N22" i="8"/>
  <c r="X22" i="8" s="1"/>
  <c r="N23" i="8"/>
  <c r="X23" i="8" s="1"/>
  <c r="N24" i="8"/>
  <c r="X24" i="8" s="1"/>
  <c r="N25" i="8"/>
  <c r="X25" i="8" s="1"/>
  <c r="N2" i="8"/>
  <c r="X2" i="8" s="1"/>
  <c r="L3" i="8"/>
  <c r="R3" i="8" s="1"/>
  <c r="S3" i="8" s="1"/>
  <c r="T3" i="8" s="1"/>
  <c r="U3" i="8" s="1"/>
  <c r="L4" i="8"/>
  <c r="R4" i="8" s="1"/>
  <c r="S4" i="8" s="1"/>
  <c r="T4" i="8" s="1"/>
  <c r="U4" i="8" s="1"/>
  <c r="L5" i="8"/>
  <c r="L6" i="8"/>
  <c r="L7" i="8"/>
  <c r="L8" i="8"/>
  <c r="L9" i="8"/>
  <c r="L10" i="8"/>
  <c r="L11" i="8"/>
  <c r="L12" i="8"/>
  <c r="R12" i="8" s="1"/>
  <c r="S12" i="8" s="1"/>
  <c r="T12" i="8" s="1"/>
  <c r="U12" i="8" s="1"/>
  <c r="L13" i="8"/>
  <c r="L14" i="8"/>
  <c r="L15" i="8"/>
  <c r="L16" i="8"/>
  <c r="L17" i="8"/>
  <c r="R17" i="8" s="1"/>
  <c r="S17" i="8" s="1"/>
  <c r="T17" i="8" s="1"/>
  <c r="U17" i="8" s="1"/>
  <c r="L18" i="8"/>
  <c r="L19" i="8"/>
  <c r="R19" i="8" s="1"/>
  <c r="S19" i="8" s="1"/>
  <c r="T19" i="8" s="1"/>
  <c r="U19" i="8" s="1"/>
  <c r="L20" i="8"/>
  <c r="R20" i="8" s="1"/>
  <c r="S20" i="8" s="1"/>
  <c r="T20" i="8" s="1"/>
  <c r="U20" i="8" s="1"/>
  <c r="L21" i="8"/>
  <c r="L22" i="8"/>
  <c r="R22" i="8" s="1"/>
  <c r="S22" i="8" s="1"/>
  <c r="T22" i="8" s="1"/>
  <c r="U22" i="8" s="1"/>
  <c r="L23" i="8"/>
  <c r="L24" i="8"/>
  <c r="R24" i="8" s="1"/>
  <c r="S24" i="8" s="1"/>
  <c r="T24" i="8" s="1"/>
  <c r="U24" i="8" s="1"/>
  <c r="L25" i="8"/>
  <c r="R25" i="8" s="1"/>
  <c r="S25" i="8" s="1"/>
  <c r="T25" i="8" s="1"/>
  <c r="U25" i="8" s="1"/>
  <c r="L2" i="8"/>
  <c r="W79" i="7"/>
  <c r="E4" i="19" l="1"/>
  <c r="E3" i="19"/>
  <c r="Q58" i="8"/>
  <c r="Q50" i="8"/>
  <c r="Q42" i="8"/>
  <c r="R34" i="8"/>
  <c r="S34" i="8" s="1"/>
  <c r="Q33" i="8"/>
  <c r="Q56" i="8"/>
  <c r="Q48" i="8"/>
  <c r="Q40" i="8"/>
  <c r="Q30" i="8"/>
  <c r="Q60" i="8"/>
  <c r="Q52" i="8"/>
  <c r="Q44" i="8"/>
  <c r="Q36" i="8"/>
  <c r="Q28" i="8"/>
  <c r="T34" i="8"/>
  <c r="U34" i="8" s="1"/>
  <c r="W34" i="8"/>
  <c r="Q32" i="8"/>
  <c r="Q29" i="8"/>
  <c r="Q59" i="8"/>
  <c r="Q51" i="8"/>
  <c r="Q43" i="8"/>
  <c r="Q35" i="8"/>
  <c r="R58" i="8"/>
  <c r="S58" i="8" s="1"/>
  <c r="R50" i="8"/>
  <c r="S50" i="8" s="1"/>
  <c r="R42" i="8"/>
  <c r="S42" i="8" s="1"/>
  <c r="R62" i="8"/>
  <c r="S62" i="8" s="1"/>
  <c r="T62" i="8" s="1"/>
  <c r="U62" i="8" s="1"/>
  <c r="R54" i="8"/>
  <c r="S54" i="8" s="1"/>
  <c r="T54" i="8" s="1"/>
  <c r="R46" i="8"/>
  <c r="S46" i="8" s="1"/>
  <c r="T46" i="8" s="1"/>
  <c r="R38" i="8"/>
  <c r="S38" i="8" s="1"/>
  <c r="T38" i="8" s="1"/>
  <c r="U38" i="8" s="1"/>
  <c r="R30" i="8"/>
  <c r="S30" i="8" s="1"/>
  <c r="T30" i="8" s="1"/>
  <c r="U30" i="8" s="1"/>
  <c r="Q34" i="8"/>
  <c r="R59" i="8"/>
  <c r="S59" i="8" s="1"/>
  <c r="T59" i="8" s="1"/>
  <c r="U59" i="8" s="1"/>
  <c r="R56" i="8"/>
  <c r="S56" i="8" s="1"/>
  <c r="R51" i="8"/>
  <c r="S51" i="8" s="1"/>
  <c r="T51" i="8" s="1"/>
  <c r="U51" i="8" s="1"/>
  <c r="R48" i="8"/>
  <c r="S48" i="8" s="1"/>
  <c r="R43" i="8"/>
  <c r="S43" i="8" s="1"/>
  <c r="T43" i="8" s="1"/>
  <c r="U43" i="8" s="1"/>
  <c r="R40" i="8"/>
  <c r="S40" i="8" s="1"/>
  <c r="R35" i="8"/>
  <c r="S35" i="8" s="1"/>
  <c r="T35" i="8" s="1"/>
  <c r="U35" i="8" s="1"/>
  <c r="R32" i="8"/>
  <c r="S32" i="8" s="1"/>
  <c r="R61" i="8"/>
  <c r="S61" i="8" s="1"/>
  <c r="T61" i="8" s="1"/>
  <c r="R53" i="8"/>
  <c r="S53" i="8" s="1"/>
  <c r="W53" i="8" s="1"/>
  <c r="R45" i="8"/>
  <c r="S45" i="8" s="1"/>
  <c r="T45" i="8" s="1"/>
  <c r="R37" i="8"/>
  <c r="S37" i="8" s="1"/>
  <c r="W37" i="8" s="1"/>
  <c r="R29" i="8"/>
  <c r="S29" i="8" s="1"/>
  <c r="W29" i="8" s="1"/>
  <c r="R60" i="8"/>
  <c r="S60" i="8" s="1"/>
  <c r="T60" i="8" s="1"/>
  <c r="R57" i="8"/>
  <c r="S57" i="8" s="1"/>
  <c r="R52" i="8"/>
  <c r="S52" i="8" s="1"/>
  <c r="W52" i="8" s="1"/>
  <c r="R49" i="8"/>
  <c r="S49" i="8" s="1"/>
  <c r="R44" i="8"/>
  <c r="S44" i="8" s="1"/>
  <c r="W44" i="8" s="1"/>
  <c r="R41" i="8"/>
  <c r="S41" i="8" s="1"/>
  <c r="R36" i="8"/>
  <c r="S36" i="8" s="1"/>
  <c r="T36" i="8" s="1"/>
  <c r="R33" i="8"/>
  <c r="S33" i="8" s="1"/>
  <c r="R28" i="8"/>
  <c r="S28" i="8" s="1"/>
  <c r="W28" i="8" s="1"/>
  <c r="F44" i="8"/>
  <c r="G44" i="8" s="1"/>
  <c r="A51" i="8"/>
  <c r="B51" i="8" s="1"/>
  <c r="R55" i="8"/>
  <c r="S55" i="8" s="1"/>
  <c r="R47" i="8"/>
  <c r="S47" i="8" s="1"/>
  <c r="R39" i="8"/>
  <c r="S39" i="8" s="1"/>
  <c r="R31" i="8"/>
  <c r="S31" i="8" s="1"/>
  <c r="Q26" i="8"/>
  <c r="E50" i="8"/>
  <c r="Q27" i="8"/>
  <c r="O30" i="9"/>
  <c r="O33" i="9"/>
  <c r="O32" i="9"/>
  <c r="O31" i="9"/>
  <c r="B19" i="9"/>
  <c r="U54" i="8"/>
  <c r="W61" i="8"/>
  <c r="T53" i="8"/>
  <c r="U46" i="8"/>
  <c r="W60" i="8"/>
  <c r="W54" i="8"/>
  <c r="T27" i="8"/>
  <c r="W27" i="8"/>
  <c r="T26" i="8"/>
  <c r="V26" i="8" s="1"/>
  <c r="W26" i="8"/>
  <c r="R18" i="8"/>
  <c r="S18" i="8" s="1"/>
  <c r="T18" i="8" s="1"/>
  <c r="U18" i="8" s="1"/>
  <c r="R8" i="8"/>
  <c r="S8" i="8" s="1"/>
  <c r="T8" i="8" s="1"/>
  <c r="U8" i="8" s="1"/>
  <c r="R11" i="8"/>
  <c r="S11" i="8" s="1"/>
  <c r="T11" i="8" s="1"/>
  <c r="U11" i="8" s="1"/>
  <c r="R13" i="8"/>
  <c r="S13" i="8" s="1"/>
  <c r="T13" i="8" s="1"/>
  <c r="U13" i="8" s="1"/>
  <c r="R16" i="8"/>
  <c r="S16" i="8" s="1"/>
  <c r="T16" i="8" s="1"/>
  <c r="U16" i="8" s="1"/>
  <c r="R5" i="8"/>
  <c r="S5" i="8" s="1"/>
  <c r="T5" i="8" s="1"/>
  <c r="U5" i="8" s="1"/>
  <c r="R2" i="8"/>
  <c r="S2" i="8" s="1"/>
  <c r="T2" i="8" s="1"/>
  <c r="R23" i="8"/>
  <c r="S23" i="8" s="1"/>
  <c r="T23" i="8" s="1"/>
  <c r="U23" i="8" s="1"/>
  <c r="R14" i="8"/>
  <c r="S14" i="8" s="1"/>
  <c r="T14" i="8" s="1"/>
  <c r="U14" i="8" s="1"/>
  <c r="R7" i="8"/>
  <c r="S7" i="8" s="1"/>
  <c r="T7" i="8" s="1"/>
  <c r="U7" i="8" s="1"/>
  <c r="R10" i="8"/>
  <c r="S10" i="8" s="1"/>
  <c r="T10" i="8" s="1"/>
  <c r="U10" i="8" s="1"/>
  <c r="R21" i="8"/>
  <c r="S21" i="8" s="1"/>
  <c r="T21" i="8" s="1"/>
  <c r="U21" i="8" s="1"/>
  <c r="R9" i="8"/>
  <c r="S9" i="8" s="1"/>
  <c r="T9" i="8" s="1"/>
  <c r="U9" i="8" s="1"/>
  <c r="R6" i="8"/>
  <c r="S6" i="8" s="1"/>
  <c r="T6" i="8" s="1"/>
  <c r="U6" i="8" s="1"/>
  <c r="R15" i="8"/>
  <c r="S15" i="8" s="1"/>
  <c r="T15" i="8" s="1"/>
  <c r="U15" i="8" s="1"/>
  <c r="W20" i="8"/>
  <c r="W12" i="8"/>
  <c r="W19" i="8"/>
  <c r="W24" i="8"/>
  <c r="W18" i="8"/>
  <c r="W22" i="8"/>
  <c r="W17" i="8"/>
  <c r="W4" i="8"/>
  <c r="W25" i="8"/>
  <c r="W3" i="8"/>
  <c r="V114" i="7"/>
  <c r="V115" i="7"/>
  <c r="V116" i="7"/>
  <c r="V117" i="7"/>
  <c r="V118" i="7"/>
  <c r="V119" i="7"/>
  <c r="V120" i="7"/>
  <c r="V121" i="7"/>
  <c r="V113" i="7"/>
  <c r="C96" i="7"/>
  <c r="C93" i="7"/>
  <c r="C91" i="7"/>
  <c r="C88" i="7"/>
  <c r="C85" i="7"/>
  <c r="C82" i="7"/>
  <c r="C79" i="7"/>
  <c r="C76" i="7"/>
  <c r="C73" i="7"/>
  <c r="C70" i="7"/>
  <c r="C67" i="7"/>
  <c r="C64" i="7"/>
  <c r="C61" i="7"/>
  <c r="C58" i="7"/>
  <c r="C55" i="7"/>
  <c r="C52" i="7"/>
  <c r="C49" i="7"/>
  <c r="C46" i="7"/>
  <c r="C43" i="7"/>
  <c r="C40" i="7"/>
  <c r="C37" i="7"/>
  <c r="C34" i="7"/>
  <c r="C31" i="7"/>
  <c r="C28" i="7"/>
  <c r="C25" i="7"/>
  <c r="C22" i="7"/>
  <c r="C19" i="7"/>
  <c r="C16" i="7"/>
  <c r="C13" i="7"/>
  <c r="C10" i="7"/>
  <c r="C7" i="7"/>
  <c r="C4" i="7"/>
  <c r="AB61" i="7"/>
  <c r="AA61" i="7" s="1"/>
  <c r="AB58" i="7"/>
  <c r="AA58" i="7" s="1"/>
  <c r="AB55" i="7"/>
  <c r="AA55" i="7" s="1"/>
  <c r="AB49" i="7"/>
  <c r="AA49" i="7" s="1"/>
  <c r="Z61" i="7"/>
  <c r="AB52" i="7" s="1"/>
  <c r="AC52" i="7" s="1"/>
  <c r="C4" i="6"/>
  <c r="E4" i="6" s="1"/>
  <c r="G4" i="6"/>
  <c r="K4" i="6" s="1"/>
  <c r="L4" i="6" s="1"/>
  <c r="J4" i="6"/>
  <c r="L3" i="6"/>
  <c r="E3" i="6"/>
  <c r="K3" i="6"/>
  <c r="J3" i="6"/>
  <c r="G3" i="6"/>
  <c r="C3" i="6"/>
  <c r="T29" i="8" l="1"/>
  <c r="T37" i="8"/>
  <c r="W36" i="8"/>
  <c r="W35" i="8"/>
  <c r="W30" i="8"/>
  <c r="W38" i="8"/>
  <c r="W46" i="8"/>
  <c r="T28" i="8"/>
  <c r="W43" i="8"/>
  <c r="T42" i="8"/>
  <c r="U42" i="8" s="1"/>
  <c r="W42" i="8"/>
  <c r="W62" i="8"/>
  <c r="W41" i="8"/>
  <c r="T41" i="8"/>
  <c r="U41" i="8" s="1"/>
  <c r="W49" i="8"/>
  <c r="T49" i="8"/>
  <c r="U49" i="8" s="1"/>
  <c r="W32" i="8"/>
  <c r="T32" i="8"/>
  <c r="U32" i="8" s="1"/>
  <c r="W59" i="8"/>
  <c r="T52" i="8"/>
  <c r="W57" i="8"/>
  <c r="T57" i="8"/>
  <c r="U57" i="8" s="1"/>
  <c r="W40" i="8"/>
  <c r="T40" i="8"/>
  <c r="U40" i="8" s="1"/>
  <c r="W51" i="8"/>
  <c r="W11" i="8"/>
  <c r="T44" i="8"/>
  <c r="D51" i="8"/>
  <c r="C51" i="8"/>
  <c r="T58" i="8"/>
  <c r="U58" i="8" s="1"/>
  <c r="W58" i="8"/>
  <c r="W45" i="8"/>
  <c r="W33" i="8"/>
  <c r="T33" i="8"/>
  <c r="U33" i="8" s="1"/>
  <c r="W39" i="8"/>
  <c r="T39" i="8"/>
  <c r="U39" i="8" s="1"/>
  <c r="W47" i="8"/>
  <c r="T47" i="8"/>
  <c r="U47" i="8" s="1"/>
  <c r="W56" i="8"/>
  <c r="T56" i="8"/>
  <c r="U56" i="8" s="1"/>
  <c r="W55" i="8"/>
  <c r="T55" i="8"/>
  <c r="U55" i="8" s="1"/>
  <c r="T50" i="8"/>
  <c r="U50" i="8" s="1"/>
  <c r="W50" i="8"/>
  <c r="V2" i="8"/>
  <c r="V3" i="8" s="1"/>
  <c r="V4" i="8" s="1"/>
  <c r="V5" i="8" s="1"/>
  <c r="V6" i="8" s="1"/>
  <c r="V7" i="8" s="1"/>
  <c r="V8" i="8" s="1"/>
  <c r="V9" i="8" s="1"/>
  <c r="V10" i="8" s="1"/>
  <c r="V11" i="8" s="1"/>
  <c r="V12" i="8" s="1"/>
  <c r="V13" i="8" s="1"/>
  <c r="V14" i="8" s="1"/>
  <c r="V15" i="8" s="1"/>
  <c r="V16" i="8" s="1"/>
  <c r="V17" i="8" s="1"/>
  <c r="V18" i="8" s="1"/>
  <c r="V19" i="8" s="1"/>
  <c r="V20" i="8" s="1"/>
  <c r="V21" i="8" s="1"/>
  <c r="V22" i="8" s="1"/>
  <c r="V23" i="8" s="1"/>
  <c r="V24" i="8" s="1"/>
  <c r="V25" i="8" s="1"/>
  <c r="U2" i="8"/>
  <c r="W8" i="8"/>
  <c r="W31" i="8"/>
  <c r="T31" i="8"/>
  <c r="U31" i="8" s="1"/>
  <c r="W48" i="8"/>
  <c r="T48" i="8"/>
  <c r="U48" i="8" s="1"/>
  <c r="U37" i="8"/>
  <c r="U52" i="8"/>
  <c r="U53" i="8"/>
  <c r="U44" i="8"/>
  <c r="U28" i="8"/>
  <c r="U29" i="8"/>
  <c r="U36" i="8"/>
  <c r="U45" i="8"/>
  <c r="U60" i="8"/>
  <c r="U61" i="8"/>
  <c r="U27" i="8"/>
  <c r="V27" i="8"/>
  <c r="U26" i="8"/>
  <c r="W16" i="8"/>
  <c r="W13" i="8"/>
  <c r="W2" i="8"/>
  <c r="W5" i="8"/>
  <c r="W23" i="8"/>
  <c r="W14" i="8"/>
  <c r="W7" i="8"/>
  <c r="W21" i="8"/>
  <c r="W6" i="8"/>
  <c r="W10" i="8"/>
  <c r="W9" i="8"/>
  <c r="W15" i="8"/>
  <c r="V28" i="8" l="1"/>
  <c r="V29" i="8" s="1"/>
  <c r="V30" i="8" s="1"/>
  <c r="V31" i="8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V44" i="8" s="1"/>
  <c r="V45" i="8" s="1"/>
  <c r="V46" i="8" s="1"/>
  <c r="V47" i="8" s="1"/>
  <c r="V48" i="8" s="1"/>
  <c r="V49" i="8" s="1"/>
  <c r="V50" i="8" s="1"/>
  <c r="V51" i="8" s="1"/>
  <c r="V52" i="8" s="1"/>
  <c r="V53" i="8" s="1"/>
  <c r="V54" i="8" s="1"/>
  <c r="V55" i="8" s="1"/>
  <c r="V56" i="8" s="1"/>
  <c r="V57" i="8" s="1"/>
  <c r="V58" i="8" s="1"/>
  <c r="V59" i="8" s="1"/>
  <c r="V60" i="8" s="1"/>
  <c r="V61" i="8" s="1"/>
  <c r="V62" i="8" s="1"/>
</calcChain>
</file>

<file path=xl/sharedStrings.xml><?xml version="1.0" encoding="utf-8"?>
<sst xmlns="http://schemas.openxmlformats.org/spreadsheetml/2006/main" count="8355" uniqueCount="1248">
  <si>
    <t>/*</t>
  </si>
  <si>
    <t>*/</t>
  </si>
  <si>
    <t xml:space="preserve">*/ </t>
  </si>
  <si>
    <t xml:space="preserve"> CH1 Unused Damaged/Dead</t>
  </si>
  <si>
    <t xml:space="preserve"> CH2 Raw Sensor Current Sense Well 1 16bit</t>
  </si>
  <si>
    <t xml:space="preserve"> CH3 Raw Sensor Current Sense Well 2 16bit</t>
  </si>
  <si>
    <t xml:space="preserve"> CH4 Raw Sensor Current Sense Well 3 16bit</t>
  </si>
  <si>
    <t xml:space="preserve"> Raw Temp Celcius</t>
  </si>
  <si>
    <t xml:space="preserve"> unused</t>
  </si>
  <si>
    <t xml:space="preserve"> CH2 Raw Sensor House Water Pressure 16bit ADC 0-5v</t>
  </si>
  <si>
    <t xml:space="preserve"> CH3 Unused 2 16bit</t>
  </si>
  <si>
    <t xml:space="preserve"> CH4 Raw Sensor Current Sense Irrigation pump 4 (16bit)</t>
  </si>
  <si>
    <t xml:space="preserve"> Cycle Counter 16bit Int</t>
  </si>
  <si>
    <t xml:space="preserve"> spare</t>
  </si>
  <si>
    <t xml:space="preserve"> I2C Panic Count 16bit Int</t>
  </si>
  <si>
    <t xml:space="preserve"> TMP100 I2C Error</t>
  </si>
  <si>
    <t xml:space="preserve"> MCP23008 I2C Error</t>
  </si>
  <si>
    <t xml:space="preserve"> MCP3428 I2C Error</t>
  </si>
  <si>
    <t xml:space="preserve"> FW Version 4 Hex </t>
  </si>
  <si>
    <t>Pressure Sensor Value</t>
  </si>
  <si>
    <t>Water Height</t>
  </si>
  <si>
    <t>Tank Gallons</t>
  </si>
  <si>
    <t>Tank Percent Full</t>
  </si>
  <si>
    <t>Current Sensor  1 Value</t>
  </si>
  <si>
    <t>Current Sensor  2 Value</t>
  </si>
  <si>
    <t>Current Sensor  3 Value</t>
  </si>
  <si>
    <t>Current Sensor  4 Value</t>
  </si>
  <si>
    <t>Firmware Version of ESP</t>
  </si>
  <si>
    <t>I2C Fault Count</t>
  </si>
  <si>
    <t>Cycle Count</t>
  </si>
  <si>
    <t>Ambient Temperature</t>
  </si>
  <si>
    <t>Float State 1</t>
  </si>
  <si>
    <t>Float State 2</t>
  </si>
  <si>
    <t>Float State 3</t>
  </si>
  <si>
    <t>Float State 4</t>
  </si>
  <si>
    <t xml:space="preserve"> PumpCurrentSense[1];</t>
  </si>
  <si>
    <t xml:space="preserve"> PumpCurrentSense[2];</t>
  </si>
  <si>
    <t xml:space="preserve"> PumpCurrentSense[3];</t>
  </si>
  <si>
    <t xml:space="preserve"> PumpLedColor[1];</t>
  </si>
  <si>
    <t xml:space="preserve"> PumpLedColor[2];</t>
  </si>
  <si>
    <t xml:space="preserve"> PumpLedColor[3];</t>
  </si>
  <si>
    <t xml:space="preserve"> PumpCurrentSense[4];</t>
  </si>
  <si>
    <t xml:space="preserve"> PumpLedColor[4];</t>
  </si>
  <si>
    <t>Pressure LED Color</t>
  </si>
  <si>
    <t>spare</t>
  </si>
  <si>
    <t>Pressure Switch State</t>
  </si>
  <si>
    <t>House Water Pressure Value</t>
  </si>
  <si>
    <t>* payload 1</t>
  </si>
  <si>
    <t>* payload 2</t>
  </si>
  <si>
    <t>* payload 3</t>
  </si>
  <si>
    <t>* payload 4</t>
  </si>
  <si>
    <t>* payload 5</t>
  </si>
  <si>
    <t>* payload 6</t>
  </si>
  <si>
    <t>* payload 7</t>
  </si>
  <si>
    <t>* payload 8</t>
  </si>
  <si>
    <t>* payload 9</t>
  </si>
  <si>
    <t>* payload 10</t>
  </si>
  <si>
    <t>* payload 11</t>
  </si>
  <si>
    <t>* payload 12</t>
  </si>
  <si>
    <t>* payload 13</t>
  </si>
  <si>
    <t>* payload 14</t>
  </si>
  <si>
    <t>* payload 15</t>
  </si>
  <si>
    <t>* payload 16</t>
  </si>
  <si>
    <t>* payload 17</t>
  </si>
  <si>
    <t>* payload 18</t>
  </si>
  <si>
    <t>* payload 19</t>
  </si>
  <si>
    <t>* payload 20</t>
  </si>
  <si>
    <t>* payload[2] =</t>
  </si>
  <si>
    <t>* payload[3] =</t>
  </si>
  <si>
    <t>* payload[4] =</t>
  </si>
  <si>
    <t>* payload[5] =</t>
  </si>
  <si>
    <t>* payload[6] =</t>
  </si>
  <si>
    <t>* payload[7] =</t>
  </si>
  <si>
    <t>* payload[8] =</t>
  </si>
  <si>
    <t>* payload[9] =</t>
  </si>
  <si>
    <t>* payload[10] =</t>
  </si>
  <si>
    <t>* payload[11] =</t>
  </si>
  <si>
    <t>* payload[12] =</t>
  </si>
  <si>
    <t>* payload[13] =</t>
  </si>
  <si>
    <t>* payload[14] =</t>
  </si>
  <si>
    <t>* payload[15] =</t>
  </si>
  <si>
    <t>* payload[16] =</t>
  </si>
  <si>
    <t>* payload[17] =</t>
  </si>
  <si>
    <t>* payload[18] =</t>
  </si>
  <si>
    <t>* payload[19] =</t>
  </si>
  <si>
    <t>* payload[20] =</t>
  </si>
  <si>
    <t>/* payload[0] =</t>
  </si>
  <si>
    <t>float</t>
  </si>
  <si>
    <t>* payload[1] =</t>
  </si>
  <si>
    <t>#define F_CLIENTID</t>
  </si>
  <si>
    <t>#define M_CLIENTID</t>
  </si>
  <si>
    <t>#define A_CLIENTID</t>
  </si>
  <si>
    <t xml:space="preserve"> "Tank Subscriber", #define F_TOPIC   "Formatted Sensor Data", #define F_LEN 21 formatted_sensor_,</t>
  </si>
  <si>
    <t xml:space="preserve"> "Tank Monitor",  #define M_TOPIC  "Monitor Data", #define M_LEN 21, monitor_sensor_,</t>
  </si>
  <si>
    <t xml:space="preserve"> "Tank Alert",  #define A_TOPIC  "Alert Data", #define A_LEN 21, alert_sensor_,</t>
  </si>
  <si>
    <t>alert_sensor_payload[A_LEN];</t>
  </si>
  <si>
    <t>monitor_sensor_payload[M_LEN];</t>
  </si>
  <si>
    <t>formatted_sensor_payload[F_LEN];</t>
  </si>
  <si>
    <t xml:space="preserve">int </t>
  </si>
  <si>
    <t>Pressure Relay Sense</t>
  </si>
  <si>
    <t xml:space="preserve"> PumpRunCount;  //byte4-pump4;byte3-pump3;byte2-pump2;byte1-pump1</t>
  </si>
  <si>
    <t>PumpRunTime{1] ; //Seconds</t>
  </si>
  <si>
    <t>PumpRunTime{2] ; //Seconds</t>
  </si>
  <si>
    <t>PumpRunTime{3] ; //Seconds</t>
  </si>
  <si>
    <t>PumpRunTime{4] ; //Seconds</t>
  </si>
  <si>
    <t xml:space="preserve"> AllfloatLedcolor;  //byte4-color4;byte3-color3;byte2-color2;byte1-color1</t>
  </si>
  <si>
    <t xml:space="preserve"> 21floatState;  //bytes34-float2;byte12-float1</t>
  </si>
  <si>
    <t xml:space="preserve"> 43floatState;  //byte34-float4;byte123-float3</t>
  </si>
  <si>
    <t>Number of milliseconds in Time Window</t>
  </si>
  <si>
    <t>Pulses Counted in Time Window</t>
  </si>
  <si>
    <t>Flag 1=new data 0=stale data</t>
  </si>
  <si>
    <t>Pressure Sensor Analog Value</t>
  </si>
  <si>
    <t>#define Fl_CLIENTID</t>
  </si>
  <si>
    <t>Gallons Per Minute</t>
  </si>
  <si>
    <t>Total Gallons (24 Hrs)</t>
  </si>
  <si>
    <t>Irrigation Pressure</t>
  </si>
  <si>
    <t>Pump Temperature</t>
  </si>
  <si>
    <t>flow_sensor_payload[FL_LEN];</t>
  </si>
  <si>
    <t xml:space="preserve"> "Flow Monitor",  #define FL_TOPIC  "Flow Data", #define FL_LEN 21, flow_sensor_,</t>
  </si>
  <si>
    <t xml:space="preserve"> CH1 4-20 mA Raw Tank Sensor HydroStatic Pressure 16bit</t>
  </si>
  <si>
    <t>Temperature in F Float Bytes 1&amp;2</t>
  </si>
  <si>
    <t>Temperature in F Float Bytes 3&amp;4</t>
  </si>
  <si>
    <t xml:space="preserve"> GPIO 8 bits Hex (bits 0-3 floats, bit 4-pump1&amp;2 commanded, bit 5 septic alert, bit 6&amp;7 spare)</t>
  </si>
  <si>
    <t>Septic Alert</t>
  </si>
  <si>
    <t>Septic Relay Alert</t>
  </si>
  <si>
    <t>Septic Relay Alert Color</t>
  </si>
  <si>
    <t>;   //Level ft</t>
  </si>
  <si>
    <t>;   //Gallons</t>
  </si>
  <si>
    <t>;   //Level %</t>
  </si>
  <si>
    <t xml:space="preserve"> ;   //Faults</t>
  </si>
  <si>
    <t>;   //Cycle Count</t>
  </si>
  <si>
    <t xml:space="preserve"> ;   //Float 1 Hi</t>
  </si>
  <si>
    <t xml:space="preserve"> ;   //Float 2 90%</t>
  </si>
  <si>
    <t xml:space="preserve"> ;   //Float 3 50%</t>
  </si>
  <si>
    <t xml:space="preserve"> ;   //Float 4 Low</t>
  </si>
  <si>
    <t>;   //House Water Press</t>
  </si>
  <si>
    <t>;   //irrigation pump temperature</t>
  </si>
  <si>
    <t>;   //Septic Alert</t>
  </si>
  <si>
    <t>, blynk_payload[0])</t>
  </si>
  <si>
    <t xml:space="preserve"> ,formatted_sensor_payload[1])</t>
  </si>
  <si>
    <t xml:space="preserve"> ,formatted_sensor_payload[2])</t>
  </si>
  <si>
    <t xml:space="preserve"> ,formatted_sensor_payload[3])</t>
  </si>
  <si>
    <t xml:space="preserve"> ,monitor_sensor_payload[16])</t>
  </si>
  <si>
    <t>,monitor_sensor_payload[0])</t>
  </si>
  <si>
    <t>,monitor_sensor_payload[1])</t>
  </si>
  <si>
    <t>,monitor_sensor_payload[2])</t>
  </si>
  <si>
    <t>,flow_sensor_payload[10])</t>
  </si>
  <si>
    <t>,(int)formatted_sensor_payload[9])</t>
  </si>
  <si>
    <t>,(int)formatted_sensor_payload[10])</t>
  </si>
  <si>
    <t>,formatted_sensor_payload[11])</t>
  </si>
  <si>
    <t>,floatState[4])</t>
  </si>
  <si>
    <t>,floatState[3])</t>
  </si>
  <si>
    <t>,floatState[2])</t>
  </si>
  <si>
    <t>,floatState[1])</t>
  </si>
  <si>
    <t>,formatted_sensor_payload[17])</t>
  </si>
  <si>
    <t>,monitor_sensor_payload[3])</t>
  </si>
  <si>
    <t>,monitor_sensor_payload[18])</t>
  </si>
  <si>
    <t>,PumpRunCount[1])</t>
  </si>
  <si>
    <t>,PumpRunCount[2])</t>
  </si>
  <si>
    <t>,PumpRunCount[3])</t>
  </si>
  <si>
    <t>,PumpRunCount[4])</t>
  </si>
  <si>
    <t>,(monitor_sensor_payload[9]/60.))</t>
  </si>
  <si>
    <t>,(monitor_sensor_payload[10]/60.))</t>
  </si>
  <si>
    <t>,(monitor_sensor_payload[11]/60.))</t>
  </si>
  <si>
    <t>,(monitor_sensor_payload[12]/60.))</t>
  </si>
  <si>
    <t>,(flow_sensor_payload[3]))</t>
  </si>
  <si>
    <t>,flow_sensor_payload[0])</t>
  </si>
  <si>
    <t>,flow_sensor_payload[1])</t>
  </si>
  <si>
    <t>,flow_sensor_payload[2])</t>
  </si>
  <si>
    <t>Blynk.virtualWrite (V</t>
  </si>
  <si>
    <t>;   //PumpRunTime P1</t>
  </si>
  <si>
    <t>;   //PumpRunTime P2</t>
  </si>
  <si>
    <t>;   //PumpRunTime P3</t>
  </si>
  <si>
    <t>;   //PumpRunTime P4</t>
  </si>
  <si>
    <t xml:space="preserve"> ;   //Pump Run Count P1</t>
  </si>
  <si>
    <t xml:space="preserve"> ;   //Pump Run Count P2</t>
  </si>
  <si>
    <t xml:space="preserve"> ;   //Pump Run Count P3</t>
  </si>
  <si>
    <t xml:space="preserve"> ;   //Pump Run Count P4</t>
  </si>
  <si>
    <t>;   //Gallons per Minute (Rolling Average)</t>
  </si>
  <si>
    <t>;   //Daily Total Gallons</t>
  </si>
  <si>
    <t>;   //irrigation System Pressure PSI</t>
  </si>
  <si>
    <t>;   //Home Tank Pressure Relay Sense</t>
  </si>
  <si>
    <t>;   //Pump Current Sense P4</t>
  </si>
  <si>
    <t>;   //Pump Current Sense P1</t>
  </si>
  <si>
    <t>;   //Pump Current Sense P2</t>
  </si>
  <si>
    <t>;   //Pump Current Sense P3</t>
  </si>
  <si>
    <t xml:space="preserve"> ;   //System Temperature f</t>
  </si>
  <si>
    <t>;   //Unused</t>
  </si>
  <si>
    <t>//Blynk.virtualWrite (V</t>
  </si>
  <si>
    <t>/* payload 0</t>
  </si>
  <si>
    <r>
      <t>unsigned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short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int</t>
    </r>
    <r>
      <rPr>
        <sz val="12"/>
        <color rgb="FF000000"/>
        <rFont val="Menlo"/>
        <family val="2"/>
      </rPr>
      <t xml:space="preserve"> </t>
    </r>
  </si>
  <si>
    <t>#define  ESP_CLIENTID</t>
  </si>
  <si>
    <t>#define FLO_CLIENTID</t>
  </si>
  <si>
    <t>flow_data_payload[FLO_LEN] ;</t>
  </si>
  <si>
    <t>data_payload[ESP_LEN] ;</t>
  </si>
  <si>
    <t xml:space="preserve"> "ESP8266 ClientFlow", #define FLO_TOPIC   "Flow ESP", flow_esp_ , #define FLO_LEN 21</t>
  </si>
  <si>
    <t xml:space="preserve"> "ESP8266 Client", #define ESP_TOPIC   "Tank ESP", tank_esp_ , #define ESP_LEN 21</t>
  </si>
  <si>
    <t xml:space="preserve"> 4-20 mA Raw Tank Sensor HydroStatic Pressure 16bit</t>
  </si>
  <si>
    <t xml:space="preserve"> GPIO 8 bits Hex (bits 0-3 floats)</t>
  </si>
  <si>
    <t xml:space="preserve"> GPIO 8 bits Hex (bit 0-pump1&amp;2 commanded, bit 1 septic alert, bit 2-7 spare)</t>
  </si>
  <si>
    <t xml:space="preserve"> CH1 Unused 2 16bit</t>
  </si>
  <si>
    <t>tank_data_payload[TANK_LEN] ;</t>
  </si>
  <si>
    <t>well_data_payload[WELL_LEN] ;</t>
  </si>
  <si>
    <t>Pump No Start - House Pressure Tank Relay Active but Pump 1 or 2 Not Running</t>
  </si>
  <si>
    <t>*</t>
  </si>
  <si>
    <t>Note:  Bits 0-2: Alert Type; Bits 3-10: LED Brightness, Bits 11-13: LED Color, Bits 14-15: Spare</t>
  </si>
  <si>
    <t>;</t>
  </si>
  <si>
    <t>};</t>
  </si>
  <si>
    <t>int</t>
  </si>
  <si>
    <t>spare1</t>
  </si>
  <si>
    <t>spare2</t>
  </si>
  <si>
    <t>spare3</t>
  </si>
  <si>
    <t>spare4</t>
  </si>
  <si>
    <t>spare5</t>
  </si>
  <si>
    <t>spare6</t>
  </si>
  <si>
    <t>spare7</t>
  </si>
  <si>
    <t>spare8</t>
  </si>
  <si>
    <t>spare9</t>
  </si>
  <si>
    <t>spare10</t>
  </si>
  <si>
    <t>spare11</t>
  </si>
  <si>
    <t>spare12</t>
  </si>
  <si>
    <t>spare13</t>
  </si>
  <si>
    <t>spare14</t>
  </si>
  <si>
    <t>spare15</t>
  </si>
  <si>
    <t>spare16</t>
  </si>
  <si>
    <t>spare17</t>
  </si>
  <si>
    <t>spare18</t>
  </si>
  <si>
    <t>spare19</t>
  </si>
  <si>
    <t>spare20</t>
  </si>
  <si>
    <t>PumpNoStart</t>
  </si>
  <si>
    <t>Water Level in Tank is Critically Low</t>
  </si>
  <si>
    <t>House Water Pressure Low</t>
  </si>
  <si>
    <t>Household Water Pressure Critically Low</t>
  </si>
  <si>
    <t>Water Well Pumps Failed to Start</t>
  </si>
  <si>
    <t>Tank Overfill Condition</t>
  </si>
  <si>
    <t>Tank Overfill Detected</t>
  </si>
  <si>
    <t>Septic System Alert</t>
  </si>
  <si>
    <t>Septic System Malfunction</t>
  </si>
  <si>
    <t>Irrigation Pump Run Away</t>
  </si>
  <si>
    <t>Irrigation Pump Running with No Flow</t>
  </si>
  <si>
    <t>Well 3 Pump Run Away</t>
  </si>
  <si>
    <t>Well 3 Pump Running with No Flow</t>
  </si>
  <si>
    <t>verbose</t>
  </si>
  <si>
    <t>"-V" of "-v"</t>
  </si>
  <si>
    <t>Echo all output to the user terminal</t>
  </si>
  <si>
    <t>log</t>
  </si>
  <si>
    <t>Logging level 1 - all, 2 - verifies only, 3 - test case result only (default is 1)</t>
  </si>
  <si>
    <t>File syntax</t>
  </si>
  <si>
    <t>s</t>
  </si>
  <si>
    <t>set</t>
  </si>
  <si>
    <t>value</t>
  </si>
  <si>
    <t>d,f,x</t>
  </si>
  <si>
    <t>r</t>
  </si>
  <si>
    <t>read</t>
  </si>
  <si>
    <t>v</t>
  </si>
  <si>
    <t>verify</t>
  </si>
  <si>
    <t>c</t>
  </si>
  <si>
    <t>compare</t>
  </si>
  <si>
    <t>Function Exit:</t>
  </si>
  <si>
    <t>Sucessful / no failres</t>
  </si>
  <si>
    <t>"-1"</t>
  </si>
  <si>
    <t>Test Failed</t>
  </si>
  <si>
    <t>Tank Flowmonitor [Block 0]</t>
  </si>
  <si>
    <t>ESP Main Controller [Block 1]</t>
  </si>
  <si>
    <t>Irrigation  Flowmonitor [Block 3]</t>
  </si>
  <si>
    <t>Test Floats:</t>
  </si>
  <si>
    <t>pump_current_sense_1</t>
  </si>
  <si>
    <t>pump_current_sense_2</t>
  </si>
  <si>
    <t>pump_current_sense_3</t>
  </si>
  <si>
    <t>pump_current_sense_4</t>
  </si>
  <si>
    <t>pump_led_color_1</t>
  </si>
  <si>
    <t>pump_led_color_2</t>
  </si>
  <si>
    <t>pump_led_color_3</t>
  </si>
  <si>
    <t>pump_led_color_4</t>
  </si>
  <si>
    <t>pump_run_count</t>
  </si>
  <si>
    <t>pump_run_time_1</t>
  </si>
  <si>
    <t>pump_run_time_2</t>
  </si>
  <si>
    <t>pump_run_time_3</t>
  </si>
  <si>
    <t>pump_run_time_4</t>
  </si>
  <si>
    <t>float_state_43</t>
  </si>
  <si>
    <t>float_state_21</t>
  </si>
  <si>
    <t>all_float_led_colors</t>
  </si>
  <si>
    <t>septic_relay_alert</t>
  </si>
  <si>
    <t>septic_relay_alert_color</t>
  </si>
  <si>
    <t>press_relay_sense</t>
  </si>
  <si>
    <t>press_led_color</t>
  </si>
  <si>
    <t>water_height</t>
  </si>
  <si>
    <t>tank_gallons</t>
  </si>
  <si>
    <t>tank_per_full</t>
  </si>
  <si>
    <t>fw_version</t>
  </si>
  <si>
    <t>cycle_count</t>
  </si>
  <si>
    <t>float_state_1</t>
  </si>
  <si>
    <t>float_state_2</t>
  </si>
  <si>
    <t>float_state_3</t>
  </si>
  <si>
    <t>float_state_4</t>
  </si>
  <si>
    <t>house_water_pressure</t>
  </si>
  <si>
    <t>spare_1</t>
  </si>
  <si>
    <t>spare_2</t>
  </si>
  <si>
    <t>Block 3</t>
  </si>
  <si>
    <t>Block 4</t>
  </si>
  <si>
    <t>Block 5</t>
  </si>
  <si>
    <t>Block 6</t>
  </si>
  <si>
    <t>Block 0</t>
  </si>
  <si>
    <t>Block 1</t>
  </si>
  <si>
    <t>Block 2</t>
  </si>
  <si>
    <t>struct WellClientDatat {</t>
  </si>
  <si>
    <t>raw_current_sense_1</t>
  </si>
  <si>
    <t>raw_current_sense_2</t>
  </si>
  <si>
    <t>raw_current_sense_3</t>
  </si>
  <si>
    <t>raw_current_sense_4</t>
  </si>
  <si>
    <t>raw_current_sense_5</t>
  </si>
  <si>
    <t>raw_current_sense_6</t>
  </si>
  <si>
    <t>raw_current_sense_7</t>
  </si>
  <si>
    <t>raw_current_sense_8</t>
  </si>
  <si>
    <t>raw_temp_celcius</t>
  </si>
  <si>
    <t>gpio_alerts</t>
  </si>
  <si>
    <t>cycle_counter</t>
  </si>
  <si>
    <t>spare_3</t>
  </si>
  <si>
    <t>spare_4</t>
  </si>
  <si>
    <t>spare_5</t>
  </si>
  <si>
    <t>I2C_panic_count</t>
  </si>
  <si>
    <t xml:space="preserve"> TMP100_I2C_error</t>
  </si>
  <si>
    <t xml:space="preserve"> MCP23008_I2C_error</t>
  </si>
  <si>
    <t xml:space="preserve"> MCP3428_I2C_error</t>
  </si>
  <si>
    <t xml:space="preserve"> FW_version_4_hex </t>
  </si>
  <si>
    <t>}</t>
  </si>
  <si>
    <t>pulse_count</t>
  </si>
  <si>
    <t>millisecnods</t>
  </si>
  <si>
    <t>new_data_flag</t>
  </si>
  <si>
    <t>irrigation_pressure_sensor</t>
  </si>
  <si>
    <t>pump_temp_w1</t>
  </si>
  <si>
    <t>pump_temp_w2</t>
  </si>
  <si>
    <t>spare_6</t>
  </si>
  <si>
    <t>spare_7</t>
  </si>
  <si>
    <t>spare_8</t>
  </si>
  <si>
    <t>spare_9</t>
  </si>
  <si>
    <t>spare_10</t>
  </si>
  <si>
    <t>spare_11</t>
  </si>
  <si>
    <t>spare_12</t>
  </si>
  <si>
    <t>spare_13</t>
  </si>
  <si>
    <t>tank_baro_pressure_sensor</t>
  </si>
  <si>
    <t>gpio</t>
  </si>
  <si>
    <t>x</t>
  </si>
  <si>
    <t>d</t>
  </si>
  <si>
    <t>struct FlowClientDatat {</t>
  </si>
  <si>
    <t>Irrigation Pump Temperature in F Float Bytes 1&amp;2</t>
  </si>
  <si>
    <t>Irrigation Pump Temperature in F Float Bytes 3&amp;4</t>
  </si>
  <si>
    <t>#define  TANK_CLIENTID</t>
  </si>
  <si>
    <t>#define  WELL_CLIENTID</t>
  </si>
  <si>
    <t>parameter ID</t>
  </si>
  <si>
    <t>wait x seconds before next instruction</t>
  </si>
  <si>
    <t>delay</t>
  </si>
  <si>
    <t>Usage: %s [-v] [-l N] [file_name]</t>
  </si>
  <si>
    <t>"-L" or "-l" 1,2,3</t>
  </si>
  <si>
    <t>tolerance</t>
  </si>
  <si>
    <t>Air Temperature in F Float Bytes 1&amp;2</t>
  </si>
  <si>
    <t>Air Temperature in F Float Bytes 3&amp;4</t>
  </si>
  <si>
    <t>system_temp</t>
  </si>
  <si>
    <t>Block 7</t>
  </si>
  <si>
    <t xml:space="preserve"> A0 Raw Sensor Current Sense Well 1 16bit</t>
  </si>
  <si>
    <t xml:space="preserve"> A1 Raw Sensor Current Sense Well 2 16bit</t>
  </si>
  <si>
    <t xml:space="preserve"> A2 Raw Sensor Current Sense Well 3 16bit</t>
  </si>
  <si>
    <t xml:space="preserve"> A3 Raw Sensor Current Sense Irrigation Pump 16bit</t>
  </si>
  <si>
    <t xml:space="preserve"> A7 Sensor House Water Pressure 16bit ADC 0-5v</t>
  </si>
  <si>
    <t>D2 House Tank Pressure Switch (0=active)</t>
  </si>
  <si>
    <t>D3 Septic Alert (0=active)</t>
  </si>
  <si>
    <t>Float 1</t>
  </si>
  <si>
    <t>Float 2</t>
  </si>
  <si>
    <t>Float 3</t>
  </si>
  <si>
    <t>Float 4</t>
  </si>
  <si>
    <t>Tank Gallons Per Minute</t>
  </si>
  <si>
    <t>Air Temperature</t>
  </si>
  <si>
    <t>Tank Total Gallons (24hrs)</t>
  </si>
  <si>
    <t>tank_gallons_per_minute</t>
  </si>
  <si>
    <t>tank_total_gallons_24</t>
  </si>
  <si>
    <t>air_temp</t>
  </si>
  <si>
    <t>Well Pump 1 On</t>
  </si>
  <si>
    <t>Well Pump 2 On</t>
  </si>
  <si>
    <t>Well Pump 3 On</t>
  </si>
  <si>
    <t>Irrigation Pump On</t>
  </si>
  <si>
    <t>House Water Pressure</t>
  </si>
  <si>
    <t>House Tank Pressure Switch On</t>
  </si>
  <si>
    <t>Septic Alert On</t>
  </si>
  <si>
    <t>System Temp</t>
  </si>
  <si>
    <t>#define FLOW_CLIENTID</t>
  </si>
  <si>
    <t>#define WELL_MONID</t>
  </si>
  <si>
    <t>#define TANK_MONID</t>
  </si>
  <si>
    <t>#define ALERT_ID</t>
  </si>
  <si>
    <t>#define MON_ID</t>
  </si>
  <si>
    <t xml:space="preserve"> "Tank Client", #define TANK_CLIENT   "Tank Client", #define TANK_LEN 25</t>
  </si>
  <si>
    <t xml:space="preserve"> "Well Client", #define WELL_CLIENT   "Well Client", #define WELL_LEN 25</t>
  </si>
  <si>
    <t xml:space="preserve"> "Flow Client", #define FLOW_CLIENT   "Flow Client", #define FLO_LEN 25</t>
  </si>
  <si>
    <t xml:space="preserve"> "Tank Monitor",  #define TANK_TOPIC  "Tank Data", #define TANK_DATA 25</t>
  </si>
  <si>
    <t xml:space="preserve"> "Well Monitor",  #define WELL_TOPIC  "Well Data", #define WELL_DATA 25</t>
  </si>
  <si>
    <t xml:space="preserve"> "Flow Monitor",  #define FLOW_TOPIC  "Flow Data", #define FLOW_DATA 25</t>
  </si>
  <si>
    <t xml:space="preserve"> "Monitor",  #define M_TOPIC  "Monitor Data", #define M_LEN 25</t>
  </si>
  <si>
    <t xml:space="preserve"> "Sys Alert",  #define A_TOPIC  "Alert Data", #define A_LEN 25</t>
  </si>
  <si>
    <t>struct TankMonitorData {</t>
  </si>
  <si>
    <t>well_pump_1_on</t>
  </si>
  <si>
    <t>well_pump_2_on</t>
  </si>
  <si>
    <t>well_pump_3_on</t>
  </si>
  <si>
    <t>irrigation_pump_on</t>
  </si>
  <si>
    <t>House_tank_pressure_switch_on</t>
  </si>
  <si>
    <t>septic_alert_on</t>
  </si>
  <si>
    <t>tank_hydrostatic_pressure</t>
  </si>
  <si>
    <t>float_1</t>
  </si>
  <si>
    <t>float_2</t>
  </si>
  <si>
    <t>float_3</t>
  </si>
  <si>
    <t>float_4</t>
  </si>
  <si>
    <t>air_temp_1</t>
  </si>
  <si>
    <t>air_temp_2</t>
  </si>
  <si>
    <t>tank_sensor_payload[TANK_DATA];</t>
  </si>
  <si>
    <t>well_sensor_payload[WELL_DATA];</t>
  </si>
  <si>
    <t>flow_sensor_payload[FLOW_DATA];</t>
  </si>
  <si>
    <t>flow_data_payload[FLOW_LEN] ;</t>
  </si>
  <si>
    <t>struct WellMonitorData {</t>
  </si>
  <si>
    <t>struct FlowMonitorData {</t>
  </si>
  <si>
    <t>struct MonitorData {</t>
  </si>
  <si>
    <t>struct AlertData {</t>
  </si>
  <si>
    <t>struct TankClientData {</t>
  </si>
  <si>
    <t>monitor_payload[M_LEN];</t>
  </si>
  <si>
    <t>alert_payload[A_LEN];</t>
  </si>
  <si>
    <t>char* TankMonitorData_var_name[] = {</t>
  </si>
  <si>
    <t>char* WellMonitorData_var_name[] = {</t>
  </si>
  <si>
    <t>char* FlowMonitorData_var_name[] = {</t>
  </si>
  <si>
    <t>char* MonitorData_var_name[] = {</t>
  </si>
  <si>
    <t>char* AlertData_var_name[] = {</t>
  </si>
  <si>
    <t>char* TankClientData_var_name [] = {</t>
  </si>
  <si>
    <t>char* WellClientData_var_name [] = {</t>
  </si>
  <si>
    <t>char* FlowClientData_var_name [] = {</t>
  </si>
  <si>
    <t>irrigationFlowPerMin</t>
  </si>
  <si>
    <t>irrigationTotalFlow</t>
  </si>
  <si>
    <t>irrigationPressure</t>
  </si>
  <si>
    <t>irrigationPumpTemp</t>
  </si>
  <si>
    <t>cycle count</t>
  </si>
  <si>
    <t xml:space="preserve"> "Tank Client", #define TANK_CLIENT   "Tank Payload", #define TANK_LEN 25</t>
  </si>
  <si>
    <t xml:space="preserve"> "Well Client", #define WELL_CLIENT   "Well Payload", #define WELL_LEN 25</t>
  </si>
  <si>
    <t xml:space="preserve"> "Flow Client", #define FLOW_CLIENT   "Flow Payload", #define FLOW_LEN 25</t>
  </si>
  <si>
    <t>house_tank_pressure_switch_on</t>
  </si>
  <si>
    <t>raw_current_sense_well1</t>
  </si>
  <si>
    <t>raw_current_sense_well2</t>
  </si>
  <si>
    <t>raw_current_sense_well3</t>
  </si>
  <si>
    <t>raw_current_sense_irrigation_pump</t>
  </si>
  <si>
    <t>#define FLOW_MONTID</t>
  </si>
  <si>
    <t>#define FLOW_MONID</t>
  </si>
  <si>
    <t xml:space="preserve"> Cycle Counter</t>
  </si>
  <si>
    <t>Hex</t>
  </si>
  <si>
    <t>Dec</t>
  </si>
  <si>
    <t>LSB</t>
  </si>
  <si>
    <t>Voltage</t>
  </si>
  <si>
    <t>Height of Water</t>
  </si>
  <si>
    <t>Pi</t>
  </si>
  <si>
    <t>Radius</t>
  </si>
  <si>
    <t>VoltoGal</t>
  </si>
  <si>
    <t>Gallons in Tank</t>
  </si>
  <si>
    <t>Height in Ft</t>
  </si>
  <si>
    <t>area</t>
  </si>
  <si>
    <t>y</t>
  </si>
  <si>
    <t>&gt;</t>
  </si>
  <si>
    <t>|</t>
  </si>
  <si>
    <t>Avg Sensor Value</t>
  </si>
  <si>
    <t>WaterHeight = ((PresSensorValue - ConstantX) / Constant) + .1</t>
  </si>
  <si>
    <t>ConstantX</t>
  </si>
  <si>
    <t>Constant</t>
  </si>
  <si>
    <t>//dailyPulseCount = dailyPulseCount + pulseCount ;</t>
  </si>
  <si>
    <t>//millsTotal = millsTotal + millsElapsed;</t>
  </si>
  <si>
    <t>//printf("flowRateValueArray[%d]: %f avgflowRate: %f\n", i, flowRateValueArray[i], avgflowRate );</t>
  </si>
  <si>
    <t>printf("Pulse Count: %d Daily Pulse Count: %d\n", pulseCount, dailyPulseCount);</t>
  </si>
  <si>
    <t>printf("Milliseconds Elapsed: %d Milliseconds Total: %d\n", millsElapsed, millsTotal);</t>
  </si>
  <si>
    <t>printf("Flow Rate: %f Flow Rate GPM: %f Daily Gallons: %f\n", flowRate, flowRateGPM, dailyGallons);</t>
  </si>
  <si>
    <t>printf("Average Flow Rate: %f\n", avgflowRateGPM);</t>
  </si>
  <si>
    <t xml:space="preserve">} </t>
  </si>
  <si>
    <t>newPulseData = flow_data_payload[2] ;</t>
  </si>
  <si>
    <t>if ( newPulseData == 1){</t>
  </si>
  <si>
    <t>millsElapsed = flow_data_payload[1] ;</t>
  </si>
  <si>
    <t>pulseCount = flow_data_payload[0];</t>
  </si>
  <si>
    <t>if ((millsElapsed &lt; 5000) &amp;&amp; (millsElapsed != 0)) { //ignore the really long intervals</t>
  </si>
  <si>
    <t>flowRate = ((pulseCount / (millsElapsed/1000)) / .5) / calibrationFactor;</t>
  </si>
  <si>
    <t>flowRate = ((flowRate * .00026417)/(millsElapsed/1000)) * 60; //GPM</t>
  </si>
  <si>
    <t>flowRateGPM = flowRate * 30;</t>
  </si>
  <si>
    <t>dailyGallons = dailyGallons + flowRate ;</t>
  </si>
  <si>
    <t>if (flowRateGPM &gt; 4.0) {</t>
  </si>
  <si>
    <t>flowRateValueArray[flowIndex++] = flowRateGPM;</t>
  </si>
  <si>
    <t>flowIndex = flowIndex % 10;</t>
  </si>
  <si>
    <t>avgflowRate = 0 ;</t>
  </si>
  <si>
    <t>for( i=0; i&lt;=9; ++i){</t>
  </si>
  <si>
    <t>avgflowRate += flowRateValueArray[i];</t>
  </si>
  <si>
    <t>avgflowRateGPM = avgflowRate/10;</t>
  </si>
  <si>
    <t>bc9</t>
  </si>
  <si>
    <t>4c</t>
  </si>
  <si>
    <t>2fe</t>
  </si>
  <si>
    <t>42a37333</t>
  </si>
  <si>
    <t>:</t>
  </si>
  <si>
    <t>b6300a8c</t>
  </si>
  <si>
    <t>Wed</t>
  </si>
  <si>
    <t>May</t>
  </si>
  <si>
    <t>2ff</t>
  </si>
  <si>
    <t>1c</t>
  </si>
  <si>
    <t>bc7</t>
  </si>
  <si>
    <t>4b</t>
  </si>
  <si>
    <t>42a3accc</t>
  </si>
  <si>
    <t>f3</t>
  </si>
  <si>
    <t>7a</t>
  </si>
  <si>
    <t>f4</t>
  </si>
  <si>
    <t>f9</t>
  </si>
  <si>
    <t>fa</t>
  </si>
  <si>
    <t>bc8</t>
  </si>
  <si>
    <t>f5</t>
  </si>
  <si>
    <t>42a3399a</t>
  </si>
  <si>
    <t>42a30000</t>
  </si>
  <si>
    <t>fc</t>
  </si>
  <si>
    <t>30a</t>
  </si>
  <si>
    <t>30b</t>
  </si>
  <si>
    <t>42a28ccc</t>
  </si>
  <si>
    <t>f8</t>
  </si>
  <si>
    <t>30c</t>
  </si>
  <si>
    <t>42a25333</t>
  </si>
  <si>
    <t>30d</t>
  </si>
  <si>
    <t>fe</t>
  </si>
  <si>
    <t>30e</t>
  </si>
  <si>
    <t>30f</t>
  </si>
  <si>
    <t>42a2199a</t>
  </si>
  <si>
    <t>10a</t>
  </si>
  <si>
    <t>42a1e000</t>
  </si>
  <si>
    <t>10d</t>
  </si>
  <si>
    <t>42a1a666</t>
  </si>
  <si>
    <t>42a16ccc</t>
  </si>
  <si>
    <t>11c</t>
  </si>
  <si>
    <t>5f</t>
  </si>
  <si>
    <t>42a13333</t>
  </si>
  <si>
    <t>12d</t>
  </si>
  <si>
    <t>42a0f99a</t>
  </si>
  <si>
    <t>42a0c000</t>
  </si>
  <si>
    <t>42a08666</t>
  </si>
  <si>
    <t>13c</t>
  </si>
  <si>
    <t>42a04ccc</t>
  </si>
  <si>
    <t>13e</t>
  </si>
  <si>
    <t>42a01333</t>
  </si>
  <si>
    <t>13d</t>
  </si>
  <si>
    <t>31a</t>
  </si>
  <si>
    <t>429fd99a</t>
  </si>
  <si>
    <t>31b</t>
  </si>
  <si>
    <t>31c</t>
  </si>
  <si>
    <t>429fa000</t>
  </si>
  <si>
    <t>13f</t>
  </si>
  <si>
    <t>31d</t>
  </si>
  <si>
    <t>429f6666</t>
  </si>
  <si>
    <t>31e</t>
  </si>
  <si>
    <t>31f</t>
  </si>
  <si>
    <t>429f2ccc</t>
  </si>
  <si>
    <t>429ef333</t>
  </si>
  <si>
    <t>429eb99a</t>
  </si>
  <si>
    <t>429e8000</t>
  </si>
  <si>
    <t>429e4666</t>
  </si>
  <si>
    <t>429e0ccc</t>
  </si>
  <si>
    <t>429dd333</t>
  </si>
  <si>
    <t>429d999a</t>
  </si>
  <si>
    <t>429d6000</t>
  </si>
  <si>
    <t>32a</t>
  </si>
  <si>
    <t>32b</t>
  </si>
  <si>
    <t>429d2666</t>
  </si>
  <si>
    <t>bc6</t>
  </si>
  <si>
    <t>32c</t>
  </si>
  <si>
    <t>429ceccc</t>
  </si>
  <si>
    <t>32d</t>
  </si>
  <si>
    <t>Pulses</t>
  </si>
  <si>
    <t>Milliseconds</t>
  </si>
  <si>
    <t>l/min</t>
  </si>
  <si>
    <t>// if 30 was chosen because wndow was expected to be 2 seconds</t>
  </si>
  <si>
    <t>7f6</t>
  </si>
  <si>
    <t>25c</t>
  </si>
  <si>
    <t>6be</t>
  </si>
  <si>
    <t>428a799a</t>
  </si>
  <si>
    <t>b6300bcc</t>
  </si>
  <si>
    <t>Sample:</t>
  </si>
  <si>
    <t>1.855695,</t>
  </si>
  <si>
    <t>Moving</t>
  </si>
  <si>
    <t>average:</t>
  </si>
  <si>
    <t>Thu</t>
  </si>
  <si>
    <t>6bf</t>
  </si>
  <si>
    <t>1.821899,</t>
  </si>
  <si>
    <t>24f</t>
  </si>
  <si>
    <t>6c0</t>
  </si>
  <si>
    <t>1.815755,</t>
  </si>
  <si>
    <t>6c1</t>
  </si>
  <si>
    <t>1.818827,</t>
  </si>
  <si>
    <t>6c2</t>
  </si>
  <si>
    <t>1.837261,</t>
  </si>
  <si>
    <t>6c3</t>
  </si>
  <si>
    <t>428a4000</t>
  </si>
  <si>
    <t>25b</t>
  </si>
  <si>
    <t>6c4</t>
  </si>
  <si>
    <t>1.852623,</t>
  </si>
  <si>
    <t>25a</t>
  </si>
  <si>
    <t>6c5</t>
  </si>
  <si>
    <t>1.849550,</t>
  </si>
  <si>
    <t>6c6</t>
  </si>
  <si>
    <t>6c7</t>
  </si>
  <si>
    <t>1.824972,</t>
  </si>
  <si>
    <t>24d</t>
  </si>
  <si>
    <t>6c8</t>
  </si>
  <si>
    <t>1.809610,</t>
  </si>
  <si>
    <t>6c9</t>
  </si>
  <si>
    <t>1.846478,</t>
  </si>
  <si>
    <t>6ca</t>
  </si>
  <si>
    <t>6cb</t>
  </si>
  <si>
    <t>6cc</t>
  </si>
  <si>
    <t>1.834189,</t>
  </si>
  <si>
    <t>6cd</t>
  </si>
  <si>
    <t>24e</t>
  </si>
  <si>
    <t>6ce</t>
  </si>
  <si>
    <t>1.812682,</t>
  </si>
  <si>
    <t>6cf</t>
  </si>
  <si>
    <t>428ab333</t>
  </si>
  <si>
    <t>7f9</t>
  </si>
  <si>
    <t>25d</t>
  </si>
  <si>
    <t>6d0</t>
  </si>
  <si>
    <t>1.858767,</t>
  </si>
  <si>
    <t>6d1</t>
  </si>
  <si>
    <t>7f7</t>
  </si>
  <si>
    <t>6d2</t>
  </si>
  <si>
    <t>1.828044,</t>
  </si>
  <si>
    <t>6d3</t>
  </si>
  <si>
    <t>6d4</t>
  </si>
  <si>
    <t>1.843406,</t>
  </si>
  <si>
    <t>6d5</t>
  </si>
  <si>
    <t>6d6</t>
  </si>
  <si>
    <t>6d7</t>
  </si>
  <si>
    <t>6d8</t>
  </si>
  <si>
    <t>6d9</t>
  </si>
  <si>
    <t>6da</t>
  </si>
  <si>
    <t>1.831116,</t>
  </si>
  <si>
    <t>6db</t>
  </si>
  <si>
    <t>6dc</t>
  </si>
  <si>
    <t>6dd</t>
  </si>
  <si>
    <t>6de</t>
  </si>
  <si>
    <t>6df</t>
  </si>
  <si>
    <t>25e</t>
  </si>
  <si>
    <t>1.861840,</t>
  </si>
  <si>
    <t>7f8</t>
  </si>
  <si>
    <t>6ea</t>
  </si>
  <si>
    <t>25f</t>
  </si>
  <si>
    <t>6eb</t>
  </si>
  <si>
    <t>1.864912,</t>
  </si>
  <si>
    <t>6ec</t>
  </si>
  <si>
    <t>6ed</t>
  </si>
  <si>
    <t>6ee</t>
  </si>
  <si>
    <t>6ef</t>
  </si>
  <si>
    <t>6f0</t>
  </si>
  <si>
    <t>6f1</t>
  </si>
  <si>
    <t>6f2</t>
  </si>
  <si>
    <t>6f3</t>
  </si>
  <si>
    <t>6f4</t>
  </si>
  <si>
    <t>6f5</t>
  </si>
  <si>
    <t>6f6</t>
  </si>
  <si>
    <t>6f7</t>
  </si>
  <si>
    <t>6f8</t>
  </si>
  <si>
    <t>6f9</t>
  </si>
  <si>
    <t>6fa</t>
  </si>
  <si>
    <t>6fb</t>
  </si>
  <si>
    <t>6fc</t>
  </si>
  <si>
    <t>6fd</t>
  </si>
  <si>
    <t>6fe</t>
  </si>
  <si>
    <t>6ff</t>
  </si>
  <si>
    <t>428aeccc</t>
  </si>
  <si>
    <t>^C</t>
  </si>
  <si>
    <t>10 bits</t>
  </si>
  <si>
    <t>lsb</t>
  </si>
  <si>
    <t>3.3/1023</t>
  </si>
  <si>
    <t xml:space="preserve">equals </t>
  </si>
  <si>
    <t>X</t>
  </si>
  <si>
    <t>Active Controller</t>
  </si>
  <si>
    <t>Active Zone</t>
  </si>
  <si>
    <t>activeController</t>
  </si>
  <si>
    <t>activeZone</t>
  </si>
  <si>
    <t>#define  TANKGAL_CLIENTID</t>
  </si>
  <si>
    <t xml:space="preserve"> "TankGal Client", #define TANKGAL_CLIENT   "TankGal Payload", #define TANKGAL_LEN 25</t>
  </si>
  <si>
    <t>char* TankGalClientData_var_name [] = {</t>
  </si>
  <si>
    <t>Water Surface Dist (in.)</t>
  </si>
  <si>
    <t>Humidity</t>
  </si>
  <si>
    <t>Temperature</t>
  </si>
  <si>
    <t>spare_14</t>
  </si>
  <si>
    <t>spare_15</t>
  </si>
  <si>
    <t>spare_16</t>
  </si>
  <si>
    <t>spare_17</t>
  </si>
  <si>
    <t>water_surface_dist</t>
  </si>
  <si>
    <t>humidity</t>
  </si>
  <si>
    <t>temperature</t>
  </si>
  <si>
    <t>Raw System Temp Celsius</t>
  </si>
  <si>
    <t>system_temp_celsius</t>
  </si>
  <si>
    <t>tankgal_data_payload[TANKGAL_LEN] ;</t>
  </si>
  <si>
    <t>Water Height Press</t>
  </si>
  <si>
    <t>Water Height Ultra</t>
  </si>
  <si>
    <t>Tank Temperature</t>
  </si>
  <si>
    <t>Tank Humidity</t>
  </si>
  <si>
    <t>inches of water</t>
  </si>
  <si>
    <t>feet</t>
  </si>
  <si>
    <t>volume cu/ft</t>
  </si>
  <si>
    <t>gallons</t>
  </si>
  <si>
    <t>CM from Ultrasond</t>
  </si>
  <si>
    <t>Height of Water Ultra</t>
  </si>
  <si>
    <t>raw sensor</t>
  </si>
  <si>
    <t>Sensor</t>
  </si>
  <si>
    <t>Feet</t>
  </si>
  <si>
    <t>SenorVal</t>
  </si>
  <si>
    <t>scaled</t>
  </si>
  <si>
    <t>Temp f (int)</t>
  </si>
  <si>
    <t>temp_w1</t>
  </si>
  <si>
    <t>temp_w2</t>
  </si>
  <si>
    <t>temp</t>
  </si>
  <si>
    <t>#define HOUSE_CLIENTID</t>
  </si>
  <si>
    <t>#define  SPARE_CLIENTID</t>
  </si>
  <si>
    <t>#define IRRIGATION_CLIENTID</t>
  </si>
  <si>
    <t>ADC Raw Sensor value (int/hex)</t>
  </si>
  <si>
    <t>adc_sensor</t>
  </si>
  <si>
    <t>gpio_sensor</t>
  </si>
  <si>
    <t>GPIO Sensor Data valuse (int/hex)</t>
  </si>
  <si>
    <t xml:space="preserve"> "Irrigation Flow Client", #define IRRIGATION_CLIENT   "Irrigation Flow Payload", #define IRRIGATION_LEN 10</t>
  </si>
  <si>
    <t xml:space="preserve"> "Tank Flow Client", #define TANK_CLIENT   "TankFlow  Payload", #define TANK_LEN 10</t>
  </si>
  <si>
    <t xml:space="preserve"> "House Flow Client", #define HOUSE_CLIENT   "House Flow Payload", #define HOUSE_LEN 10</t>
  </si>
  <si>
    <t xml:space="preserve"> "SpareFlow  Client", #define SPARE_CLIENT   "SpareFlow  Payload", #define SPARE_LEN 10</t>
  </si>
  <si>
    <t>3ba</t>
  </si>
  <si>
    <t>2d0</t>
  </si>
  <si>
    <t>1c9</t>
  </si>
  <si>
    <t>e8</t>
  </si>
  <si>
    <t>a3</t>
  </si>
  <si>
    <t>34d</t>
  </si>
  <si>
    <t>3ff</t>
  </si>
  <si>
    <t>#define LOG_ID</t>
  </si>
  <si>
    <t>"Sys Log", #define L_TOPIC "Log Data", #define L_LEN 25</t>
  </si>
  <si>
    <t>Minute</t>
  </si>
  <si>
    <t>Hourly</t>
  </si>
  <si>
    <t>Daily</t>
  </si>
  <si>
    <t>Weekly</t>
  </si>
  <si>
    <t>Monthly</t>
  </si>
  <si>
    <t>Yearly</t>
  </si>
  <si>
    <t>Total Gallons per Hour</t>
  </si>
  <si>
    <t>Total Gallons Per Day</t>
  </si>
  <si>
    <t>Pump Cycles per Day</t>
  </si>
  <si>
    <t xml:space="preserve">Pump Run Times </t>
  </si>
  <si>
    <t>GPM</t>
  </si>
  <si>
    <t>PSI</t>
  </si>
  <si>
    <t>GAL</t>
  </si>
  <si>
    <t>INT</t>
  </si>
  <si>
    <t>Total Gallons Per Week</t>
  </si>
  <si>
    <t>Total Gallons Per Week by Day</t>
  </si>
  <si>
    <t>Total Gallons Per Month</t>
  </si>
  <si>
    <t>Total Gallons Per Month by Week</t>
  </si>
  <si>
    <t>Pump Cycles per Week</t>
  </si>
  <si>
    <t>Total Gallons Per Year</t>
  </si>
  <si>
    <t>Total Gallons Per Year by Month</t>
  </si>
  <si>
    <t>Gallons per Minuten per House</t>
  </si>
  <si>
    <t>Hourse Pressure</t>
  </si>
  <si>
    <t>Gallons per Minuten per Well 3</t>
  </si>
  <si>
    <t>Gallons per Minuten per Zone</t>
  </si>
  <si>
    <t>Source</t>
  </si>
  <si>
    <t>House</t>
  </si>
  <si>
    <t>Well 3</t>
  </si>
  <si>
    <t>Zone</t>
  </si>
  <si>
    <t>f1</t>
  </si>
  <si>
    <t>f2</t>
  </si>
  <si>
    <t>b1</t>
  </si>
  <si>
    <t>b2</t>
  </si>
  <si>
    <t>b3</t>
  </si>
  <si>
    <t>b4</t>
  </si>
  <si>
    <t>b5</t>
  </si>
  <si>
    <t>GallonsPerDay</t>
  </si>
  <si>
    <t>f6</t>
  </si>
  <si>
    <t>b6</t>
  </si>
  <si>
    <t>Minutes</t>
  </si>
  <si>
    <t xml:space="preserve">Run Time </t>
  </si>
  <si>
    <t>Alarm ID</t>
  </si>
  <si>
    <t>Description</t>
  </si>
  <si>
    <t>Operator</t>
  </si>
  <si>
    <t>"</t>
  </si>
  <si>
    <t>",</t>
  </si>
  <si>
    <t>tank_</t>
  </si>
  <si>
    <t>char* IrrigationClientData_var_name [] = {</t>
  </si>
  <si>
    <t>house_</t>
  </si>
  <si>
    <t>char* HouseClientData_var_name [] = {</t>
  </si>
  <si>
    <t>irrigation_</t>
  </si>
  <si>
    <t>"};</t>
  </si>
  <si>
    <t>",;</t>
  </si>
  <si>
    <t>sensorID_</t>
  </si>
  <si>
    <t>word #</t>
  </si>
  <si>
    <t>data type</t>
  </si>
  <si>
    <t>prefix</t>
  </si>
  <si>
    <t>variable</t>
  </si>
  <si>
    <t>description</t>
  </si>
  <si>
    <t>Client ID</t>
  </si>
  <si>
    <t>Irrigation Flow Client</t>
  </si>
  <si>
    <t>"Irrigation Flow Client"</t>
  </si>
  <si>
    <t>Topic ID</t>
  </si>
  <si>
    <t>MSG Length</t>
  </si>
  <si>
    <t xml:space="preserve"> #define IRRIGATION_LEN 10</t>
  </si>
  <si>
    <t xml:space="preserve"> "House Flow Client"</t>
  </si>
  <si>
    <t xml:space="preserve"> "Spare Flow Client"</t>
  </si>
  <si>
    <t xml:space="preserve"> "Tank Flow Client"</t>
  </si>
  <si>
    <t xml:space="preserve"> #define TANK_LEN 10</t>
  </si>
  <si>
    <t xml:space="preserve"> #define HOUSE_LEN 10</t>
  </si>
  <si>
    <t xml:space="preserve"> #define SPARE_LEN 10</t>
  </si>
  <si>
    <t>#define IRRIGATION_TOPIC "/mwp/data/sensor/flow/irrigation"</t>
  </si>
  <si>
    <t>#define TANK_TOPIC "/mwp/data/sensor/flow/tank"</t>
  </si>
  <si>
    <t>#define HOUSE_TOPIC "/mwp/data/sensor/flow/house"</t>
  </si>
  <si>
    <t>#define SPARE_TOPIC "/mwp/data/sensor/flow/spare"</t>
  </si>
  <si>
    <t>flow_data_payload[GenericFLowMSGSize] ;
irrigation_data_payload[IRRIGATION_LEN] ;
tank_data_payload[TANK_LEN] ;
house_data_payload[HOUSE_LEN] ;
spare_data_payload[SPARE_LEN] ;</t>
  </si>
  <si>
    <t>/*
int
int
int
int
int
*/</t>
  </si>
  <si>
    <t>min</t>
  </si>
  <si>
    <t>max</t>
  </si>
  <si>
    <t>GPIO Sensor Data: Bit 1: GPIO 4, Bit 2: GPIO 5</t>
  </si>
  <si>
    <t>ADC Raw Sensor value: Bit 0-9 (0-1023)</t>
  </si>
  <si>
    <t>nominal</t>
  </si>
  <si>
    <t>notes</t>
  </si>
  <si>
    <t>S001D</t>
  </si>
  <si>
    <t>Irrigation</t>
  </si>
  <si>
    <t>0=on; 1=off</t>
  </si>
  <si>
    <t>Block ID</t>
  </si>
  <si>
    <t>Block Name</t>
  </si>
  <si>
    <t>From</t>
  </si>
  <si>
    <t>To</t>
  </si>
  <si>
    <t>MQTT Client ID</t>
  </si>
  <si>
    <t>MQTT Topic ID</t>
  </si>
  <si>
    <t>S002D</t>
  </si>
  <si>
    <t>Tank Flow Client</t>
  </si>
  <si>
    <t>irrigation</t>
  </si>
  <si>
    <t>irrigation Flow Data</t>
  </si>
  <si>
    <t>tank</t>
  </si>
  <si>
    <t>tank Flow Data</t>
  </si>
  <si>
    <t>S003D</t>
  </si>
  <si>
    <t>house</t>
  </si>
  <si>
    <t>house Flow Data</t>
  </si>
  <si>
    <t>house water pressure (psi)</t>
  </si>
  <si>
    <t>hydrostatic pressure water depth</t>
  </si>
  <si>
    <t>irrigation water pressure (psi)</t>
  </si>
  <si>
    <t>0=on; 1=off; Tank Overflow, Tank Empty floats</t>
  </si>
  <si>
    <t>pump temp</t>
  </si>
  <si>
    <t>water temp</t>
  </si>
  <si>
    <t>air temp</t>
  </si>
  <si>
    <t>S004D</t>
  </si>
  <si>
    <t>well</t>
  </si>
  <si>
    <t>well power data</t>
  </si>
  <si>
    <t>Well Flow Client</t>
  </si>
  <si>
    <t>Current Sense for Well #1</t>
  </si>
  <si>
    <t>Current Sense for Well #2</t>
  </si>
  <si>
    <t>Current Sense for Well #3</t>
  </si>
  <si>
    <t>Current Sense for Irrigation</t>
  </si>
  <si>
    <t>system operating temperature</t>
  </si>
  <si>
    <t>S005D</t>
  </si>
  <si>
    <t>House Flow Client</t>
  </si>
  <si>
    <t>S001C</t>
  </si>
  <si>
    <t>irrigationCommand</t>
  </si>
  <si>
    <t>irrigation Flow Command</t>
  </si>
  <si>
    <t>command</t>
  </si>
  <si>
    <t>Command Word</t>
  </si>
  <si>
    <t>command_data_w1</t>
  </si>
  <si>
    <t>S001CR</t>
  </si>
  <si>
    <t>command_response_w1</t>
  </si>
  <si>
    <t>Command Response Word</t>
  </si>
  <si>
    <t>Command Response Word 1</t>
  </si>
  <si>
    <t>irrigationResponse</t>
  </si>
  <si>
    <t>irrigation Flow Response</t>
  </si>
  <si>
    <t>I001D</t>
  </si>
  <si>
    <t>irrigationMon</t>
  </si>
  <si>
    <t>Irrigation Monitor</t>
  </si>
  <si>
    <t>Irrigation Monitor Client</t>
  </si>
  <si>
    <t>Irrigation Flow GPM</t>
  </si>
  <si>
    <t>Total Gallons Flowed in 24 hours</t>
  </si>
  <si>
    <t>Rainbird ESP Controller 1=Front 2=Back</t>
  </si>
  <si>
    <t>Rainbird Zone</t>
  </si>
  <si>
    <t>T001D</t>
  </si>
  <si>
    <t>tankMon</t>
  </si>
  <si>
    <t>Tank Monitor</t>
  </si>
  <si>
    <t>Tank Monitor Client</t>
  </si>
  <si>
    <t>float1</t>
  </si>
  <si>
    <t>float2</t>
  </si>
  <si>
    <t>Overfill Float</t>
  </si>
  <si>
    <t>Tank Low Float</t>
  </si>
  <si>
    <t>houseMon</t>
  </si>
  <si>
    <t>H001D</t>
  </si>
  <si>
    <t>House Monitor</t>
  </si>
  <si>
    <t>House Monitor Client</t>
  </si>
  <si>
    <t>W001D</t>
  </si>
  <si>
    <t>wellMon</t>
  </si>
  <si>
    <t>Well Monitor</t>
  </si>
  <si>
    <t>Well Monitor Client</t>
  </si>
  <si>
    <t>Monitor Data for Blynk</t>
  </si>
  <si>
    <t>Monitor Client</t>
  </si>
  <si>
    <t>Alert Data for Blynk</t>
  </si>
  <si>
    <t>Alert Client</t>
  </si>
  <si>
    <t>Alert 1</t>
  </si>
  <si>
    <t>Alert 2</t>
  </si>
  <si>
    <t>Alert 3</t>
  </si>
  <si>
    <t>Alert 4</t>
  </si>
  <si>
    <t>Alert 5</t>
  </si>
  <si>
    <t>Alert 6</t>
  </si>
  <si>
    <t>Alert 7</t>
  </si>
  <si>
    <t>Alert 8</t>
  </si>
  <si>
    <t>Alert 9</t>
  </si>
  <si>
    <t>Alert 10</t>
  </si>
  <si>
    <t>Alert 11</t>
  </si>
  <si>
    <t>Alert 12</t>
  </si>
  <si>
    <t>Alert 13</t>
  </si>
  <si>
    <t>Alert 14</t>
  </si>
  <si>
    <t>Alert 15</t>
  </si>
  <si>
    <t>Alert 16</t>
  </si>
  <si>
    <t>Alert 17</t>
  </si>
  <si>
    <t>Alert 18</t>
  </si>
  <si>
    <t>Alert 19</t>
  </si>
  <si>
    <t>Alert 20</t>
  </si>
  <si>
    <t>command_response_w2</t>
  </si>
  <si>
    <t>Command Data Word 2</t>
  </si>
  <si>
    <t>tankSens</t>
  </si>
  <si>
    <t>monitor</t>
  </si>
  <si>
    <t>alert</t>
  </si>
  <si>
    <t>houseSens</t>
  </si>
  <si>
    <t>wellSens</t>
  </si>
  <si>
    <t>irrigationSens</t>
  </si>
  <si>
    <t>X001D</t>
  </si>
  <si>
    <t>genericSens</t>
  </si>
  <si>
    <t>Generic Sensor Data</t>
  </si>
  <si>
    <t>generic</t>
  </si>
  <si>
    <t>xxx</t>
  </si>
  <si>
    <t>Generic Flow Client</t>
  </si>
  <si>
    <t>This is the template for the flow sensors</t>
  </si>
  <si>
    <t>milliseconds</t>
  </si>
  <si>
    <t>R001C</t>
  </si>
  <si>
    <t>rainbirdCommand</t>
  </si>
  <si>
    <t>Rainbird Command Block</t>
  </si>
  <si>
    <t>R001R</t>
  </si>
  <si>
    <t>rainbirdResponse</t>
  </si>
  <si>
    <t xml:space="preserve">Rainbird Response </t>
  </si>
  <si>
    <t>Text "check1" or "check2"</t>
  </si>
  <si>
    <t>String Len (check1 or check2)</t>
  </si>
  <si>
    <t>String Len Containing all zones/states</t>
  </si>
  <si>
    <t>char</t>
  </si>
  <si>
    <t>command[7]</t>
  </si>
  <si>
    <t>command_response[255]</t>
  </si>
  <si>
    <t>rainbirdPy</t>
  </si>
  <si>
    <t>"+ is controller1 or controller2"</t>
  </si>
  <si>
    <t>RainbirdPy</t>
  </si>
  <si>
    <t>Type</t>
  </si>
  <si>
    <t>data</t>
  </si>
  <si>
    <t>response</t>
  </si>
  <si>
    <t>adc_x1</t>
  </si>
  <si>
    <t>adc_x2</t>
  </si>
  <si>
    <t>adc_x3</t>
  </si>
  <si>
    <t>adc_x4</t>
  </si>
  <si>
    <t>adc_x5</t>
  </si>
  <si>
    <t>adc_x6</t>
  </si>
  <si>
    <t>adc_x7</t>
  </si>
  <si>
    <t>adc_x8</t>
  </si>
  <si>
    <t>extended sensor adc - 1</t>
  </si>
  <si>
    <t>extended sensor adc - 2</t>
  </si>
  <si>
    <t>extended sensor adc - 3</t>
  </si>
  <si>
    <t>extended sensor adc - 4</t>
  </si>
  <si>
    <t>extended sensor adc - 5</t>
  </si>
  <si>
    <t>extended sensor adc - 6</t>
  </si>
  <si>
    <t>extended sensor adc - 7</t>
  </si>
  <si>
    <t>extended sensor adc - 8</t>
  </si>
  <si>
    <t>GPIO_x1</t>
  </si>
  <si>
    <t>GPIO_x2</t>
  </si>
  <si>
    <t>estended sensor GPIO - 1</t>
  </si>
  <si>
    <t>estended sensor GPIO - 2</t>
  </si>
  <si>
    <t>Generic Sensor Extended Data</t>
  </si>
  <si>
    <t>Standard sensor is first set of data</t>
  </si>
  <si>
    <t>Extended sensor add the following fields</t>
  </si>
  <si>
    <t>{Topic ID is Computed}</t>
  </si>
  <si>
    <t>{Blank Indicates Topic ID is Computed}</t>
  </si>
  <si>
    <t>command/rainbird/command</t>
  </si>
  <si>
    <t>response/rainbird/+/active_zone</t>
  </si>
  <si>
    <t>Category</t>
  </si>
  <si>
    <t>sensor</t>
  </si>
  <si>
    <t>Spare 1</t>
  </si>
  <si>
    <t>Spare 2</t>
  </si>
  <si>
    <t>Spare 3</t>
  </si>
  <si>
    <t>Spare 4</t>
  </si>
  <si>
    <t>Pumps On Discrete &amp; Septic Alert Discrete</t>
  </si>
  <si>
    <t>Irrigation Pump Temp Low</t>
  </si>
  <si>
    <t>CONDITION_EQUAL</t>
  </si>
  <si>
    <t>CONDITION_LESS_THAN</t>
  </si>
  <si>
    <t>Irrigation Pump Temperature Exceeding Low Limit</t>
  </si>
  <si>
    <t>TRIGGER_DELAY</t>
  </si>
  <si>
    <t>tankMon_.tank.float2</t>
  </si>
  <si>
    <t>irrigationMon_.irrigation.PumpTemp</t>
  </si>
  <si>
    <t>House Supply Temp Low</t>
  </si>
  <si>
    <t>Irrigation Water Pressure Low</t>
  </si>
  <si>
    <t>tankMon_.tank.tank_gallons</t>
  </si>
  <si>
    <t>CONDITION_GREATER_THAN</t>
  </si>
  <si>
    <t>tankMon_.tank.tank_gallons_per_minute</t>
  </si>
  <si>
    <t>Water Well #3 Pump ON but Flow is Less Than 2 Gal per Minute</t>
  </si>
  <si>
    <t>monitor_.monitor.pump_run_time_1</t>
  </si>
  <si>
    <t>monitor_.monitor.pump_run_time_count</t>
  </si>
  <si>
    <t>Water Well Run Time Exceeds 25 Minutes Total</t>
  </si>
  <si>
    <t>Water Well Cycles Exceeds 15 per Day</t>
  </si>
  <si>
    <t>monitor_.monitor.pump_run_time_2</t>
  </si>
  <si>
    <t>monitor_.monitor.pump_run_time_3</t>
  </si>
  <si>
    <t>monitor_.monitor.pump_run_time_4</t>
  </si>
  <si>
    <t xml:space="preserve">houseMon_.house.houseSupplyTemp </t>
  </si>
  <si>
    <t>wellMon_.well.House_tank_pressure_switch_on</t>
  </si>
  <si>
    <t>AND</t>
  </si>
  <si>
    <t xml:space="preserve">      // Pulse frequency (Hz) = .5Q, Q is flow rate in L/min.</t>
  </si>
  <si>
    <t xml:space="preserve">      l_hour = (flow_frequency * 60 / .5); // (Pulse frequency x 60 min) / .5Q = flowrate in L/hour</t>
  </si>
  <si>
    <t>Pulses/Millisecond</t>
  </si>
  <si>
    <t>Pul/Sec</t>
  </si>
  <si>
    <t>Pul/min</t>
  </si>
  <si>
    <t>Litres/min</t>
  </si>
  <si>
    <t>Gal/min</t>
  </si>
  <si>
    <t>Gal/Hr</t>
  </si>
  <si>
    <t>Cal Factor</t>
  </si>
  <si>
    <t>Cal'd L/min</t>
  </si>
  <si>
    <t>Cal'd L/sec</t>
  </si>
  <si>
    <t>Cal'd Gal/sec</t>
  </si>
  <si>
    <t xml:space="preserve">    double elapsedTimeSec = elapsedTimeMs / 1000.0;</t>
  </si>
  <si>
    <t xml:space="preserve">    double frequency = pulses / elapsedTimeSec;</t>
  </si>
  <si>
    <t xml:space="preserve">    double flowRateLPM = 2 * frequency;</t>
  </si>
  <si>
    <t xml:space="preserve">    flowRateLPM *= calibrationFactor;</t>
  </si>
  <si>
    <t xml:space="preserve">    double flowRateGPM = flowRateLPM * LITRES_TO_GALLONS;</t>
  </si>
  <si>
    <t xml:space="preserve">    // Update total gallons flowed</t>
  </si>
  <si>
    <t xml:space="preserve">    double flowThisInterval = flowRateGPM * (elapsedTimeSec / 60.0); // Convert GPM to gallons for the current interval</t>
  </si>
  <si>
    <t xml:space="preserve">    totalGallonsFlowed += flowThisInterval;</t>
  </si>
  <si>
    <t xml:space="preserve">LITRES_TO_GALLONS </t>
  </si>
  <si>
    <t>amp_pump_1</t>
  </si>
  <si>
    <t>amp_pump_2</t>
  </si>
  <si>
    <t>amp_pump_3</t>
  </si>
  <si>
    <t>amp_pump_4</t>
  </si>
  <si>
    <t>amp_5</t>
  </si>
  <si>
    <t>amp_6</t>
  </si>
  <si>
    <t>amp_7</t>
  </si>
  <si>
    <t>amp_8</t>
  </si>
  <si>
    <t>amp count pump 1</t>
  </si>
  <si>
    <t>amp count pump 2</t>
  </si>
  <si>
    <t>amp count pump 3</t>
  </si>
  <si>
    <t>amp count pump 4</t>
  </si>
  <si>
    <t>amp count 5</t>
  </si>
  <si>
    <t>amp count 6</t>
  </si>
  <si>
    <t>amp count 7</t>
  </si>
  <si>
    <t>amp count 8</t>
  </si>
  <si>
    <t>Irrigation Pump</t>
  </si>
  <si>
    <t>L001D</t>
  </si>
  <si>
    <t>Log Data</t>
  </si>
  <si>
    <t>Log Client</t>
  </si>
  <si>
    <t>pump</t>
  </si>
  <si>
    <t>Pump Number 1,2,3 Wells &amp; 4 Irrigation</t>
  </si>
  <si>
    <t>param1</t>
  </si>
  <si>
    <t>param2</t>
  </si>
  <si>
    <t>Additional source desc - 1 front 2 back 3 outback</t>
  </si>
  <si>
    <t>Additional source desc - 1-22 zones</t>
  </si>
  <si>
    <t>intervalFlow</t>
  </si>
  <si>
    <t>pressure</t>
  </si>
  <si>
    <t>amperage</t>
  </si>
  <si>
    <t>Gallons Flowed in Interval</t>
  </si>
  <si>
    <t>Static Pressure</t>
  </si>
  <si>
    <t>Integer Represents Amps</t>
  </si>
  <si>
    <t>timestamp</t>
  </si>
  <si>
    <t>unix timestamp</t>
  </si>
  <si>
    <t>Tank_Water_Height</t>
  </si>
  <si>
    <t>Tank_Gallons</t>
  </si>
  <si>
    <t>Tank_Percent_Full</t>
  </si>
  <si>
    <t>House_Pressure</t>
  </si>
  <si>
    <t>Irrigation_Pressure</t>
  </si>
  <si>
    <t>House_Gallons_Minute</t>
  </si>
  <si>
    <t>Well3_Pressure</t>
  </si>
  <si>
    <t>Well3_Gallons_Minute</t>
  </si>
  <si>
    <t>Irrigation_Gallons_Minute</t>
  </si>
  <si>
    <t>House_Gallons_Day</t>
  </si>
  <si>
    <t>Well3_Gallons_Day</t>
  </si>
  <si>
    <t>Irrigation_Gallons_Day</t>
  </si>
  <si>
    <t>System_Temp</t>
  </si>
  <si>
    <t>House_Water_Temp</t>
  </si>
  <si>
    <t>Irrigation_Pump_Temp</t>
  </si>
  <si>
    <t>Air_Temp</t>
  </si>
  <si>
    <t>Spare1</t>
  </si>
  <si>
    <t>Spare2</t>
  </si>
  <si>
    <t>Well_1_LED_Bright</t>
  </si>
  <si>
    <t>Well_1_LED_Color</t>
  </si>
  <si>
    <t>Well_2_LED_Bright</t>
  </si>
  <si>
    <t>Well_2_LED_Color</t>
  </si>
  <si>
    <t>Well_3_LED_Bright</t>
  </si>
  <si>
    <t>Well_3_LED_Color</t>
  </si>
  <si>
    <t>Irrig_4_LED_Bright</t>
  </si>
  <si>
    <t>Irrig_4_LED_Color</t>
  </si>
  <si>
    <t>Spare1_LED_Bright</t>
  </si>
  <si>
    <t>Spare2_LED_Bright</t>
  </si>
  <si>
    <t>unused1</t>
  </si>
  <si>
    <t>unused2</t>
  </si>
  <si>
    <t>unused3</t>
  </si>
  <si>
    <t>unused4</t>
  </si>
  <si>
    <t>unused5</t>
  </si>
  <si>
    <t>unused6</t>
  </si>
  <si>
    <t>unused7</t>
  </si>
  <si>
    <t>unused8</t>
  </si>
  <si>
    <t>unused9</t>
  </si>
  <si>
    <t>unused10</t>
  </si>
  <si>
    <t>unused11</t>
  </si>
  <si>
    <t>unused12</t>
  </si>
  <si>
    <t>Controller</t>
  </si>
  <si>
    <t>wellMon_.well.septic_alert_on</t>
  </si>
  <si>
    <t>wellMon_.well.irrigation_pump_on</t>
  </si>
  <si>
    <t>wellMon_.well.well_pump_3_on</t>
  </si>
  <si>
    <t>houseMon_.house .housePressure</t>
  </si>
  <si>
    <t>irrigationMon_.irrigation.Pressure</t>
  </si>
  <si>
    <t>irrigationMon_.irrigation.FlowPerMin</t>
  </si>
  <si>
    <t>wellMon_.well.well_pump_1_on</t>
  </si>
  <si>
    <t>wellMon_.well.well_pump_2_on</t>
  </si>
  <si>
    <t>Alarm Type</t>
  </si>
  <si>
    <t>CRITICAL</t>
  </si>
  <si>
    <t>WARN</t>
  </si>
  <si>
    <t>INFO</t>
  </si>
  <si>
    <t>Conditional1</t>
  </si>
  <si>
    <t>Conditional2</t>
  </si>
  <si>
    <t>Event Sent</t>
  </si>
  <si>
    <t>Alert1</t>
  </si>
  <si>
    <t xml:space="preserve">Alert2 </t>
  </si>
  <si>
    <t>Alert3</t>
  </si>
  <si>
    <t>Alert4</t>
  </si>
  <si>
    <t>Alert5</t>
  </si>
  <si>
    <t>Alert6</t>
  </si>
  <si>
    <t>Alert7</t>
  </si>
  <si>
    <t>Alert8</t>
  </si>
  <si>
    <t>Alert9</t>
  </si>
  <si>
    <t>Alert10</t>
  </si>
  <si>
    <t>Alert11</t>
  </si>
  <si>
    <t>Alert12</t>
  </si>
  <si>
    <t>Alert13</t>
  </si>
  <si>
    <t>Alert14</t>
  </si>
  <si>
    <t>Alert15</t>
  </si>
  <si>
    <t>Alert16</t>
  </si>
  <si>
    <t>Alert17</t>
  </si>
  <si>
    <t>Alert18</t>
  </si>
  <si>
    <t>Alert19</t>
  </si>
  <si>
    <t>Alert20</t>
  </si>
  <si>
    <t>Alert21</t>
  </si>
  <si>
    <t>Alert22</t>
  </si>
  <si>
    <t>Alert23</t>
  </si>
  <si>
    <t>Alert24</t>
  </si>
  <si>
    <t>Alert25</t>
  </si>
  <si>
    <t>Alert26</t>
  </si>
  <si>
    <t>Alert27</t>
  </si>
  <si>
    <t>Alert28</t>
  </si>
  <si>
    <t>Alert29</t>
  </si>
  <si>
    <t>Alert30</t>
  </si>
  <si>
    <t>Alert31</t>
  </si>
  <si>
    <t>Alert32</t>
  </si>
  <si>
    <t>Alert33</t>
  </si>
  <si>
    <t>Alert34</t>
  </si>
  <si>
    <t>Alert35</t>
  </si>
  <si>
    <t>Alert36</t>
  </si>
  <si>
    <t>Alert37</t>
  </si>
  <si>
    <t>Alert38</t>
  </si>
  <si>
    <t>Alert39</t>
  </si>
  <si>
    <t>Alert40</t>
  </si>
  <si>
    <t>Alert 21</t>
  </si>
  <si>
    <t>Alert 22</t>
  </si>
  <si>
    <t>Alert 23</t>
  </si>
  <si>
    <t>Alert 24</t>
  </si>
  <si>
    <t>Alert 25</t>
  </si>
  <si>
    <t>Alert 26</t>
  </si>
  <si>
    <t>Alert 27</t>
  </si>
  <si>
    <t>Alert 28</t>
  </si>
  <si>
    <t>Alert 29</t>
  </si>
  <si>
    <t>Alert 30</t>
  </si>
  <si>
    <t>Alert 31</t>
  </si>
  <si>
    <t>Alert 32</t>
  </si>
  <si>
    <t>Alert 33</t>
  </si>
  <si>
    <t>Alert 34</t>
  </si>
  <si>
    <t>Alert 35</t>
  </si>
  <si>
    <t>Alert 36</t>
  </si>
  <si>
    <t>Alert 37</t>
  </si>
  <si>
    <t>Alert 38</t>
  </si>
  <si>
    <t>Alert 39</t>
  </si>
  <si>
    <t>Alert 40</t>
  </si>
  <si>
    <t>Label</t>
  </si>
  <si>
    <t>Event Message</t>
  </si>
  <si>
    <t>Well 1 Not Starting</t>
  </si>
  <si>
    <t>Well 2 Not Starting</t>
  </si>
  <si>
    <t>Well 3 Not Starting</t>
  </si>
  <si>
    <t>Well 1 Runtime Exceeded</t>
  </si>
  <si>
    <t>Well 1 Cycles Excessive</t>
  </si>
  <si>
    <t>Well 2 Runtime Exceeded</t>
  </si>
  <si>
    <t>Well 2 Cycles Excessive</t>
  </si>
  <si>
    <t>Well 3 Runtime Exceeded</t>
  </si>
  <si>
    <t>Well 3 Cycles Excessive</t>
  </si>
  <si>
    <t>Irrigation Runtime Exceeded</t>
  </si>
  <si>
    <t>Irrigation Cycles Excessive</t>
  </si>
  <si>
    <t>Tank Level Critically Low</t>
  </si>
  <si>
    <t>Trigger Var1</t>
  </si>
  <si>
    <t>Trigger Var2</t>
  </si>
  <si>
    <t>TrigValue1</t>
  </si>
  <si>
    <t>TrigValue2</t>
  </si>
  <si>
    <t>xx.xx</t>
  </si>
  <si>
    <t>A001C</t>
  </si>
  <si>
    <t>alertCommand</t>
  </si>
  <si>
    <t>Alert Command Block</t>
  </si>
  <si>
    <t>blynkAlert</t>
  </si>
  <si>
    <t>clearCommand</t>
  </si>
  <si>
    <t>Command Word - Clear</t>
  </si>
  <si>
    <t>1=Clear Alerts</t>
  </si>
  <si>
    <t>adc</t>
  </si>
  <si>
    <t>psi</t>
  </si>
  <si>
    <t>voltage</t>
  </si>
  <si>
    <t>pressurePSI</t>
  </si>
  <si>
    <t>temperatureF</t>
  </si>
  <si>
    <t>gallonsMinute</t>
  </si>
  <si>
    <t>gallonsDay</t>
  </si>
  <si>
    <t>controller</t>
  </si>
  <si>
    <t>zone</t>
  </si>
  <si>
    <t>cycleCount</t>
  </si>
  <si>
    <t>fwVersion</t>
  </si>
  <si>
    <t>Pressure in PSI - Atmospheric</t>
  </si>
  <si>
    <t>Temperature - Tank Valve</t>
  </si>
  <si>
    <t>Gallons in interval</t>
  </si>
  <si>
    <t>Amperage</t>
  </si>
  <si>
    <t>Gallons per Minute</t>
  </si>
  <si>
    <t>Pressure in PSI - House</t>
  </si>
  <si>
    <t>Temperature - House Supply</t>
  </si>
  <si>
    <t>Spare 5</t>
  </si>
  <si>
    <t>Spare</t>
  </si>
  <si>
    <t>W003D</t>
  </si>
  <si>
    <t>well3Mon</t>
  </si>
  <si>
    <t>Well3 Monitor</t>
  </si>
  <si>
    <t>well3</t>
  </si>
  <si>
    <t>Well3 Monitor Client</t>
  </si>
  <si>
    <t>Pressure in PSI - Well3</t>
  </si>
  <si>
    <t>Temperature - Well3 Supply Line</t>
  </si>
  <si>
    <t>Pressure in PSI - Irrigation</t>
  </si>
  <si>
    <t>Temperature - Irrigation Pump</t>
  </si>
  <si>
    <t>Irrigation Total Gallons (24hrs)</t>
  </si>
  <si>
    <t>House Total Gallons (24hrs)</t>
  </si>
  <si>
    <t>Well3 Total Gallons (24hrs)</t>
  </si>
  <si>
    <t>Gallons in interval -N/A</t>
  </si>
  <si>
    <t>Amperage -N/A</t>
  </si>
  <si>
    <t>well3Sens</t>
  </si>
  <si>
    <t>well3 Flow Data</t>
  </si>
  <si>
    <t>Well3 Flow Client</t>
  </si>
  <si>
    <t>logger</t>
  </si>
  <si>
    <t>logger Data</t>
  </si>
  <si>
    <t>Logger Client</t>
  </si>
  <si>
    <t>Well3</t>
  </si>
  <si>
    <t>Gallons</t>
  </si>
  <si>
    <t>1m</t>
  </si>
  <si>
    <t>secondsOn</t>
  </si>
  <si>
    <t>Seconds On Time for Pump</t>
  </si>
  <si>
    <t>Second on for Pump</t>
  </si>
  <si>
    <t>for Calculating Pump Run Times</t>
  </si>
  <si>
    <t>Current/Prior</t>
  </si>
  <si>
    <t>RunTime</t>
  </si>
  <si>
    <t>gallonsTank</t>
  </si>
  <si>
    <t>Gallons in Tank (pressure sensor)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</si>
</sst>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4"/>
      <name val="Menlo"/>
      <family val="2"/>
    </font>
    <font>
      <b/>
      <sz val="12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Menlo"/>
      <family val="2"/>
    </font>
    <font>
      <b/>
      <sz val="12"/>
      <color rgb="FF9B2393"/>
      <name val="Menlo"/>
      <family val="2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4"/>
      <color rgb="FF00A67D"/>
      <name val="Monaco"/>
      <family val="2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B5CEA8"/>
      <name val="Menlo"/>
      <family val="2"/>
    </font>
    <font>
      <sz val="12"/>
      <color rgb="FFFF0000"/>
      <name val="Menlo"/>
      <family val="2"/>
    </font>
    <font>
      <sz val="12"/>
      <color theme="1"/>
      <name val="Menlo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B2B2F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1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0" fillId="2" borderId="0" xfId="0" applyFill="1"/>
    <xf numFmtId="0" fontId="5" fillId="0" borderId="0" xfId="0" applyFont="1"/>
    <xf numFmtId="0" fontId="7" fillId="0" borderId="0" xfId="0" applyFont="1"/>
    <xf numFmtId="0" fontId="7" fillId="3" borderId="0" xfId="0" applyFont="1" applyFill="1"/>
    <xf numFmtId="0" fontId="5" fillId="4" borderId="0" xfId="0" applyFont="1" applyFill="1"/>
    <xf numFmtId="0" fontId="0" fillId="6" borderId="0" xfId="0" applyFill="1"/>
    <xf numFmtId="0" fontId="9" fillId="6" borderId="0" xfId="0" applyFont="1" applyFill="1" applyAlignment="1">
      <alignment horizontal="center" vertical="center"/>
    </xf>
    <xf numFmtId="0" fontId="10" fillId="2" borderId="5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1" fillId="0" borderId="0" xfId="0" applyFont="1"/>
    <xf numFmtId="0" fontId="0" fillId="0" borderId="0" xfId="0" applyAlignment="1">
      <alignment horizontal="center"/>
    </xf>
    <xf numFmtId="0" fontId="12" fillId="8" borderId="0" xfId="0" applyFont="1" applyFill="1" applyAlignment="1">
      <alignment horizontal="center"/>
    </xf>
    <xf numFmtId="0" fontId="13" fillId="9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0" borderId="0" xfId="0" applyAlignment="1">
      <alignment horizontal="center" vertical="center" wrapText="1"/>
    </xf>
    <xf numFmtId="20" fontId="0" fillId="0" borderId="0" xfId="0" applyNumberFormat="1" applyAlignment="1">
      <alignment horizontal="center"/>
    </xf>
    <xf numFmtId="0" fontId="0" fillId="10" borderId="0" xfId="0" applyFill="1"/>
    <xf numFmtId="0" fontId="14" fillId="0" borderId="0" xfId="0" applyFont="1"/>
    <xf numFmtId="0" fontId="15" fillId="0" borderId="0" xfId="0" applyFont="1"/>
    <xf numFmtId="2" fontId="0" fillId="0" borderId="0" xfId="0" applyNumberFormat="1"/>
    <xf numFmtId="0" fontId="16" fillId="0" borderId="0" xfId="0" applyFont="1"/>
    <xf numFmtId="0" fontId="17" fillId="0" borderId="0" xfId="0" applyFont="1"/>
    <xf numFmtId="21" fontId="0" fillId="0" borderId="0" xfId="0" applyNumberFormat="1"/>
    <xf numFmtId="11" fontId="0" fillId="0" borderId="0" xfId="0" applyNumberFormat="1"/>
    <xf numFmtId="0" fontId="0" fillId="11" borderId="0" xfId="0" applyFill="1"/>
    <xf numFmtId="21" fontId="0" fillId="11" borderId="0" xfId="0" applyNumberFormat="1" applyFill="1"/>
    <xf numFmtId="0" fontId="17" fillId="11" borderId="0" xfId="0" applyFont="1" applyFill="1"/>
    <xf numFmtId="0" fontId="0" fillId="3" borderId="0" xfId="0" applyFill="1"/>
    <xf numFmtId="0" fontId="4" fillId="12" borderId="5" xfId="0" applyFont="1" applyFill="1" applyBorder="1"/>
    <xf numFmtId="0" fontId="0" fillId="10" borderId="8" xfId="0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13" fillId="9" borderId="12" xfId="0" applyFont="1" applyFill="1" applyBorder="1" applyAlignment="1">
      <alignment horizontal="center"/>
    </xf>
    <xf numFmtId="0" fontId="0" fillId="10" borderId="12" xfId="0" applyFill="1" applyBorder="1"/>
    <xf numFmtId="0" fontId="0" fillId="10" borderId="13" xfId="0" applyFill="1" applyBorder="1"/>
    <xf numFmtId="0" fontId="3" fillId="2" borderId="13" xfId="0" applyFont="1" applyFill="1" applyBorder="1"/>
    <xf numFmtId="0" fontId="7" fillId="2" borderId="13" xfId="0" applyFont="1" applyFill="1" applyBorder="1"/>
    <xf numFmtId="0" fontId="3" fillId="2" borderId="14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13" fillId="8" borderId="12" xfId="0" applyFont="1" applyFill="1" applyBorder="1" applyAlignment="1">
      <alignment horizontal="center"/>
    </xf>
    <xf numFmtId="0" fontId="3" fillId="0" borderId="13" xfId="0" applyFont="1" applyBorder="1"/>
    <xf numFmtId="0" fontId="7" fillId="0" borderId="13" xfId="0" applyFont="1" applyBorder="1"/>
    <xf numFmtId="0" fontId="3" fillId="0" borderId="14" xfId="0" applyFont="1" applyBorder="1"/>
    <xf numFmtId="0" fontId="0" fillId="8" borderId="7" xfId="0" applyFill="1" applyBorder="1"/>
    <xf numFmtId="0" fontId="0" fillId="8" borderId="15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1" xfId="0" applyFill="1" applyBorder="1"/>
    <xf numFmtId="0" fontId="14" fillId="0" borderId="0" xfId="0" applyFont="1" applyAlignment="1">
      <alignment wrapText="1"/>
    </xf>
    <xf numFmtId="0" fontId="4" fillId="2" borderId="0" xfId="0" applyFont="1" applyFill="1"/>
    <xf numFmtId="0" fontId="13" fillId="8" borderId="0" xfId="0" applyFont="1" applyFill="1" applyAlignment="1">
      <alignment horizontal="center"/>
    </xf>
    <xf numFmtId="0" fontId="0" fillId="10" borderId="10" xfId="0" applyFill="1" applyBorder="1"/>
    <xf numFmtId="0" fontId="3" fillId="0" borderId="10" xfId="0" applyFont="1" applyBorder="1"/>
    <xf numFmtId="0" fontId="7" fillId="0" borderId="10" xfId="0" applyFont="1" applyBorder="1"/>
    <xf numFmtId="0" fontId="3" fillId="0" borderId="11" xfId="0" applyFont="1" applyBorder="1"/>
    <xf numFmtId="0" fontId="0" fillId="2" borderId="18" xfId="0" applyFill="1" applyBorder="1"/>
    <xf numFmtId="0" fontId="4" fillId="2" borderId="18" xfId="0" applyFont="1" applyFill="1" applyBorder="1"/>
    <xf numFmtId="0" fontId="3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10" borderId="20" xfId="0" applyFill="1" applyBorder="1"/>
    <xf numFmtId="0" fontId="0" fillId="10" borderId="4" xfId="0" applyFill="1" applyBorder="1"/>
    <xf numFmtId="0" fontId="0" fillId="2" borderId="21" xfId="0" applyFill="1" applyBorder="1"/>
    <xf numFmtId="0" fontId="0" fillId="10" borderId="5" xfId="0" applyFill="1" applyBorder="1"/>
    <xf numFmtId="0" fontId="0" fillId="2" borderId="22" xfId="0" applyFill="1" applyBorder="1"/>
    <xf numFmtId="0" fontId="4" fillId="2" borderId="23" xfId="0" applyFont="1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26" xfId="0" applyFont="1" applyFill="1" applyBorder="1"/>
    <xf numFmtId="0" fontId="4" fillId="2" borderId="26" xfId="0" applyFont="1" applyFill="1" applyBorder="1"/>
    <xf numFmtId="0" fontId="4" fillId="2" borderId="25" xfId="0" applyFont="1" applyFill="1" applyBorder="1"/>
    <xf numFmtId="0" fontId="0" fillId="2" borderId="27" xfId="0" applyFill="1" applyBorder="1"/>
    <xf numFmtId="0" fontId="0" fillId="10" borderId="27" xfId="0" applyFill="1" applyBorder="1"/>
    <xf numFmtId="0" fontId="0" fillId="10" borderId="18" xfId="0" applyFill="1" applyBorder="1"/>
    <xf numFmtId="0" fontId="4" fillId="2" borderId="13" xfId="0" applyFont="1" applyFill="1" applyBorder="1" applyAlignment="1">
      <alignment wrapText="1"/>
    </xf>
    <xf numFmtId="0" fontId="0" fillId="10" borderId="14" xfId="0" applyFill="1" applyBorder="1"/>
    <xf numFmtId="0" fontId="0" fillId="10" borderId="28" xfId="0" applyFill="1" applyBorder="1"/>
    <xf numFmtId="0" fontId="0" fillId="2" borderId="20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5" xfId="0" applyFill="1" applyBorder="1" applyAlignment="1">
      <alignment horizontal="left"/>
    </xf>
    <xf numFmtId="0" fontId="0" fillId="8" borderId="19" xfId="0" applyFill="1" applyBorder="1"/>
    <xf numFmtId="0" fontId="0" fillId="8" borderId="20" xfId="0" applyFill="1" applyBorder="1" applyAlignment="1">
      <alignment horizontal="left"/>
    </xf>
    <xf numFmtId="0" fontId="0" fillId="8" borderId="20" xfId="0" applyFill="1" applyBorder="1"/>
    <xf numFmtId="0" fontId="0" fillId="8" borderId="21" xfId="0" applyFill="1" applyBorder="1"/>
    <xf numFmtId="0" fontId="0" fillId="8" borderId="0" xfId="0" applyFill="1" applyAlignment="1">
      <alignment horizontal="left"/>
    </xf>
    <xf numFmtId="0" fontId="0" fillId="8" borderId="25" xfId="0" applyFill="1" applyBorder="1" applyAlignment="1">
      <alignment horizontal="left"/>
    </xf>
    <xf numFmtId="0" fontId="0" fillId="8" borderId="25" xfId="0" applyFill="1" applyBorder="1"/>
    <xf numFmtId="0" fontId="0" fillId="8" borderId="28" xfId="0" applyFill="1" applyBorder="1"/>
    <xf numFmtId="0" fontId="0" fillId="8" borderId="14" xfId="0" applyFill="1" applyBorder="1"/>
    <xf numFmtId="0" fontId="0" fillId="8" borderId="22" xfId="0" applyFill="1" applyBorder="1"/>
    <xf numFmtId="0" fontId="0" fillId="8" borderId="18" xfId="0" applyFill="1" applyBorder="1"/>
    <xf numFmtId="0" fontId="4" fillId="8" borderId="18" xfId="0" applyFont="1" applyFill="1" applyBorder="1"/>
    <xf numFmtId="0" fontId="0" fillId="13" borderId="19" xfId="0" applyFill="1" applyBorder="1"/>
    <xf numFmtId="0" fontId="0" fillId="13" borderId="20" xfId="0" applyFill="1" applyBorder="1" applyAlignment="1">
      <alignment horizontal="left"/>
    </xf>
    <xf numFmtId="0" fontId="0" fillId="13" borderId="20" xfId="0" applyFill="1" applyBorder="1"/>
    <xf numFmtId="0" fontId="0" fillId="13" borderId="21" xfId="0" applyFill="1" applyBorder="1"/>
    <xf numFmtId="0" fontId="0" fillId="13" borderId="0" xfId="0" applyFill="1" applyAlignment="1">
      <alignment horizontal="left"/>
    </xf>
    <xf numFmtId="0" fontId="0" fillId="13" borderId="0" xfId="0" applyFill="1"/>
    <xf numFmtId="0" fontId="0" fillId="13" borderId="25" xfId="0" applyFill="1" applyBorder="1" applyAlignment="1">
      <alignment horizontal="left"/>
    </xf>
    <xf numFmtId="0" fontId="0" fillId="13" borderId="25" xfId="0" applyFill="1" applyBorder="1"/>
    <xf numFmtId="0" fontId="0" fillId="13" borderId="28" xfId="0" applyFill="1" applyBorder="1"/>
    <xf numFmtId="0" fontId="0" fillId="13" borderId="14" xfId="0" applyFill="1" applyBorder="1"/>
    <xf numFmtId="0" fontId="0" fillId="13" borderId="22" xfId="0" applyFill="1" applyBorder="1"/>
    <xf numFmtId="0" fontId="0" fillId="13" borderId="18" xfId="0" applyFill="1" applyBorder="1"/>
    <xf numFmtId="0" fontId="4" fillId="13" borderId="18" xfId="0" applyFont="1" applyFill="1" applyBorder="1"/>
    <xf numFmtId="0" fontId="0" fillId="15" borderId="19" xfId="0" applyFill="1" applyBorder="1"/>
    <xf numFmtId="0" fontId="0" fillId="15" borderId="20" xfId="0" applyFill="1" applyBorder="1" applyAlignment="1">
      <alignment horizontal="left"/>
    </xf>
    <xf numFmtId="0" fontId="0" fillId="15" borderId="20" xfId="0" applyFill="1" applyBorder="1"/>
    <xf numFmtId="0" fontId="0" fillId="15" borderId="21" xfId="0" applyFill="1" applyBorder="1"/>
    <xf numFmtId="0" fontId="0" fillId="15" borderId="0" xfId="0" applyFill="1" applyAlignment="1">
      <alignment horizontal="left"/>
    </xf>
    <xf numFmtId="0" fontId="0" fillId="15" borderId="0" xfId="0" applyFill="1"/>
    <xf numFmtId="0" fontId="0" fillId="15" borderId="25" xfId="0" applyFill="1" applyBorder="1" applyAlignment="1">
      <alignment horizontal="left"/>
    </xf>
    <xf numFmtId="0" fontId="0" fillId="15" borderId="25" xfId="0" applyFill="1" applyBorder="1"/>
    <xf numFmtId="0" fontId="0" fillId="15" borderId="28" xfId="0" applyFill="1" applyBorder="1"/>
    <xf numFmtId="0" fontId="0" fillId="15" borderId="14" xfId="0" applyFill="1" applyBorder="1"/>
    <xf numFmtId="0" fontId="0" fillId="15" borderId="22" xfId="0" applyFill="1" applyBorder="1"/>
    <xf numFmtId="0" fontId="0" fillId="15" borderId="18" xfId="0" applyFill="1" applyBorder="1"/>
    <xf numFmtId="0" fontId="4" fillId="15" borderId="18" xfId="0" applyFont="1" applyFill="1" applyBorder="1"/>
    <xf numFmtId="0" fontId="0" fillId="16" borderId="19" xfId="0" applyFill="1" applyBorder="1"/>
    <xf numFmtId="0" fontId="0" fillId="16" borderId="20" xfId="0" applyFill="1" applyBorder="1" applyAlignment="1">
      <alignment horizontal="left"/>
    </xf>
    <xf numFmtId="0" fontId="0" fillId="16" borderId="20" xfId="0" applyFill="1" applyBorder="1"/>
    <xf numFmtId="0" fontId="0" fillId="16" borderId="21" xfId="0" applyFill="1" applyBorder="1"/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25" xfId="0" applyFill="1" applyBorder="1" applyAlignment="1">
      <alignment horizontal="left"/>
    </xf>
    <xf numFmtId="0" fontId="0" fillId="16" borderId="25" xfId="0" applyFill="1" applyBorder="1"/>
    <xf numFmtId="0" fontId="0" fillId="16" borderId="28" xfId="0" applyFill="1" applyBorder="1"/>
    <xf numFmtId="0" fontId="0" fillId="16" borderId="14" xfId="0" applyFill="1" applyBorder="1"/>
    <xf numFmtId="0" fontId="0" fillId="16" borderId="18" xfId="0" applyFill="1" applyBorder="1"/>
    <xf numFmtId="0" fontId="0" fillId="16" borderId="22" xfId="0" applyFill="1" applyBorder="1"/>
    <xf numFmtId="0" fontId="4" fillId="16" borderId="18" xfId="0" applyFont="1" applyFill="1" applyBorder="1"/>
    <xf numFmtId="0" fontId="18" fillId="16" borderId="18" xfId="0" applyFont="1" applyFill="1" applyBorder="1"/>
    <xf numFmtId="0" fontId="4" fillId="0" borderId="0" xfId="0" applyFont="1"/>
    <xf numFmtId="0" fontId="0" fillId="0" borderId="21" xfId="0" applyBorder="1"/>
    <xf numFmtId="0" fontId="19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10" borderId="29" xfId="0" applyFill="1" applyBorder="1"/>
    <xf numFmtId="0" fontId="0" fillId="2" borderId="30" xfId="0" applyFill="1" applyBorder="1"/>
    <xf numFmtId="0" fontId="0" fillId="2" borderId="31" xfId="0" applyFill="1" applyBorder="1"/>
    <xf numFmtId="0" fontId="4" fillId="2" borderId="31" xfId="0" applyFont="1" applyFill="1" applyBorder="1"/>
    <xf numFmtId="0" fontId="4" fillId="2" borderId="32" xfId="0" applyFont="1" applyFill="1" applyBorder="1"/>
    <xf numFmtId="0" fontId="0" fillId="2" borderId="4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12" xfId="0" applyFill="1" applyBorder="1"/>
    <xf numFmtId="0" fontId="4" fillId="2" borderId="12" xfId="0" applyFont="1" applyFill="1" applyBorder="1"/>
    <xf numFmtId="0" fontId="4" fillId="2" borderId="35" xfId="0" applyFont="1" applyFill="1" applyBorder="1"/>
    <xf numFmtId="0" fontId="0" fillId="17" borderId="18" xfId="0" applyFill="1" applyBorder="1"/>
    <xf numFmtId="0" fontId="4" fillId="17" borderId="18" xfId="0" applyFont="1" applyFill="1" applyBorder="1"/>
    <xf numFmtId="0" fontId="0" fillId="17" borderId="36" xfId="0" applyFill="1" applyBorder="1"/>
    <xf numFmtId="0" fontId="4" fillId="17" borderId="36" xfId="0" applyFont="1" applyFill="1" applyBorder="1"/>
    <xf numFmtId="0" fontId="4" fillId="17" borderId="37" xfId="0" applyFont="1" applyFill="1" applyBorder="1"/>
    <xf numFmtId="0" fontId="4" fillId="17" borderId="23" xfId="0" applyFont="1" applyFill="1" applyBorder="1"/>
    <xf numFmtId="0" fontId="0" fillId="17" borderId="31" xfId="0" applyFill="1" applyBorder="1"/>
    <xf numFmtId="0" fontId="4" fillId="17" borderId="31" xfId="0" applyFont="1" applyFill="1" applyBorder="1"/>
    <xf numFmtId="0" fontId="4" fillId="17" borderId="32" xfId="0" applyFont="1" applyFill="1" applyBorder="1"/>
    <xf numFmtId="0" fontId="0" fillId="2" borderId="36" xfId="0" applyFill="1" applyBorder="1"/>
    <xf numFmtId="0" fontId="1" fillId="2" borderId="0" xfId="0" applyFont="1" applyFill="1"/>
    <xf numFmtId="0" fontId="17" fillId="18" borderId="0" xfId="0" applyFont="1" applyFill="1"/>
    <xf numFmtId="0" fontId="0" fillId="18" borderId="0" xfId="0" applyFill="1"/>
    <xf numFmtId="0" fontId="0" fillId="19" borderId="0" xfId="0" applyFill="1"/>
    <xf numFmtId="0" fontId="17" fillId="8" borderId="0" xfId="0" applyFont="1" applyFill="1"/>
    <xf numFmtId="0" fontId="8" fillId="16" borderId="18" xfId="0" applyFont="1" applyFill="1" applyBorder="1"/>
    <xf numFmtId="0" fontId="12" fillId="5" borderId="0" xfId="0" applyFont="1" applyFill="1" applyAlignment="1">
      <alignment horizontal="center" wrapText="1"/>
    </xf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12" fillId="0" borderId="0" xfId="0" applyFont="1" applyAlignment="1">
      <alignment horizontal="right" wrapText="1"/>
    </xf>
    <xf numFmtId="0" fontId="18" fillId="0" borderId="0" xfId="0" applyFont="1"/>
    <xf numFmtId="0" fontId="0" fillId="5" borderId="19" xfId="0" applyFill="1" applyBorder="1"/>
    <xf numFmtId="0" fontId="0" fillId="5" borderId="20" xfId="0" applyFill="1" applyBorder="1" applyAlignment="1">
      <alignment horizontal="left"/>
    </xf>
    <xf numFmtId="0" fontId="0" fillId="5" borderId="20" xfId="0" applyFill="1" applyBorder="1"/>
    <xf numFmtId="0" fontId="0" fillId="5" borderId="21" xfId="0" applyFill="1" applyBorder="1"/>
    <xf numFmtId="0" fontId="0" fillId="5" borderId="0" xfId="0" applyFill="1" applyAlignment="1">
      <alignment horizontal="left"/>
    </xf>
    <xf numFmtId="0" fontId="0" fillId="5" borderId="0" xfId="0" applyFill="1"/>
    <xf numFmtId="0" fontId="0" fillId="5" borderId="25" xfId="0" applyFill="1" applyBorder="1" applyAlignment="1">
      <alignment horizontal="left"/>
    </xf>
    <xf numFmtId="0" fontId="0" fillId="5" borderId="25" xfId="0" applyFill="1" applyBorder="1"/>
    <xf numFmtId="0" fontId="0" fillId="5" borderId="28" xfId="0" applyFill="1" applyBorder="1"/>
    <xf numFmtId="0" fontId="0" fillId="5" borderId="14" xfId="0" applyFill="1" applyBorder="1"/>
    <xf numFmtId="0" fontId="0" fillId="5" borderId="18" xfId="0" applyFill="1" applyBorder="1"/>
    <xf numFmtId="0" fontId="0" fillId="5" borderId="22" xfId="0" applyFill="1" applyBorder="1"/>
    <xf numFmtId="0" fontId="4" fillId="5" borderId="18" xfId="0" applyFont="1" applyFill="1" applyBorder="1"/>
    <xf numFmtId="0" fontId="20" fillId="5" borderId="18" xfId="0" applyFont="1" applyFill="1" applyBorder="1"/>
    <xf numFmtId="0" fontId="0" fillId="0" borderId="18" xfId="0" applyBorder="1"/>
    <xf numFmtId="0" fontId="21" fillId="0" borderId="18" xfId="0" applyFont="1" applyBorder="1" applyAlignment="1">
      <alignment horizontal="center"/>
    </xf>
    <xf numFmtId="0" fontId="14" fillId="20" borderId="22" xfId="0" applyFont="1" applyFill="1" applyBorder="1"/>
    <xf numFmtId="0" fontId="14" fillId="20" borderId="38" xfId="0" applyFont="1" applyFill="1" applyBorder="1"/>
    <xf numFmtId="0" fontId="22" fillId="20" borderId="38" xfId="0" applyFont="1" applyFill="1" applyBorder="1"/>
    <xf numFmtId="0" fontId="21" fillId="0" borderId="18" xfId="0" applyFont="1" applyBorder="1" applyAlignment="1">
      <alignment horizontal="right"/>
    </xf>
    <xf numFmtId="21" fontId="21" fillId="0" borderId="18" xfId="0" applyNumberFormat="1" applyFont="1" applyBorder="1" applyAlignment="1">
      <alignment horizontal="center"/>
    </xf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8" fillId="7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'Cal Data'!$P$10:$P$18</c:f>
              <c:numCache>
                <c:formatCode>General</c:formatCode>
                <c:ptCount val="9"/>
                <c:pt idx="0">
                  <c:v>845</c:v>
                </c:pt>
                <c:pt idx="1">
                  <c:v>766</c:v>
                </c:pt>
                <c:pt idx="2">
                  <c:v>720</c:v>
                </c:pt>
                <c:pt idx="3">
                  <c:v>549</c:v>
                </c:pt>
                <c:pt idx="4">
                  <c:v>457</c:v>
                </c:pt>
                <c:pt idx="5">
                  <c:v>368</c:v>
                </c:pt>
                <c:pt idx="6">
                  <c:v>338</c:v>
                </c:pt>
                <c:pt idx="7">
                  <c:v>232</c:v>
                </c:pt>
                <c:pt idx="8">
                  <c:v>163</c:v>
                </c:pt>
              </c:numCache>
            </c:numRef>
          </c:xVal>
          <c:yVal>
            <c:numRef>
              <c:f>'Cal Data'!$Q$10:$Q$18</c:f>
              <c:numCache>
                <c:formatCode>General</c:formatCode>
                <c:ptCount val="9"/>
                <c:pt idx="0">
                  <c:v>97</c:v>
                </c:pt>
                <c:pt idx="1">
                  <c:v>95.3</c:v>
                </c:pt>
                <c:pt idx="2">
                  <c:v>87.3</c:v>
                </c:pt>
                <c:pt idx="3">
                  <c:v>63.4</c:v>
                </c:pt>
                <c:pt idx="4">
                  <c:v>50.8</c:v>
                </c:pt>
                <c:pt idx="5">
                  <c:v>40.299999999999997</c:v>
                </c:pt>
                <c:pt idx="6">
                  <c:v>35</c:v>
                </c:pt>
                <c:pt idx="7">
                  <c:v>19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A9-DF4C-8728-37542EF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919632"/>
        <c:axId val="1642405536"/>
      </c:scatterChart>
      <c:valAx>
        <c:axId val="164291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405536"/>
        <c:crosses val="autoZero"/>
        <c:crossBetween val="midCat"/>
      </c:valAx>
      <c:valAx>
        <c:axId val="164240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91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Sheet2!$W$78:$X$78</c:f>
              <c:numCache>
                <c:formatCode>General</c:formatCode>
                <c:ptCount val="2"/>
                <c:pt idx="0">
                  <c:v>2.0739999999999998</c:v>
                </c:pt>
                <c:pt idx="1">
                  <c:v>1.95</c:v>
                </c:pt>
              </c:numCache>
            </c:numRef>
          </c:xVal>
          <c:yVal>
            <c:numRef>
              <c:f>Sheet2!$W$79:$X$79</c:f>
              <c:numCache>
                <c:formatCode>General</c:formatCode>
                <c:ptCount val="2"/>
                <c:pt idx="0">
                  <c:v>6.375</c:v>
                </c:pt>
                <c:pt idx="1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D-4B4A-8BC2-66BDCE5FE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180383"/>
        <c:axId val="897290576"/>
      </c:scatterChart>
      <c:valAx>
        <c:axId val="151518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290576"/>
        <c:crosses val="autoZero"/>
        <c:crossBetween val="midCat"/>
      </c:valAx>
      <c:valAx>
        <c:axId val="89729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180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PSI!$B$12</c:f>
              <c:strCache>
                <c:ptCount val="1"/>
                <c:pt idx="0">
                  <c:v>pressure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PSI!$A$13:$A$17</c:f>
              <c:numCache>
                <c:formatCode>General</c:formatCode>
                <c:ptCount val="5"/>
                <c:pt idx="0">
                  <c:v>505</c:v>
                </c:pt>
                <c:pt idx="1">
                  <c:v>482</c:v>
                </c:pt>
                <c:pt idx="2">
                  <c:v>460</c:v>
                </c:pt>
                <c:pt idx="3">
                  <c:v>454</c:v>
                </c:pt>
                <c:pt idx="4">
                  <c:v>422</c:v>
                </c:pt>
              </c:numCache>
            </c:numRef>
          </c:xVal>
          <c:yVal>
            <c:numRef>
              <c:f>PSI!$B$13:$B$17</c:f>
              <c:numCache>
                <c:formatCode>General</c:formatCode>
                <c:ptCount val="5"/>
                <c:pt idx="0">
                  <c:v>63</c:v>
                </c:pt>
                <c:pt idx="1">
                  <c:v>59</c:v>
                </c:pt>
                <c:pt idx="2">
                  <c:v>56</c:v>
                </c:pt>
                <c:pt idx="3">
                  <c:v>55</c:v>
                </c:pt>
                <c:pt idx="4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45-4146-A2B0-301D29635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470768"/>
        <c:axId val="428446640"/>
      </c:scatterChart>
      <c:valAx>
        <c:axId val="77947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446640"/>
        <c:crosses val="autoZero"/>
        <c:crossBetween val="midCat"/>
      </c:valAx>
      <c:valAx>
        <c:axId val="42844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47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PSI!$B$22</c:f>
              <c:strCache>
                <c:ptCount val="1"/>
                <c:pt idx="0">
                  <c:v>pressure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PSI!$A$23:$A$27</c:f>
              <c:numCache>
                <c:formatCode>General</c:formatCode>
                <c:ptCount val="5"/>
                <c:pt idx="0">
                  <c:v>518</c:v>
                </c:pt>
                <c:pt idx="1">
                  <c:v>429</c:v>
                </c:pt>
                <c:pt idx="2">
                  <c:v>293</c:v>
                </c:pt>
                <c:pt idx="3">
                  <c:v>267</c:v>
                </c:pt>
                <c:pt idx="4">
                  <c:v>183</c:v>
                </c:pt>
              </c:numCache>
            </c:numRef>
          </c:xVal>
          <c:yVal>
            <c:numRef>
              <c:f>PSI!$B$23:$B$27</c:f>
              <c:numCache>
                <c:formatCode>General</c:formatCode>
                <c:ptCount val="5"/>
                <c:pt idx="0">
                  <c:v>43.5</c:v>
                </c:pt>
                <c:pt idx="1">
                  <c:v>33.200000000000003</c:v>
                </c:pt>
                <c:pt idx="2">
                  <c:v>19.5</c:v>
                </c:pt>
                <c:pt idx="3">
                  <c:v>16.600000000000001</c:v>
                </c:pt>
                <c:pt idx="4">
                  <c:v>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13-0C4C-9422-F8A813362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832416"/>
        <c:axId val="530915632"/>
      </c:scatterChart>
      <c:valAx>
        <c:axId val="47683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915632"/>
        <c:crosses val="autoZero"/>
        <c:crossBetween val="midCat"/>
      </c:valAx>
      <c:valAx>
        <c:axId val="53091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3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44959</xdr:rowOff>
    </xdr:from>
    <xdr:ext cx="48260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7DCFE6A-0982-534E-993E-DE012DCE6C4F}"/>
            </a:ext>
          </a:extLst>
        </xdr:cNvPr>
        <xdr:cNvSpPr txBox="1"/>
      </xdr:nvSpPr>
      <xdr:spPr>
        <a:xfrm>
          <a:off x="825500" y="857759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ESPClient.c</a:t>
          </a:r>
        </a:p>
      </xdr:txBody>
    </xdr:sp>
    <xdr:clientData/>
  </xdr:one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3B7BA38-3768-0C45-8853-C294DD569DFF}"/>
            </a:ext>
          </a:extLst>
        </xdr:cNvPr>
        <xdr:cNvCxnSpPr/>
      </xdr:nvCxnSpPr>
      <xdr:spPr>
        <a:xfrm>
          <a:off x="5651500" y="2247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12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FA6A06A-8187-6045-B63F-D07C38705E74}"/>
            </a:ext>
          </a:extLst>
        </xdr:cNvPr>
        <xdr:cNvCxnSpPr/>
      </xdr:nvCxnSpPr>
      <xdr:spPr>
        <a:xfrm flipH="1">
          <a:off x="8128000" y="30734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10</xdr:row>
      <xdr:rowOff>120650</xdr:rowOff>
    </xdr:from>
    <xdr:to>
      <xdr:col>9</xdr:col>
      <xdr:colOff>0</xdr:colOff>
      <xdr:row>10</xdr:row>
      <xdr:rowOff>120650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F806E2D2-D60B-C14E-A912-FB7E8C8AFAC6}"/>
            </a:ext>
          </a:extLst>
        </xdr:cNvPr>
        <xdr:cNvCxnSpPr/>
      </xdr:nvCxnSpPr>
      <xdr:spPr>
        <a:xfrm>
          <a:off x="8128000" y="27876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800100</xdr:colOff>
      <xdr:row>4</xdr:row>
      <xdr:rowOff>190500</xdr:rowOff>
    </xdr:from>
    <xdr:ext cx="4660900" cy="8255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220FCDA-B2AF-E744-9A13-F2E4FE9C09C9}"/>
            </a:ext>
          </a:extLst>
        </xdr:cNvPr>
        <xdr:cNvSpPr txBox="1"/>
      </xdr:nvSpPr>
      <xdr:spPr>
        <a:xfrm>
          <a:off x="8928100" y="16256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Sensor Data Conversion</a:t>
          </a:r>
          <a:r>
            <a:rPr lang="en-US" sz="1800" baseline="0"/>
            <a:t> and Formatted by</a:t>
          </a:r>
        </a:p>
        <a:p>
          <a:r>
            <a:rPr lang="en-US" sz="1800" baseline="0"/>
            <a:t>subsriber.c()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7</xdr:row>
      <xdr:rowOff>201082</xdr:rowOff>
    </xdr:from>
    <xdr:ext cx="1651000" cy="2116666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8330DA1D-A14F-CF49-8E75-E5D948B0ACEE}"/>
            </a:ext>
          </a:extLst>
        </xdr:cNvPr>
        <xdr:cNvSpPr txBox="1"/>
      </xdr:nvSpPr>
      <xdr:spPr>
        <a:xfrm>
          <a:off x="6762750" y="1619249"/>
          <a:ext cx="1651000" cy="2116666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6</xdr:row>
      <xdr:rowOff>12701</xdr:rowOff>
    </xdr:from>
    <xdr:ext cx="9017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FB74939-4330-2A4D-9355-09120D323081}"/>
            </a:ext>
          </a:extLst>
        </xdr:cNvPr>
        <xdr:cNvSpPr txBox="1"/>
      </xdr:nvSpPr>
      <xdr:spPr>
        <a:xfrm>
          <a:off x="8255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ESP32</a:t>
          </a:r>
        </a:p>
      </xdr:txBody>
    </xdr:sp>
    <xdr:clientData/>
  </xdr:oneCellAnchor>
  <xdr:oneCellAnchor>
    <xdr:from>
      <xdr:col>8</xdr:col>
      <xdr:colOff>800100</xdr:colOff>
      <xdr:row>35</xdr:row>
      <xdr:rowOff>165100</xdr:rowOff>
    </xdr:from>
    <xdr:ext cx="4660900" cy="82550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E67B860-3F21-3745-A90C-DED3E2E8F7ED}"/>
            </a:ext>
          </a:extLst>
        </xdr:cNvPr>
        <xdr:cNvSpPr txBox="1"/>
      </xdr:nvSpPr>
      <xdr:spPr>
        <a:xfrm>
          <a:off x="9220200" y="7327900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42</xdr:row>
      <xdr:rowOff>88899</xdr:rowOff>
    </xdr:from>
    <xdr:to>
      <xdr:col>8</xdr:col>
      <xdr:colOff>711200</xdr:colOff>
      <xdr:row>42</xdr:row>
      <xdr:rowOff>88899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2E0B4518-A540-3942-8463-93D59695E1F9}"/>
            </a:ext>
          </a:extLst>
        </xdr:cNvPr>
        <xdr:cNvCxnSpPr/>
      </xdr:nvCxnSpPr>
      <xdr:spPr>
        <a:xfrm flipH="1">
          <a:off x="8305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40</xdr:row>
      <xdr:rowOff>171449</xdr:rowOff>
    </xdr:from>
    <xdr:to>
      <xdr:col>9</xdr:col>
      <xdr:colOff>25400</xdr:colOff>
      <xdr:row>40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C175ECC-F8EF-D845-83AE-EDC19591343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36</xdr:row>
      <xdr:rowOff>63500</xdr:rowOff>
    </xdr:from>
    <xdr:ext cx="901700" cy="7620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7BAD365-1BC5-DA4B-8611-3F924254D951}"/>
            </a:ext>
          </a:extLst>
        </xdr:cNvPr>
        <xdr:cNvSpPr txBox="1"/>
      </xdr:nvSpPr>
      <xdr:spPr>
        <a:xfrm>
          <a:off x="8280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74</xdr:row>
      <xdr:rowOff>50799</xdr:rowOff>
    </xdr:from>
    <xdr:to>
      <xdr:col>8</xdr:col>
      <xdr:colOff>787400</xdr:colOff>
      <xdr:row>74</xdr:row>
      <xdr:rowOff>50799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82ABE831-266B-934D-99F6-BA8B879F1832}"/>
            </a:ext>
          </a:extLst>
        </xdr:cNvPr>
        <xdr:cNvCxnSpPr/>
      </xdr:nvCxnSpPr>
      <xdr:spPr>
        <a:xfrm flipH="1">
          <a:off x="8382000" y="15176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71</xdr:row>
      <xdr:rowOff>171449</xdr:rowOff>
    </xdr:from>
    <xdr:to>
      <xdr:col>9</xdr:col>
      <xdr:colOff>25400</xdr:colOff>
      <xdr:row>71</xdr:row>
      <xdr:rowOff>171449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063F6F6-28B4-1A45-84BB-10FF0B3CA01D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68</xdr:row>
      <xdr:rowOff>0</xdr:rowOff>
    </xdr:from>
    <xdr:ext cx="4660900" cy="8255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C91DEC1-A0E8-5848-BF4F-B86273DB72EC}"/>
            </a:ext>
          </a:extLst>
        </xdr:cNvPr>
        <xdr:cNvSpPr txBox="1"/>
      </xdr:nvSpPr>
      <xdr:spPr>
        <a:xfrm>
          <a:off x="9245600" y="13893800"/>
          <a:ext cx="4660900" cy="8255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67</xdr:row>
      <xdr:rowOff>127000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A9A2F15-3596-AD49-BDAC-2E62EF5E4581}"/>
            </a:ext>
          </a:extLst>
        </xdr:cNvPr>
        <xdr:cNvSpPr txBox="1"/>
      </xdr:nvSpPr>
      <xdr:spPr>
        <a:xfrm>
          <a:off x="8255000" y="13817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63</xdr:row>
      <xdr:rowOff>177800</xdr:rowOff>
    </xdr:from>
    <xdr:ext cx="901700" cy="76200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5022588-3174-0E40-832E-62CD3E054F2A}"/>
            </a:ext>
          </a:extLst>
        </xdr:cNvPr>
        <xdr:cNvSpPr txBox="1"/>
      </xdr:nvSpPr>
      <xdr:spPr>
        <a:xfrm>
          <a:off x="8255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0</xdr:colOff>
      <xdr:row>38</xdr:row>
      <xdr:rowOff>50800</xdr:rowOff>
    </xdr:from>
    <xdr:to>
      <xdr:col>6</xdr:col>
      <xdr:colOff>0</xdr:colOff>
      <xdr:row>38</xdr:row>
      <xdr:rowOff>50800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CB57BD0E-038D-594E-BF70-C536825E166A}"/>
            </a:ext>
          </a:extLst>
        </xdr:cNvPr>
        <xdr:cNvCxnSpPr/>
      </xdr:nvCxnSpPr>
      <xdr:spPr>
        <a:xfrm flipH="1">
          <a:off x="5943600" y="7823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2117</xdr:colOff>
      <xdr:row>41</xdr:row>
      <xdr:rowOff>8467</xdr:rowOff>
    </xdr:from>
    <xdr:to>
      <xdr:col>5</xdr:col>
      <xdr:colOff>812800</xdr:colOff>
      <xdr:row>41</xdr:row>
      <xdr:rowOff>8467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83807217-6DD7-6642-A2EA-0AF3178CD9EF}"/>
            </a:ext>
          </a:extLst>
        </xdr:cNvPr>
        <xdr:cNvCxnSpPr/>
      </xdr:nvCxnSpPr>
      <xdr:spPr>
        <a:xfrm flipH="1">
          <a:off x="7802034" y="83058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2116</xdr:colOff>
      <xdr:row>45</xdr:row>
      <xdr:rowOff>4233</xdr:rowOff>
    </xdr:from>
    <xdr:to>
      <xdr:col>5</xdr:col>
      <xdr:colOff>812799</xdr:colOff>
      <xdr:row>45</xdr:row>
      <xdr:rowOff>4233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5EEE532D-CEFE-FF47-BBDA-9E7BD142CE52}"/>
            </a:ext>
          </a:extLst>
        </xdr:cNvPr>
        <xdr:cNvCxnSpPr/>
      </xdr:nvCxnSpPr>
      <xdr:spPr>
        <a:xfrm flipH="1">
          <a:off x="7802033" y="91059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446617</xdr:colOff>
      <xdr:row>34</xdr:row>
      <xdr:rowOff>150283</xdr:rowOff>
    </xdr:from>
    <xdr:ext cx="901700" cy="76200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AF466394-2C67-BC45-96B8-424C894FE2C7}"/>
            </a:ext>
          </a:extLst>
        </xdr:cNvPr>
        <xdr:cNvSpPr txBox="1"/>
      </xdr:nvSpPr>
      <xdr:spPr>
        <a:xfrm>
          <a:off x="8246534" y="7018866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457200</xdr:colOff>
      <xdr:row>38</xdr:row>
      <xdr:rowOff>165100</xdr:rowOff>
    </xdr:from>
    <xdr:ext cx="901700" cy="76200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E6C2A7C-CCB5-C449-B50E-082666350F12}"/>
            </a:ext>
          </a:extLst>
        </xdr:cNvPr>
        <xdr:cNvSpPr txBox="1"/>
      </xdr:nvSpPr>
      <xdr:spPr>
        <a:xfrm>
          <a:off x="6400800" y="7937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444500</xdr:colOff>
      <xdr:row>43</xdr:row>
      <xdr:rowOff>63500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680FCC5-00B5-AA4B-97D9-B5FDA474FB74}"/>
            </a:ext>
          </a:extLst>
        </xdr:cNvPr>
        <xdr:cNvSpPr txBox="1"/>
      </xdr:nvSpPr>
      <xdr:spPr>
        <a:xfrm>
          <a:off x="6388100" y="88646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72</xdr:row>
      <xdr:rowOff>171449</xdr:rowOff>
    </xdr:from>
    <xdr:to>
      <xdr:col>9</xdr:col>
      <xdr:colOff>25400</xdr:colOff>
      <xdr:row>72</xdr:row>
      <xdr:rowOff>171449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6E8BA1B6-C97E-1343-86A7-8BB2394B259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</xdr:col>
      <xdr:colOff>804333</xdr:colOff>
      <xdr:row>63</xdr:row>
      <xdr:rowOff>34376</xdr:rowOff>
    </xdr:from>
    <xdr:ext cx="4826000" cy="37414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C2C931-0E8E-F64E-B56C-E1314610C3E5}"/>
            </a:ext>
          </a:extLst>
        </xdr:cNvPr>
        <xdr:cNvSpPr txBox="1"/>
      </xdr:nvSpPr>
      <xdr:spPr>
        <a:xfrm>
          <a:off x="804333" y="14374793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ESPClientflow.c</a:t>
          </a:r>
        </a:p>
      </xdr:txBody>
    </xdr:sp>
    <xdr:clientData/>
  </xdr:oneCellAnchor>
  <xdr:twoCellAnchor>
    <xdr:from>
      <xdr:col>5</xdr:col>
      <xdr:colOff>0</xdr:colOff>
      <xdr:row>70</xdr:row>
      <xdr:rowOff>0</xdr:rowOff>
    </xdr:from>
    <xdr:to>
      <xdr:col>6</xdr:col>
      <xdr:colOff>0</xdr:colOff>
      <xdr:row>70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D79BA6FA-1CB3-1A42-A83A-CA309DAEDF4D}"/>
            </a:ext>
          </a:extLst>
        </xdr:cNvPr>
        <xdr:cNvCxnSpPr/>
      </xdr:nvCxnSpPr>
      <xdr:spPr>
        <a:xfrm>
          <a:off x="5947833" y="16933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821266</xdr:colOff>
      <xdr:row>100</xdr:row>
      <xdr:rowOff>91016</xdr:rowOff>
    </xdr:from>
    <xdr:ext cx="4660900" cy="8255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0AF265-4C36-284B-9877-8FBEB1F52865}"/>
            </a:ext>
          </a:extLst>
        </xdr:cNvPr>
        <xdr:cNvSpPr txBox="1"/>
      </xdr:nvSpPr>
      <xdr:spPr>
        <a:xfrm>
          <a:off x="9235016" y="20305183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flowmonitor.c() */</a:t>
          </a:r>
          <a:endParaRPr lang="en-US" sz="1800"/>
        </a:p>
      </xdr:txBody>
    </xdr:sp>
    <xdr:clientData/>
  </xdr:oneCellAnchor>
  <xdr:twoCellAnchor>
    <xdr:from>
      <xdr:col>7</xdr:col>
      <xdr:colOff>774700</xdr:colOff>
      <xdr:row>106</xdr:row>
      <xdr:rowOff>173565</xdr:rowOff>
    </xdr:from>
    <xdr:to>
      <xdr:col>8</xdr:col>
      <xdr:colOff>774700</xdr:colOff>
      <xdr:row>106</xdr:row>
      <xdr:rowOff>173565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C9AF2F0E-A5E1-7B48-8990-A2C6C22553EC}"/>
            </a:ext>
          </a:extLst>
        </xdr:cNvPr>
        <xdr:cNvCxnSpPr/>
      </xdr:nvCxnSpPr>
      <xdr:spPr>
        <a:xfrm flipH="1">
          <a:off x="8362950" y="2160481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819150</xdr:colOff>
      <xdr:row>105</xdr:row>
      <xdr:rowOff>2116</xdr:rowOff>
    </xdr:from>
    <xdr:to>
      <xdr:col>9</xdr:col>
      <xdr:colOff>364067</xdr:colOff>
      <xdr:row>105</xdr:row>
      <xdr:rowOff>2116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AADAC50-0853-C74D-8391-016B67117C6C}"/>
            </a:ext>
          </a:extLst>
        </xdr:cNvPr>
        <xdr:cNvCxnSpPr/>
      </xdr:nvCxnSpPr>
      <xdr:spPr>
        <a:xfrm>
          <a:off x="8407400" y="21232283"/>
          <a:ext cx="1195917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781050</xdr:colOff>
      <xdr:row>100</xdr:row>
      <xdr:rowOff>105833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C7E0DF-3DB5-EE44-A2AF-5834689131AC}"/>
            </a:ext>
          </a:extLst>
        </xdr:cNvPr>
        <xdr:cNvSpPr txBox="1"/>
      </xdr:nvSpPr>
      <xdr:spPr>
        <a:xfrm>
          <a:off x="8369300" y="203200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25400</xdr:colOff>
      <xdr:row>106</xdr:row>
      <xdr:rowOff>171449</xdr:rowOff>
    </xdr:from>
    <xdr:to>
      <xdr:col>9</xdr:col>
      <xdr:colOff>25400</xdr:colOff>
      <xdr:row>106</xdr:row>
      <xdr:rowOff>171449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EA19BBD9-B20C-0441-86CE-A35DCB36A9DE}"/>
            </a:ext>
          </a:extLst>
        </xdr:cNvPr>
        <xdr:cNvCxnSpPr/>
      </xdr:nvCxnSpPr>
      <xdr:spPr>
        <a:xfrm>
          <a:off x="8439150" y="82676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6D0947E-6FCC-2D45-9E27-A19311224F4C}"/>
            </a:ext>
          </a:extLst>
        </xdr:cNvPr>
        <xdr:cNvSpPr txBox="1"/>
      </xdr:nvSpPr>
      <xdr:spPr>
        <a:xfrm>
          <a:off x="3848100" y="1226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EF0F2D02-2906-224A-8535-7879AF6FE9CF}"/>
            </a:ext>
          </a:extLst>
        </xdr:cNvPr>
        <xdr:cNvCxnSpPr/>
      </xdr:nvCxnSpPr>
      <xdr:spPr>
        <a:xfrm>
          <a:off x="7467600" y="1638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B95927A4-1461-D449-83D4-8045529B5C14}"/>
            </a:ext>
          </a:extLst>
        </xdr:cNvPr>
        <xdr:cNvCxnSpPr/>
      </xdr:nvCxnSpPr>
      <xdr:spPr>
        <a:xfrm flipH="1">
          <a:off x="9944100" y="246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E184E1EE-2476-0B4F-AC06-1ED6C5604907}"/>
            </a:ext>
          </a:extLst>
        </xdr:cNvPr>
        <xdr:cNvCxnSpPr/>
      </xdr:nvCxnSpPr>
      <xdr:spPr>
        <a:xfrm>
          <a:off x="9944100" y="21780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FC026A2-4CD6-1D40-A92A-75A5DC5A4937}"/>
            </a:ext>
          </a:extLst>
        </xdr:cNvPr>
        <xdr:cNvSpPr txBox="1"/>
      </xdr:nvSpPr>
      <xdr:spPr>
        <a:xfrm>
          <a:off x="10782300" y="8001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4913FE3-A27F-B044-A8EB-08742F00BB67}"/>
            </a:ext>
          </a:extLst>
        </xdr:cNvPr>
        <xdr:cNvSpPr txBox="1"/>
      </xdr:nvSpPr>
      <xdr:spPr>
        <a:xfrm>
          <a:off x="9906000" y="1778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ECCBC9-2428-A441-9CE8-323F27008DF2}"/>
            </a:ext>
          </a:extLst>
        </xdr:cNvPr>
        <xdr:cNvSpPr txBox="1"/>
      </xdr:nvSpPr>
      <xdr:spPr>
        <a:xfrm>
          <a:off x="9779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9494B4D-6ECB-7F4F-994E-F7833051E855}"/>
            </a:ext>
          </a:extLst>
        </xdr:cNvPr>
        <xdr:cNvSpPr txBox="1"/>
      </xdr:nvSpPr>
      <xdr:spPr>
        <a:xfrm>
          <a:off x="10744200" y="74803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E4EB4298-90FA-2543-AF29-3BCF2DDD876C}"/>
            </a:ext>
          </a:extLst>
        </xdr:cNvPr>
        <xdr:cNvCxnSpPr/>
      </xdr:nvCxnSpPr>
      <xdr:spPr>
        <a:xfrm flipH="1">
          <a:off x="9829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F83094B-B8E2-6749-B9C2-7EF430720BF2}"/>
            </a:ext>
          </a:extLst>
        </xdr:cNvPr>
        <xdr:cNvCxnSpPr/>
      </xdr:nvCxnSpPr>
      <xdr:spPr>
        <a:xfrm>
          <a:off x="9969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DE59C28-5D41-2C41-BB8D-3266B89888C3}"/>
            </a:ext>
          </a:extLst>
        </xdr:cNvPr>
        <xdr:cNvSpPr txBox="1"/>
      </xdr:nvSpPr>
      <xdr:spPr>
        <a:xfrm>
          <a:off x="9804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97FCE727-7E9B-1242-B206-EE9839DCC1FF}"/>
            </a:ext>
          </a:extLst>
        </xdr:cNvPr>
        <xdr:cNvCxnSpPr/>
      </xdr:nvCxnSpPr>
      <xdr:spPr>
        <a:xfrm flipH="1">
          <a:off x="9906000" y="151891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4C3B8B02-FD1C-AE4F-8883-31C03A387CB1}"/>
            </a:ext>
          </a:extLst>
        </xdr:cNvPr>
        <xdr:cNvCxnSpPr/>
      </xdr:nvCxnSpPr>
      <xdr:spPr>
        <a:xfrm>
          <a:off x="9969500" y="14687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C4CE98C-2B45-A248-AA64-60FDDDCE5196}"/>
            </a:ext>
          </a:extLst>
        </xdr:cNvPr>
        <xdr:cNvSpPr txBox="1"/>
      </xdr:nvSpPr>
      <xdr:spPr>
        <a:xfrm>
          <a:off x="10769600" y="14224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1520B30-E572-1244-9DCA-8E81C1DF476C}"/>
            </a:ext>
          </a:extLst>
        </xdr:cNvPr>
        <xdr:cNvSpPr txBox="1"/>
      </xdr:nvSpPr>
      <xdr:spPr>
        <a:xfrm>
          <a:off x="9779000" y="138303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4FCD1DA-F504-E248-BADA-EEF058393400}"/>
            </a:ext>
          </a:extLst>
        </xdr:cNvPr>
        <xdr:cNvSpPr txBox="1"/>
      </xdr:nvSpPr>
      <xdr:spPr>
        <a:xfrm>
          <a:off x="9779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C995A35-C9F5-9748-9516-327BA4C93914}"/>
            </a:ext>
          </a:extLst>
        </xdr:cNvPr>
        <xdr:cNvCxnSpPr/>
      </xdr:nvCxnSpPr>
      <xdr:spPr>
        <a:xfrm flipH="1">
          <a:off x="7162800" y="201041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76FD4271-4ADF-F246-9746-183B2E4CD836}"/>
            </a:ext>
          </a:extLst>
        </xdr:cNvPr>
        <xdr:cNvCxnSpPr/>
      </xdr:nvCxnSpPr>
      <xdr:spPr>
        <a:xfrm flipH="1">
          <a:off x="7164917" y="206840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5255067F-FF61-7847-A497-6FE1AF68CB97}"/>
            </a:ext>
          </a:extLst>
        </xdr:cNvPr>
        <xdr:cNvCxnSpPr/>
      </xdr:nvCxnSpPr>
      <xdr:spPr>
        <a:xfrm flipH="1">
          <a:off x="7164916" y="214926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09AF318-95B8-8943-A36E-1B3F75E1BEC2}"/>
            </a:ext>
          </a:extLst>
        </xdr:cNvPr>
        <xdr:cNvSpPr txBox="1"/>
      </xdr:nvSpPr>
      <xdr:spPr>
        <a:xfrm>
          <a:off x="7609417" y="193780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A636087B-D775-8849-A169-F0A1F463C8DF}"/>
            </a:ext>
          </a:extLst>
        </xdr:cNvPr>
        <xdr:cNvSpPr txBox="1"/>
      </xdr:nvSpPr>
      <xdr:spPr>
        <a:xfrm>
          <a:off x="7620000" y="202184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7BBA1BC2-BEF9-BD4C-8ED3-F4303542FBEF}"/>
            </a:ext>
          </a:extLst>
        </xdr:cNvPr>
        <xdr:cNvSpPr txBox="1"/>
      </xdr:nvSpPr>
      <xdr:spPr>
        <a:xfrm>
          <a:off x="7607300" y="211455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6C3FDC62-6714-ED40-AD49-114869D14FBE}"/>
            </a:ext>
          </a:extLst>
        </xdr:cNvPr>
        <xdr:cNvCxnSpPr/>
      </xdr:nvCxnSpPr>
      <xdr:spPr>
        <a:xfrm>
          <a:off x="9969500" y="1490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DC47D872-86A2-984F-A87D-2770CCEC3A20}"/>
            </a:ext>
          </a:extLst>
        </xdr:cNvPr>
        <xdr:cNvSpPr txBox="1"/>
      </xdr:nvSpPr>
      <xdr:spPr>
        <a:xfrm>
          <a:off x="3814232" y="132423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Irrigation 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3D2792E2-5C82-5047-9471-95E64BB6CA42}"/>
            </a:ext>
          </a:extLst>
        </xdr:cNvPr>
        <xdr:cNvCxnSpPr/>
      </xdr:nvCxnSpPr>
      <xdr:spPr>
        <a:xfrm>
          <a:off x="7467600" y="14312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D8C1831F-F26C-A840-B7BF-CC15BC355539}"/>
            </a:ext>
          </a:extLst>
        </xdr:cNvPr>
        <xdr:cNvSpPr txBox="1"/>
      </xdr:nvSpPr>
      <xdr:spPr>
        <a:xfrm>
          <a:off x="12987866" y="142388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7DB64314-1255-DD4A-962C-114CE6E77B81}"/>
            </a:ext>
          </a:extLst>
        </xdr:cNvPr>
        <xdr:cNvCxnSpPr/>
      </xdr:nvCxnSpPr>
      <xdr:spPr>
        <a:xfrm flipH="1">
          <a:off x="12026900" y="164041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D3FAD902-3550-4543-9113-68D4F4E0D60F}"/>
            </a:ext>
          </a:extLst>
        </xdr:cNvPr>
        <xdr:cNvSpPr txBox="1"/>
      </xdr:nvSpPr>
      <xdr:spPr>
        <a:xfrm>
          <a:off x="12109450" y="142155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64B6A718-66F3-0A4D-9F04-38D6C9F3F4FC}"/>
            </a:ext>
          </a:extLst>
        </xdr:cNvPr>
        <xdr:cNvCxnSpPr/>
      </xdr:nvCxnSpPr>
      <xdr:spPr>
        <a:xfrm>
          <a:off x="12204700" y="16427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C0A77D7-57B3-AE4B-8F56-86FADC901761}"/>
            </a:ext>
          </a:extLst>
        </xdr:cNvPr>
        <xdr:cNvSpPr txBox="1"/>
      </xdr:nvSpPr>
      <xdr:spPr>
        <a:xfrm>
          <a:off x="3810000" y="6464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BCB79360-796F-F24F-BF36-D808023A3253}"/>
            </a:ext>
          </a:extLst>
        </xdr:cNvPr>
        <xdr:cNvCxnSpPr/>
      </xdr:nvCxnSpPr>
      <xdr:spPr>
        <a:xfrm>
          <a:off x="12261850" y="91228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5F1E3DE6-ABFA-434A-98E9-5758B011ABB5}"/>
            </a:ext>
          </a:extLst>
        </xdr:cNvPr>
        <xdr:cNvCxnSpPr/>
      </xdr:nvCxnSpPr>
      <xdr:spPr>
        <a:xfrm flipH="1" flipV="1">
          <a:off x="12039600" y="8902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2E564104-ADE2-5142-BB4A-2BD08D0D31FB}"/>
            </a:ext>
          </a:extLst>
        </xdr:cNvPr>
        <xdr:cNvCxnSpPr/>
      </xdr:nvCxnSpPr>
      <xdr:spPr>
        <a:xfrm>
          <a:off x="12192000" y="86042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9532FD44-E37B-BA4E-BDD6-1AE0EA698BF5}"/>
            </a:ext>
          </a:extLst>
        </xdr:cNvPr>
        <xdr:cNvSpPr txBox="1"/>
      </xdr:nvSpPr>
      <xdr:spPr>
        <a:xfrm>
          <a:off x="13083116" y="76327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7B5DB609-EF6D-7F42-965E-21C1438F6BC0}"/>
            </a:ext>
          </a:extLst>
        </xdr:cNvPr>
        <xdr:cNvSpPr txBox="1"/>
      </xdr:nvSpPr>
      <xdr:spPr>
        <a:xfrm>
          <a:off x="12217400" y="76072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2BCDBA4F-37AE-FB48-B7D3-01F3DDB71BCE}"/>
            </a:ext>
          </a:extLst>
        </xdr:cNvPr>
        <xdr:cNvSpPr txBox="1"/>
      </xdr:nvSpPr>
      <xdr:spPr>
        <a:xfrm>
          <a:off x="3200400" y="69156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D322228E-C146-E144-97DE-E8B2754847AA}"/>
            </a:ext>
          </a:extLst>
        </xdr:cNvPr>
        <xdr:cNvCxnSpPr/>
      </xdr:nvCxnSpPr>
      <xdr:spPr>
        <a:xfrm>
          <a:off x="9080500" y="881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EFF46F-BA83-2E4E-8F23-96543B4493FF}"/>
            </a:ext>
          </a:extLst>
        </xdr:cNvPr>
        <xdr:cNvSpPr txBox="1"/>
      </xdr:nvSpPr>
      <xdr:spPr>
        <a:xfrm>
          <a:off x="3200400" y="69664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1EBBBFA-3B71-5946-895F-861E3441ACC6}"/>
            </a:ext>
          </a:extLst>
        </xdr:cNvPr>
        <xdr:cNvCxnSpPr/>
      </xdr:nvCxnSpPr>
      <xdr:spPr>
        <a:xfrm>
          <a:off x="9080500" y="8864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16E4A65-FF7E-6D41-AAC7-D4426DF3FD21}"/>
            </a:ext>
          </a:extLst>
        </xdr:cNvPr>
        <xdr:cNvCxnSpPr/>
      </xdr:nvCxnSpPr>
      <xdr:spPr>
        <a:xfrm flipH="1">
          <a:off x="11557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74D6DE3-0621-C549-BBF6-DD486101F398}"/>
            </a:ext>
          </a:extLst>
        </xdr:cNvPr>
        <xdr:cNvCxnSpPr/>
      </xdr:nvCxnSpPr>
      <xdr:spPr>
        <a:xfrm>
          <a:off x="11557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CA9F81F-43FE-104E-864C-2ABE5D0D481E}"/>
            </a:ext>
          </a:extLst>
        </xdr:cNvPr>
        <xdr:cNvSpPr txBox="1"/>
      </xdr:nvSpPr>
      <xdr:spPr>
        <a:xfrm>
          <a:off x="12395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DCC97A9-56B2-914A-B4BA-F56EBBBDE2D7}"/>
            </a:ext>
          </a:extLst>
        </xdr:cNvPr>
        <xdr:cNvSpPr txBox="1"/>
      </xdr:nvSpPr>
      <xdr:spPr>
        <a:xfrm>
          <a:off x="9906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AA6DD10-851F-FD48-BB6A-C657B63F0BA3}"/>
            </a:ext>
          </a:extLst>
        </xdr:cNvPr>
        <xdr:cNvSpPr txBox="1"/>
      </xdr:nvSpPr>
      <xdr:spPr>
        <a:xfrm>
          <a:off x="11391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0CB1B18-12C0-0D47-8D08-A1C3BB88584A}"/>
            </a:ext>
          </a:extLst>
        </xdr:cNvPr>
        <xdr:cNvSpPr txBox="1"/>
      </xdr:nvSpPr>
      <xdr:spPr>
        <a:xfrm>
          <a:off x="12357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D357380-0996-7845-862D-EA51535E85E5}"/>
            </a:ext>
          </a:extLst>
        </xdr:cNvPr>
        <xdr:cNvCxnSpPr/>
      </xdr:nvCxnSpPr>
      <xdr:spPr>
        <a:xfrm flipH="1">
          <a:off x="11442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A8B4F63-D293-FF4F-84EE-8C7491732A61}"/>
            </a:ext>
          </a:extLst>
        </xdr:cNvPr>
        <xdr:cNvCxnSpPr/>
      </xdr:nvCxnSpPr>
      <xdr:spPr>
        <a:xfrm>
          <a:off x="11582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BCAB9D3-76D7-4A4D-B310-5ECAB7E76C18}"/>
            </a:ext>
          </a:extLst>
        </xdr:cNvPr>
        <xdr:cNvSpPr txBox="1"/>
      </xdr:nvSpPr>
      <xdr:spPr>
        <a:xfrm>
          <a:off x="11417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4EB8C2F-83B5-2945-87BB-F2C676A33B20}"/>
            </a:ext>
          </a:extLst>
        </xdr:cNvPr>
        <xdr:cNvCxnSpPr/>
      </xdr:nvCxnSpPr>
      <xdr:spPr>
        <a:xfrm flipH="1">
          <a:off x="11518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E6F72A9F-9CEF-5345-B6DE-C4076B78EAB6}"/>
            </a:ext>
          </a:extLst>
        </xdr:cNvPr>
        <xdr:cNvCxnSpPr/>
      </xdr:nvCxnSpPr>
      <xdr:spPr>
        <a:xfrm>
          <a:off x="11582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F40B3793-9EC2-C24C-8DAA-3275E7D24737}"/>
            </a:ext>
          </a:extLst>
        </xdr:cNvPr>
        <xdr:cNvSpPr txBox="1"/>
      </xdr:nvSpPr>
      <xdr:spPr>
        <a:xfrm>
          <a:off x="12382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D8DDD45-02B4-7940-B02A-EF0AD91B0FC0}"/>
            </a:ext>
          </a:extLst>
        </xdr:cNvPr>
        <xdr:cNvSpPr txBox="1"/>
      </xdr:nvSpPr>
      <xdr:spPr>
        <a:xfrm>
          <a:off x="11391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A6043617-E560-9841-BACF-8BA74AB11E9C}"/>
            </a:ext>
          </a:extLst>
        </xdr:cNvPr>
        <xdr:cNvSpPr txBox="1"/>
      </xdr:nvSpPr>
      <xdr:spPr>
        <a:xfrm>
          <a:off x="11391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3BD6A3D-2470-4D40-824E-40CEE48D904C}"/>
            </a:ext>
          </a:extLst>
        </xdr:cNvPr>
        <xdr:cNvCxnSpPr/>
      </xdr:nvCxnSpPr>
      <xdr:spPr>
        <a:xfrm flipH="1">
          <a:off x="8775700" y="27546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D775BF6E-9166-F24B-A7AA-17A87BA674A3}"/>
            </a:ext>
          </a:extLst>
        </xdr:cNvPr>
        <xdr:cNvCxnSpPr/>
      </xdr:nvCxnSpPr>
      <xdr:spPr>
        <a:xfrm flipH="1">
          <a:off x="8777817" y="281135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D7D8F4D5-0B4F-494B-BA31-C650D425ED18}"/>
            </a:ext>
          </a:extLst>
        </xdr:cNvPr>
        <xdr:cNvCxnSpPr/>
      </xdr:nvCxnSpPr>
      <xdr:spPr>
        <a:xfrm flipH="1">
          <a:off x="8777816" y="289221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D776318-C3A1-7F49-BFFF-8B5D5D078CB9}"/>
            </a:ext>
          </a:extLst>
        </xdr:cNvPr>
        <xdr:cNvSpPr txBox="1"/>
      </xdr:nvSpPr>
      <xdr:spPr>
        <a:xfrm>
          <a:off x="9222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B9F328C2-77C3-974F-967D-082AC7944DCE}"/>
            </a:ext>
          </a:extLst>
        </xdr:cNvPr>
        <xdr:cNvSpPr txBox="1"/>
      </xdr:nvSpPr>
      <xdr:spPr>
        <a:xfrm>
          <a:off x="9232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810C8DC-AC64-B549-8830-8D475B5BE507}"/>
            </a:ext>
          </a:extLst>
        </xdr:cNvPr>
        <xdr:cNvSpPr txBox="1"/>
      </xdr:nvSpPr>
      <xdr:spPr>
        <a:xfrm>
          <a:off x="9220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9D765518-BEE9-DB4C-995C-D4327056E7FE}"/>
            </a:ext>
          </a:extLst>
        </xdr:cNvPr>
        <xdr:cNvCxnSpPr/>
      </xdr:nvCxnSpPr>
      <xdr:spPr>
        <a:xfrm>
          <a:off x="11582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79BAFB0-A2B6-0A41-A9BD-B513BEE9F289}"/>
            </a:ext>
          </a:extLst>
        </xdr:cNvPr>
        <xdr:cNvSpPr txBox="1"/>
      </xdr:nvSpPr>
      <xdr:spPr>
        <a:xfrm>
          <a:off x="3166532" y="200749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GenericFlowClient.c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D4B447CB-E61D-0249-B62C-1185AE116145}"/>
            </a:ext>
          </a:extLst>
        </xdr:cNvPr>
        <xdr:cNvCxnSpPr/>
      </xdr:nvCxnSpPr>
      <xdr:spPr>
        <a:xfrm>
          <a:off x="9080500" y="217297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D69278E-C27C-3640-8CDF-5FC7D3DCFFBF}"/>
            </a:ext>
          </a:extLst>
        </xdr:cNvPr>
        <xdr:cNvSpPr txBox="1"/>
      </xdr:nvSpPr>
      <xdr:spPr>
        <a:xfrm>
          <a:off x="12340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3D074FFF-5FC4-074C-BDB1-F2DD7CF2C2F8}"/>
            </a:ext>
          </a:extLst>
        </xdr:cNvPr>
        <xdr:cNvCxnSpPr/>
      </xdr:nvCxnSpPr>
      <xdr:spPr>
        <a:xfrm flipH="1">
          <a:off x="11379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2518F207-89D8-504B-A431-462E6872659A}"/>
            </a:ext>
          </a:extLst>
        </xdr:cNvPr>
        <xdr:cNvSpPr txBox="1"/>
      </xdr:nvSpPr>
      <xdr:spPr>
        <a:xfrm>
          <a:off x="11461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9208D3E-CEB3-7F4A-B5A1-A12D0BB291A6}"/>
            </a:ext>
          </a:extLst>
        </xdr:cNvPr>
        <xdr:cNvCxnSpPr/>
      </xdr:nvCxnSpPr>
      <xdr:spPr>
        <a:xfrm>
          <a:off x="11557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9B47E562-312E-D542-B81F-FAF3228C9E97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392501EE-B698-BE4A-B99D-0F10C626445B}"/>
            </a:ext>
          </a:extLst>
        </xdr:cNvPr>
        <xdr:cNvCxnSpPr/>
      </xdr:nvCxnSpPr>
      <xdr:spPr>
        <a:xfrm>
          <a:off x="11614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4B0B4970-C9DF-A348-B236-FACD9029E025}"/>
            </a:ext>
          </a:extLst>
        </xdr:cNvPr>
        <xdr:cNvCxnSpPr/>
      </xdr:nvCxnSpPr>
      <xdr:spPr>
        <a:xfrm flipH="1" flipV="1">
          <a:off x="11391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48A307E6-7585-214B-AB82-23384DDFE5AA}"/>
            </a:ext>
          </a:extLst>
        </xdr:cNvPr>
        <xdr:cNvCxnSpPr/>
      </xdr:nvCxnSpPr>
      <xdr:spPr>
        <a:xfrm>
          <a:off x="11544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12EA6E6-5C1F-AB48-A6B0-D63D6A813BF6}"/>
            </a:ext>
          </a:extLst>
        </xdr:cNvPr>
        <xdr:cNvSpPr txBox="1"/>
      </xdr:nvSpPr>
      <xdr:spPr>
        <a:xfrm>
          <a:off x="12435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BD45D058-DB46-E04D-A339-68CB82DD4AFC}"/>
            </a:ext>
          </a:extLst>
        </xdr:cNvPr>
        <xdr:cNvSpPr txBox="1"/>
      </xdr:nvSpPr>
      <xdr:spPr>
        <a:xfrm>
          <a:off x="11569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CDF72F03-F8DE-6F49-9873-EE5EB061DF37}"/>
            </a:ext>
          </a:extLst>
        </xdr:cNvPr>
        <xdr:cNvSpPr txBox="1"/>
      </xdr:nvSpPr>
      <xdr:spPr>
        <a:xfrm>
          <a:off x="3200400" y="210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35798CDA-18FE-4B4E-AF70-32E5AD52CBA0}"/>
            </a:ext>
          </a:extLst>
        </xdr:cNvPr>
        <xdr:cNvCxnSpPr/>
      </xdr:nvCxnSpPr>
      <xdr:spPr>
        <a:xfrm>
          <a:off x="9080500" y="1866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5448300</xdr:colOff>
      <xdr:row>77</xdr:row>
      <xdr:rowOff>177800</xdr:rowOff>
    </xdr:from>
    <xdr:to>
      <xdr:col>6</xdr:col>
      <xdr:colOff>800100</xdr:colOff>
      <xdr:row>77</xdr:row>
      <xdr:rowOff>177800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C671631E-CAFC-254F-B02A-27A568855DC4}"/>
            </a:ext>
          </a:extLst>
        </xdr:cNvPr>
        <xdr:cNvCxnSpPr/>
      </xdr:nvCxnSpPr>
      <xdr:spPr>
        <a:xfrm>
          <a:off x="10706100" y="11912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3CB3A0B0-1D08-B844-ABE3-B83A48F27761}"/>
            </a:ext>
          </a:extLst>
        </xdr:cNvPr>
        <xdr:cNvCxnSpPr/>
      </xdr:nvCxnSpPr>
      <xdr:spPr>
        <a:xfrm flipH="1">
          <a:off x="13208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38</xdr:row>
      <xdr:rowOff>120650</xdr:rowOff>
    </xdr:from>
    <xdr:to>
      <xdr:col>10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6A28AC9-A981-CF41-85CE-B981E1880C26}"/>
            </a:ext>
          </a:extLst>
        </xdr:cNvPr>
        <xdr:cNvCxnSpPr/>
      </xdr:nvCxnSpPr>
      <xdr:spPr>
        <a:xfrm>
          <a:off x="13208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81C1D0C-EDEF-3E4C-B1E5-F19CC6F096CE}"/>
            </a:ext>
          </a:extLst>
        </xdr:cNvPr>
        <xdr:cNvSpPr txBox="1"/>
      </xdr:nvSpPr>
      <xdr:spPr>
        <a:xfrm>
          <a:off x="14046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7</xdr:col>
      <xdr:colOff>0</xdr:colOff>
      <xdr:row>29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8F320EF-4552-564E-A462-1C348D22CE10}"/>
            </a:ext>
          </a:extLst>
        </xdr:cNvPr>
        <xdr:cNvSpPr txBox="1"/>
      </xdr:nvSpPr>
      <xdr:spPr>
        <a:xfrm>
          <a:off x="11557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8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983A58F-C666-AA40-A010-375B24BD77F3}"/>
            </a:ext>
          </a:extLst>
        </xdr:cNvPr>
        <xdr:cNvSpPr txBox="1"/>
      </xdr:nvSpPr>
      <xdr:spPr>
        <a:xfrm>
          <a:off x="13042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9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947E02C-B678-D849-828B-09F97BABFDE7}"/>
            </a:ext>
          </a:extLst>
        </xdr:cNvPr>
        <xdr:cNvSpPr txBox="1"/>
      </xdr:nvSpPr>
      <xdr:spPr>
        <a:xfrm>
          <a:off x="14008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8</xdr:col>
      <xdr:colOff>711200</xdr:colOff>
      <xdr:row>134</xdr:row>
      <xdr:rowOff>88899</xdr:rowOff>
    </xdr:from>
    <xdr:to>
      <xdr:col>9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B2089A6-C0F3-5949-89D4-8FA8D236A1FE}"/>
            </a:ext>
          </a:extLst>
        </xdr:cNvPr>
        <xdr:cNvCxnSpPr/>
      </xdr:nvCxnSpPr>
      <xdr:spPr>
        <a:xfrm flipH="1">
          <a:off x="13093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132</xdr:row>
      <xdr:rowOff>171449</xdr:rowOff>
    </xdr:from>
    <xdr:to>
      <xdr:col>10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33B2BD65-D5B2-804E-8DC4-D5F37FAE2951}"/>
            </a:ext>
          </a:extLst>
        </xdr:cNvPr>
        <xdr:cNvCxnSpPr/>
      </xdr:nvCxnSpPr>
      <xdr:spPr>
        <a:xfrm>
          <a:off x="13233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51535FF-FBF0-2340-98E5-B5B1170808B9}"/>
            </a:ext>
          </a:extLst>
        </xdr:cNvPr>
        <xdr:cNvSpPr txBox="1"/>
      </xdr:nvSpPr>
      <xdr:spPr>
        <a:xfrm>
          <a:off x="13068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787400</xdr:colOff>
      <xdr:row>166</xdr:row>
      <xdr:rowOff>50799</xdr:rowOff>
    </xdr:from>
    <xdr:to>
      <xdr:col>9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3F0A3271-BD32-264C-899A-A73F1C5AA4AA}"/>
            </a:ext>
          </a:extLst>
        </xdr:cNvPr>
        <xdr:cNvCxnSpPr/>
      </xdr:nvCxnSpPr>
      <xdr:spPr>
        <a:xfrm flipH="1">
          <a:off x="13169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163</xdr:row>
      <xdr:rowOff>171449</xdr:rowOff>
    </xdr:from>
    <xdr:to>
      <xdr:col>10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7B06D050-8AF9-174E-B07A-88C15DB77878}"/>
            </a:ext>
          </a:extLst>
        </xdr:cNvPr>
        <xdr:cNvCxnSpPr/>
      </xdr:nvCxnSpPr>
      <xdr:spPr>
        <a:xfrm>
          <a:off x="13233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4794058-4CDE-334B-B5A7-CE665C25EC97}"/>
            </a:ext>
          </a:extLst>
        </xdr:cNvPr>
        <xdr:cNvSpPr txBox="1"/>
      </xdr:nvSpPr>
      <xdr:spPr>
        <a:xfrm>
          <a:off x="14033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8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8F1D54-714A-3B46-A72D-2F16FE557D6E}"/>
            </a:ext>
          </a:extLst>
        </xdr:cNvPr>
        <xdr:cNvSpPr txBox="1"/>
      </xdr:nvSpPr>
      <xdr:spPr>
        <a:xfrm>
          <a:off x="13042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8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549B58-44C7-124B-8679-A1FE9047F62E}"/>
            </a:ext>
          </a:extLst>
        </xdr:cNvPr>
        <xdr:cNvSpPr txBox="1"/>
      </xdr:nvSpPr>
      <xdr:spPr>
        <a:xfrm>
          <a:off x="13042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3517900</xdr:colOff>
      <xdr:row>100</xdr:row>
      <xdr:rowOff>76200</xdr:rowOff>
    </xdr:from>
    <xdr:to>
      <xdr:col>6</xdr:col>
      <xdr:colOff>520700</xdr:colOff>
      <xdr:row>100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EF374470-A24C-6549-B9C6-D54A480885E2}"/>
            </a:ext>
          </a:extLst>
        </xdr:cNvPr>
        <xdr:cNvCxnSpPr/>
      </xdr:nvCxnSpPr>
      <xdr:spPr>
        <a:xfrm flipH="1">
          <a:off x="8775700" y="275463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3520017</xdr:colOff>
      <xdr:row>103</xdr:row>
      <xdr:rowOff>33867</xdr:rowOff>
    </xdr:from>
    <xdr:to>
      <xdr:col>6</xdr:col>
      <xdr:colOff>508000</xdr:colOff>
      <xdr:row>103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A36AD21C-6000-194F-9CF0-F7E4B9C038E0}"/>
            </a:ext>
          </a:extLst>
        </xdr:cNvPr>
        <xdr:cNvCxnSpPr/>
      </xdr:nvCxnSpPr>
      <xdr:spPr>
        <a:xfrm flipH="1">
          <a:off x="8777817" y="281135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3520016</xdr:colOff>
      <xdr:row>107</xdr:row>
      <xdr:rowOff>29633</xdr:rowOff>
    </xdr:from>
    <xdr:to>
      <xdr:col>6</xdr:col>
      <xdr:colOff>507999</xdr:colOff>
      <xdr:row>107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91DB529-66C8-4B42-97E1-318CA88230B7}"/>
            </a:ext>
          </a:extLst>
        </xdr:cNvPr>
        <xdr:cNvCxnSpPr/>
      </xdr:nvCxnSpPr>
      <xdr:spPr>
        <a:xfrm flipH="1">
          <a:off x="8777816" y="289221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6</xdr:col>
      <xdr:colOff>141817</xdr:colOff>
      <xdr:row>96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17EA93E-3AA7-F441-B623-D7FEF84018DD}"/>
            </a:ext>
          </a:extLst>
        </xdr:cNvPr>
        <xdr:cNvSpPr txBox="1"/>
      </xdr:nvSpPr>
      <xdr:spPr>
        <a:xfrm>
          <a:off x="10873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6</xdr:col>
      <xdr:colOff>152400</xdr:colOff>
      <xdr:row>100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3BD839ED-DEB3-B248-AF64-C349D062A1B8}"/>
            </a:ext>
          </a:extLst>
        </xdr:cNvPr>
        <xdr:cNvSpPr txBox="1"/>
      </xdr:nvSpPr>
      <xdr:spPr>
        <a:xfrm>
          <a:off x="10883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6</xdr:col>
      <xdr:colOff>139700</xdr:colOff>
      <xdr:row>105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4AB309F-93CB-724D-B802-90B396C9DE3F}"/>
            </a:ext>
          </a:extLst>
        </xdr:cNvPr>
        <xdr:cNvSpPr txBox="1"/>
      </xdr:nvSpPr>
      <xdr:spPr>
        <a:xfrm>
          <a:off x="10871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9</xdr:col>
      <xdr:colOff>25400</xdr:colOff>
      <xdr:row>164</xdr:row>
      <xdr:rowOff>171449</xdr:rowOff>
    </xdr:from>
    <xdr:to>
      <xdr:col>10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D9FD64AB-43FC-7246-88FD-27EF92F70D8E}"/>
            </a:ext>
          </a:extLst>
        </xdr:cNvPr>
        <xdr:cNvCxnSpPr/>
      </xdr:nvCxnSpPr>
      <xdr:spPr>
        <a:xfrm>
          <a:off x="13233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11EA0EE-7ACA-0C49-B791-3E41ED3B3DCF}"/>
            </a:ext>
          </a:extLst>
        </xdr:cNvPr>
        <xdr:cNvSpPr txBox="1"/>
      </xdr:nvSpPr>
      <xdr:spPr>
        <a:xfrm>
          <a:off x="13991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8</xdr:col>
      <xdr:colOff>647700</xdr:colOff>
      <xdr:row>100</xdr:row>
      <xdr:rowOff>643465</xdr:rowOff>
    </xdr:from>
    <xdr:to>
      <xdr:col>9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D7E5B7A5-A46A-E346-8C2E-718BEB4CFE5E}"/>
            </a:ext>
          </a:extLst>
        </xdr:cNvPr>
        <xdr:cNvCxnSpPr/>
      </xdr:nvCxnSpPr>
      <xdr:spPr>
        <a:xfrm flipH="1">
          <a:off x="13030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73788432-D8DA-A94A-A9F6-E88688402075}"/>
            </a:ext>
          </a:extLst>
        </xdr:cNvPr>
        <xdr:cNvSpPr txBox="1"/>
      </xdr:nvSpPr>
      <xdr:spPr>
        <a:xfrm>
          <a:off x="13112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9</xdr:col>
      <xdr:colOff>0</xdr:colOff>
      <xdr:row>100</xdr:row>
      <xdr:rowOff>666749</xdr:rowOff>
    </xdr:from>
    <xdr:to>
      <xdr:col>10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EAD14CC5-5BC6-5440-A86C-FEB1FB14A74F}"/>
            </a:ext>
          </a:extLst>
        </xdr:cNvPr>
        <xdr:cNvCxnSpPr/>
      </xdr:nvCxnSpPr>
      <xdr:spPr>
        <a:xfrm>
          <a:off x="13208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4</xdr:col>
      <xdr:colOff>0</xdr:colOff>
      <xdr:row>62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709A9618-6BB0-DF4C-8C76-0DD9F862F22E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9</xdr:col>
      <xdr:colOff>57150</xdr:colOff>
      <xdr:row>68</xdr:row>
      <xdr:rowOff>156633</xdr:rowOff>
    </xdr:from>
    <xdr:to>
      <xdr:col>10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2BFB2284-27AD-8B47-9694-185DB4BC84C7}"/>
            </a:ext>
          </a:extLst>
        </xdr:cNvPr>
        <xdr:cNvCxnSpPr/>
      </xdr:nvCxnSpPr>
      <xdr:spPr>
        <a:xfrm>
          <a:off x="13265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660400</xdr:colOff>
      <xdr:row>68</xdr:row>
      <xdr:rowOff>139700</xdr:rowOff>
    </xdr:from>
    <xdr:to>
      <xdr:col>9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9E26C935-2257-A148-97E8-B7675908B95E}"/>
            </a:ext>
          </a:extLst>
        </xdr:cNvPr>
        <xdr:cNvCxnSpPr/>
      </xdr:nvCxnSpPr>
      <xdr:spPr>
        <a:xfrm flipH="1" flipV="1">
          <a:off x="13042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812800</xdr:colOff>
      <xdr:row>67</xdr:row>
      <xdr:rowOff>95249</xdr:rowOff>
    </xdr:from>
    <xdr:to>
      <xdr:col>9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60DC73FC-ACC1-6D4E-AEA9-C884AF8B0811}"/>
            </a:ext>
          </a:extLst>
        </xdr:cNvPr>
        <xdr:cNvCxnSpPr/>
      </xdr:nvCxnSpPr>
      <xdr:spPr>
        <a:xfrm>
          <a:off x="13195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7060B94-07A6-9F4B-89A3-03E69019FA05}"/>
            </a:ext>
          </a:extLst>
        </xdr:cNvPr>
        <xdr:cNvSpPr txBox="1"/>
      </xdr:nvSpPr>
      <xdr:spPr>
        <a:xfrm>
          <a:off x="14086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9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3E85F8DF-5AF9-2544-AF9F-F20667F690DE}"/>
            </a:ext>
          </a:extLst>
        </xdr:cNvPr>
        <xdr:cNvSpPr txBox="1"/>
      </xdr:nvSpPr>
      <xdr:spPr>
        <a:xfrm>
          <a:off x="13220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4</xdr:col>
      <xdr:colOff>4232</xdr:colOff>
      <xdr:row>32</xdr:row>
      <xdr:rowOff>8976</xdr:rowOff>
    </xdr:from>
    <xdr:ext cx="5939367" cy="374141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20349E74-D6C3-274F-95EE-351CF9B78699}"/>
            </a:ext>
          </a:extLst>
        </xdr:cNvPr>
        <xdr:cNvSpPr txBox="1"/>
      </xdr:nvSpPr>
      <xdr:spPr>
        <a:xfrm>
          <a:off x="3166532" y="200241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6</xdr:col>
      <xdr:colOff>12700</xdr:colOff>
      <xdr:row>43</xdr:row>
      <xdr:rowOff>190500</xdr:rowOff>
    </xdr:from>
    <xdr:to>
      <xdr:col>7</xdr:col>
      <xdr:colOff>12700</xdr:colOff>
      <xdr:row>43</xdr:row>
      <xdr:rowOff>190500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60E6AAF6-95EE-1E41-B7F3-A22A0CADCCE9}"/>
            </a:ext>
          </a:extLst>
        </xdr:cNvPr>
        <xdr:cNvCxnSpPr/>
      </xdr:nvCxnSpPr>
      <xdr:spPr>
        <a:xfrm>
          <a:off x="10744200" y="46990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5448300</xdr:colOff>
      <xdr:row>79</xdr:row>
      <xdr:rowOff>177800</xdr:rowOff>
    </xdr:from>
    <xdr:to>
      <xdr:col>16</xdr:col>
      <xdr:colOff>800100</xdr:colOff>
      <xdr:row>79</xdr:row>
      <xdr:rowOff>177800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00C701D-C492-EE47-8266-9948718AC595}"/>
            </a:ext>
          </a:extLst>
        </xdr:cNvPr>
        <xdr:cNvCxnSpPr/>
      </xdr:nvCxnSpPr>
      <xdr:spPr>
        <a:xfrm>
          <a:off x="11137900" y="16230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42</xdr:row>
      <xdr:rowOff>0</xdr:rowOff>
    </xdr:from>
    <xdr:to>
      <xdr:col>20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B4FBFD2-81B2-0148-9392-51853880D2C2}"/>
            </a:ext>
          </a:extLst>
        </xdr:cNvPr>
        <xdr:cNvCxnSpPr/>
      </xdr:nvCxnSpPr>
      <xdr:spPr>
        <a:xfrm flipH="1">
          <a:off x="13639800" y="8204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39</xdr:row>
      <xdr:rowOff>120650</xdr:rowOff>
    </xdr:from>
    <xdr:to>
      <xdr:col>20</xdr:col>
      <xdr:colOff>0</xdr:colOff>
      <xdr:row>39</xdr:row>
      <xdr:rowOff>120650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629E65A2-BA66-704D-BCD9-35F0A7AF0C97}"/>
            </a:ext>
          </a:extLst>
        </xdr:cNvPr>
        <xdr:cNvCxnSpPr/>
      </xdr:nvCxnSpPr>
      <xdr:spPr>
        <a:xfrm>
          <a:off x="13639800" y="79184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12700</xdr:colOff>
      <xdr:row>31</xdr:row>
      <xdr:rowOff>177800</xdr:rowOff>
    </xdr:from>
    <xdr:ext cx="4660900" cy="8255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3B12200-6A10-1D43-8151-9355F35B3107}"/>
            </a:ext>
          </a:extLst>
        </xdr:cNvPr>
        <xdr:cNvSpPr txBox="1"/>
      </xdr:nvSpPr>
      <xdr:spPr>
        <a:xfrm>
          <a:off x="14478000" y="64770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17</xdr:col>
      <xdr:colOff>0</xdr:colOff>
      <xdr:row>29</xdr:row>
      <xdr:rowOff>177800</xdr:rowOff>
    </xdr:from>
    <xdr:ext cx="1651000" cy="346456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33ED67C-E4E9-FE4A-90D1-34F514A7CF9C}"/>
            </a:ext>
          </a:extLst>
        </xdr:cNvPr>
        <xdr:cNvSpPr txBox="1"/>
      </xdr:nvSpPr>
      <xdr:spPr>
        <a:xfrm>
          <a:off x="11988800" y="60706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18</xdr:col>
      <xdr:colOff>660400</xdr:colOff>
      <xdr:row>34</xdr:row>
      <xdr:rowOff>12701</xdr:rowOff>
    </xdr:from>
    <xdr:ext cx="901700" cy="7620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76A4BD0-5E71-FA4B-8A5A-F11FA7D73A47}"/>
            </a:ext>
          </a:extLst>
        </xdr:cNvPr>
        <xdr:cNvSpPr txBox="1"/>
      </xdr:nvSpPr>
      <xdr:spPr>
        <a:xfrm>
          <a:off x="13474700" y="69215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19</xdr:col>
      <xdr:colOff>800100</xdr:colOff>
      <xdr:row>129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4A172F7-CA7B-A44F-9D8F-61D4F3BE0E1B}"/>
            </a:ext>
          </a:extLst>
        </xdr:cNvPr>
        <xdr:cNvSpPr txBox="1"/>
      </xdr:nvSpPr>
      <xdr:spPr>
        <a:xfrm>
          <a:off x="14439900" y="264795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18</xdr:col>
      <xdr:colOff>711200</xdr:colOff>
      <xdr:row>136</xdr:row>
      <xdr:rowOff>88899</xdr:rowOff>
    </xdr:from>
    <xdr:to>
      <xdr:col>19</xdr:col>
      <xdr:colOff>711200</xdr:colOff>
      <xdr:row>136</xdr:row>
      <xdr:rowOff>88899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C3C62AE8-EDAE-E745-A1FC-6097490690A0}"/>
            </a:ext>
          </a:extLst>
        </xdr:cNvPr>
        <xdr:cNvCxnSpPr/>
      </xdr:nvCxnSpPr>
      <xdr:spPr>
        <a:xfrm flipH="1">
          <a:off x="13525500" y="27990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134</xdr:row>
      <xdr:rowOff>171449</xdr:rowOff>
    </xdr:from>
    <xdr:to>
      <xdr:col>20</xdr:col>
      <xdr:colOff>25400</xdr:colOff>
      <xdr:row>134</xdr:row>
      <xdr:rowOff>171449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FC2BA769-9EA4-DF47-ACD1-351ABE2DFA9A}"/>
            </a:ext>
          </a:extLst>
        </xdr:cNvPr>
        <xdr:cNvCxnSpPr/>
      </xdr:nvCxnSpPr>
      <xdr:spPr>
        <a:xfrm>
          <a:off x="13665200" y="27666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685800</xdr:colOff>
      <xdr:row>130</xdr:row>
      <xdr:rowOff>63500</xdr:rowOff>
    </xdr:from>
    <xdr:ext cx="901700" cy="7620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528440-8C68-844E-AA04-CA5186176308}"/>
            </a:ext>
          </a:extLst>
        </xdr:cNvPr>
        <xdr:cNvSpPr txBox="1"/>
      </xdr:nvSpPr>
      <xdr:spPr>
        <a:xfrm>
          <a:off x="13500100" y="267081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18</xdr:col>
      <xdr:colOff>787400</xdr:colOff>
      <xdr:row>168</xdr:row>
      <xdr:rowOff>50799</xdr:rowOff>
    </xdr:from>
    <xdr:to>
      <xdr:col>19</xdr:col>
      <xdr:colOff>787400</xdr:colOff>
      <xdr:row>168</xdr:row>
      <xdr:rowOff>50799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C640982-E400-444B-A2BA-1BD3A575B2E9}"/>
            </a:ext>
          </a:extLst>
        </xdr:cNvPr>
        <xdr:cNvCxnSpPr/>
      </xdr:nvCxnSpPr>
      <xdr:spPr>
        <a:xfrm flipH="1">
          <a:off x="13601700" y="345058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165</xdr:row>
      <xdr:rowOff>171449</xdr:rowOff>
    </xdr:from>
    <xdr:to>
      <xdr:col>20</xdr:col>
      <xdr:colOff>25400</xdr:colOff>
      <xdr:row>165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5DB93CEC-8007-DA45-B9CC-51C7FF85ADBF}"/>
            </a:ext>
          </a:extLst>
        </xdr:cNvPr>
        <xdr:cNvCxnSpPr/>
      </xdr:nvCxnSpPr>
      <xdr:spPr>
        <a:xfrm>
          <a:off x="13665200" y="33978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0</xdr:colOff>
      <xdr:row>161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13AF70F-09E3-1846-BAA4-4A55624E9B9E}"/>
            </a:ext>
          </a:extLst>
        </xdr:cNvPr>
        <xdr:cNvSpPr txBox="1"/>
      </xdr:nvSpPr>
      <xdr:spPr>
        <a:xfrm>
          <a:off x="14465300" y="33020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660400</xdr:colOff>
      <xdr:row>161</xdr:row>
      <xdr:rowOff>127000</xdr:rowOff>
    </xdr:from>
    <xdr:ext cx="901700" cy="7620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D1A5EB70-D14F-A14F-BE26-BCA955E28413}"/>
            </a:ext>
          </a:extLst>
        </xdr:cNvPr>
        <xdr:cNvSpPr txBox="1"/>
      </xdr:nvSpPr>
      <xdr:spPr>
        <a:xfrm>
          <a:off x="13474700" y="33121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18</xdr:col>
      <xdr:colOff>660400</xdr:colOff>
      <xdr:row>157</xdr:row>
      <xdr:rowOff>177800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C8E4495D-8C00-B143-A56C-06AB6479C1FB}"/>
            </a:ext>
          </a:extLst>
        </xdr:cNvPr>
        <xdr:cNvSpPr txBox="1"/>
      </xdr:nvSpPr>
      <xdr:spPr>
        <a:xfrm>
          <a:off x="13474700" y="32346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10</xdr:col>
      <xdr:colOff>3517900</xdr:colOff>
      <xdr:row>102</xdr:row>
      <xdr:rowOff>76200</xdr:rowOff>
    </xdr:from>
    <xdr:to>
      <xdr:col>16</xdr:col>
      <xdr:colOff>520700</xdr:colOff>
      <xdr:row>102</xdr:row>
      <xdr:rowOff>76200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899C7C5A-D1C1-4948-AAC0-229566931F2F}"/>
            </a:ext>
          </a:extLst>
        </xdr:cNvPr>
        <xdr:cNvCxnSpPr/>
      </xdr:nvCxnSpPr>
      <xdr:spPr>
        <a:xfrm flipH="1">
          <a:off x="9207500" y="210185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3520017</xdr:colOff>
      <xdr:row>105</xdr:row>
      <xdr:rowOff>33867</xdr:rowOff>
    </xdr:from>
    <xdr:to>
      <xdr:col>16</xdr:col>
      <xdr:colOff>508000</xdr:colOff>
      <xdr:row>105</xdr:row>
      <xdr:rowOff>33867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5C9964E8-5A75-D843-ABBF-72AC30A8690F}"/>
            </a:ext>
          </a:extLst>
        </xdr:cNvPr>
        <xdr:cNvCxnSpPr/>
      </xdr:nvCxnSpPr>
      <xdr:spPr>
        <a:xfrm flipH="1">
          <a:off x="9209617" y="215857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3520016</xdr:colOff>
      <xdr:row>109</xdr:row>
      <xdr:rowOff>29633</xdr:rowOff>
    </xdr:from>
    <xdr:to>
      <xdr:col>16</xdr:col>
      <xdr:colOff>507999</xdr:colOff>
      <xdr:row>109</xdr:row>
      <xdr:rowOff>29633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85CA0AE5-F2BC-F749-80CE-84DD2AA7CC11}"/>
            </a:ext>
          </a:extLst>
        </xdr:cNvPr>
        <xdr:cNvCxnSpPr/>
      </xdr:nvCxnSpPr>
      <xdr:spPr>
        <a:xfrm flipH="1">
          <a:off x="9209616" y="223943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141817</xdr:colOff>
      <xdr:row>98</xdr:row>
      <xdr:rowOff>162983</xdr:rowOff>
    </xdr:from>
    <xdr:ext cx="901700" cy="7620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FFB8E81E-D07E-744E-8660-F003BCEE776C}"/>
            </a:ext>
          </a:extLst>
        </xdr:cNvPr>
        <xdr:cNvSpPr txBox="1"/>
      </xdr:nvSpPr>
      <xdr:spPr>
        <a:xfrm>
          <a:off x="11305117" y="202543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16</xdr:col>
      <xdr:colOff>152400</xdr:colOff>
      <xdr:row>102</xdr:row>
      <xdr:rowOff>190500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1A19BBE5-A7DB-6D44-B5CF-82FCA3182879}"/>
            </a:ext>
          </a:extLst>
        </xdr:cNvPr>
        <xdr:cNvSpPr txBox="1"/>
      </xdr:nvSpPr>
      <xdr:spPr>
        <a:xfrm>
          <a:off x="11315700" y="211328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16</xdr:col>
      <xdr:colOff>139700</xdr:colOff>
      <xdr:row>107</xdr:row>
      <xdr:rowOff>88900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EA6C677-5FD0-D845-8B09-B469AB78DC41}"/>
            </a:ext>
          </a:extLst>
        </xdr:cNvPr>
        <xdr:cNvSpPr txBox="1"/>
      </xdr:nvSpPr>
      <xdr:spPr>
        <a:xfrm>
          <a:off x="11303000" y="220472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19</xdr:col>
      <xdr:colOff>25400</xdr:colOff>
      <xdr:row>166</xdr:row>
      <xdr:rowOff>171449</xdr:rowOff>
    </xdr:from>
    <xdr:to>
      <xdr:col>20</xdr:col>
      <xdr:colOff>25400</xdr:colOff>
      <xdr:row>166</xdr:row>
      <xdr:rowOff>171449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64340FB3-FECD-2749-9EEF-51D228E7973C}"/>
            </a:ext>
          </a:extLst>
        </xdr:cNvPr>
        <xdr:cNvCxnSpPr/>
      </xdr:nvCxnSpPr>
      <xdr:spPr>
        <a:xfrm>
          <a:off x="13665200" y="342201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19</xdr:col>
      <xdr:colOff>783166</xdr:colOff>
      <xdr:row>95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F785AE5-8714-2B40-B1CA-6B1F19DC17CD}"/>
            </a:ext>
          </a:extLst>
        </xdr:cNvPr>
        <xdr:cNvSpPr txBox="1"/>
      </xdr:nvSpPr>
      <xdr:spPr>
        <a:xfrm>
          <a:off x="14422966" y="194966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18</xdr:col>
      <xdr:colOff>647700</xdr:colOff>
      <xdr:row>102</xdr:row>
      <xdr:rowOff>643465</xdr:rowOff>
    </xdr:from>
    <xdr:to>
      <xdr:col>19</xdr:col>
      <xdr:colOff>647700</xdr:colOff>
      <xdr:row>102</xdr:row>
      <xdr:rowOff>643465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57571193-D4FF-FA4A-AB1A-6A5F31A58592}"/>
            </a:ext>
          </a:extLst>
        </xdr:cNvPr>
        <xdr:cNvCxnSpPr/>
      </xdr:nvCxnSpPr>
      <xdr:spPr>
        <a:xfrm flipH="1">
          <a:off x="13462000" y="211412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730250</xdr:colOff>
      <xdr:row>94</xdr:row>
      <xdr:rowOff>207433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58DAE75C-1B3C-7E4F-B83A-E4ED5D4ED342}"/>
            </a:ext>
          </a:extLst>
        </xdr:cNvPr>
        <xdr:cNvSpPr txBox="1"/>
      </xdr:nvSpPr>
      <xdr:spPr>
        <a:xfrm>
          <a:off x="13544550" y="194733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19</xdr:col>
      <xdr:colOff>0</xdr:colOff>
      <xdr:row>102</xdr:row>
      <xdr:rowOff>666749</xdr:rowOff>
    </xdr:from>
    <xdr:to>
      <xdr:col>20</xdr:col>
      <xdr:colOff>0</xdr:colOff>
      <xdr:row>102</xdr:row>
      <xdr:rowOff>666749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1B968E5-F9EB-A141-B190-49E0BF3B123D}"/>
            </a:ext>
          </a:extLst>
        </xdr:cNvPr>
        <xdr:cNvCxnSpPr/>
      </xdr:nvCxnSpPr>
      <xdr:spPr>
        <a:xfrm>
          <a:off x="13639800" y="21151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64</xdr:row>
      <xdr:rowOff>25400</xdr:rowOff>
    </xdr:from>
    <xdr:ext cx="5918200" cy="374141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ECCF5C82-40E8-E541-B60B-E22C719D99B8}"/>
            </a:ext>
          </a:extLst>
        </xdr:cNvPr>
        <xdr:cNvSpPr txBox="1"/>
      </xdr:nvSpPr>
      <xdr:spPr>
        <a:xfrm>
          <a:off x="3594100" y="12941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19</xdr:col>
      <xdr:colOff>57150</xdr:colOff>
      <xdr:row>70</xdr:row>
      <xdr:rowOff>156633</xdr:rowOff>
    </xdr:from>
    <xdr:to>
      <xdr:col>20</xdr:col>
      <xdr:colOff>57150</xdr:colOff>
      <xdr:row>70</xdr:row>
      <xdr:rowOff>156633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AA97CEC5-6225-7A4A-8332-B44A4A0A02CF}"/>
            </a:ext>
          </a:extLst>
        </xdr:cNvPr>
        <xdr:cNvCxnSpPr/>
      </xdr:nvCxnSpPr>
      <xdr:spPr>
        <a:xfrm>
          <a:off x="13696950" y="143806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660400</xdr:colOff>
      <xdr:row>70</xdr:row>
      <xdr:rowOff>139700</xdr:rowOff>
    </xdr:from>
    <xdr:to>
      <xdr:col>19</xdr:col>
      <xdr:colOff>812800</xdr:colOff>
      <xdr:row>70</xdr:row>
      <xdr:rowOff>165100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3C5649CB-A18D-3B41-BE00-DA894D809FC6}"/>
            </a:ext>
          </a:extLst>
        </xdr:cNvPr>
        <xdr:cNvCxnSpPr/>
      </xdr:nvCxnSpPr>
      <xdr:spPr>
        <a:xfrm flipH="1" flipV="1">
          <a:off x="13474700" y="14363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812800</xdr:colOff>
      <xdr:row>69</xdr:row>
      <xdr:rowOff>95249</xdr:rowOff>
    </xdr:from>
    <xdr:to>
      <xdr:col>19</xdr:col>
      <xdr:colOff>812800</xdr:colOff>
      <xdr:row>69</xdr:row>
      <xdr:rowOff>95249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4D4A45A7-46BF-F241-AE15-68F808DFE035}"/>
            </a:ext>
          </a:extLst>
        </xdr:cNvPr>
        <xdr:cNvCxnSpPr/>
      </xdr:nvCxnSpPr>
      <xdr:spPr>
        <a:xfrm>
          <a:off x="13627100" y="141160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52916</xdr:colOff>
      <xdr:row>64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BF299421-292E-0F4F-A812-C7B88F1B5A0B}"/>
            </a:ext>
          </a:extLst>
        </xdr:cNvPr>
        <xdr:cNvSpPr txBox="1"/>
      </xdr:nvSpPr>
      <xdr:spPr>
        <a:xfrm>
          <a:off x="14518216" y="131191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19</xdr:col>
      <xdr:colOff>12700</xdr:colOff>
      <xdr:row>64</xdr:row>
      <xdr:rowOff>177799</xdr:rowOff>
    </xdr:from>
    <xdr:ext cx="901700" cy="68791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7618555-5B6E-024C-915F-54BE50A71715}"/>
            </a:ext>
          </a:extLst>
        </xdr:cNvPr>
        <xdr:cNvSpPr txBox="1"/>
      </xdr:nvSpPr>
      <xdr:spPr>
        <a:xfrm>
          <a:off x="13652500" y="130936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207432</xdr:colOff>
      <xdr:row>33</xdr:row>
      <xdr:rowOff>8976</xdr:rowOff>
    </xdr:from>
    <xdr:ext cx="5939367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ADAD54B-FA2B-3B4D-A67C-8B25E32A6F6F}"/>
            </a:ext>
          </a:extLst>
        </xdr:cNvPr>
        <xdr:cNvSpPr txBox="1"/>
      </xdr:nvSpPr>
      <xdr:spPr>
        <a:xfrm>
          <a:off x="3585632" y="67145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16</xdr:col>
      <xdr:colOff>12700</xdr:colOff>
      <xdr:row>45</xdr:row>
      <xdr:rowOff>190500</xdr:rowOff>
    </xdr:from>
    <xdr:to>
      <xdr:col>17</xdr:col>
      <xdr:colOff>12700</xdr:colOff>
      <xdr:row>45</xdr:row>
      <xdr:rowOff>190500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B349DBE0-0428-D646-8D50-962E47D8EDF9}"/>
            </a:ext>
          </a:extLst>
        </xdr:cNvPr>
        <xdr:cNvCxnSpPr/>
      </xdr:nvCxnSpPr>
      <xdr:spPr>
        <a:xfrm>
          <a:off x="11176000" y="9004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800100</xdr:colOff>
      <xdr:row>294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C4B4C08-48A3-B74A-9E6C-606FE7E32F7C}"/>
            </a:ext>
          </a:extLst>
        </xdr:cNvPr>
        <xdr:cNvSpPr txBox="1"/>
      </xdr:nvSpPr>
      <xdr:spPr>
        <a:xfrm>
          <a:off x="18351500" y="281940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oneCellAnchor>
    <xdr:from>
      <xdr:col>19</xdr:col>
      <xdr:colOff>0</xdr:colOff>
      <xdr:row>381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D2AB96B-30B2-EE4E-BF6A-C79F1EA3C6EF}"/>
            </a:ext>
          </a:extLst>
        </xdr:cNvPr>
        <xdr:cNvSpPr txBox="1"/>
      </xdr:nvSpPr>
      <xdr:spPr>
        <a:xfrm>
          <a:off x="18376900" y="347345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783166</xdr:colOff>
      <xdr:row>254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E844A30-056C-1E43-AA10-BB33F761041D}"/>
            </a:ext>
          </a:extLst>
        </xdr:cNvPr>
        <xdr:cNvSpPr txBox="1"/>
      </xdr:nvSpPr>
      <xdr:spPr>
        <a:xfrm>
          <a:off x="18334566" y="212111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oneCellAnchor>
    <xdr:from>
      <xdr:col>19</xdr:col>
      <xdr:colOff>52916</xdr:colOff>
      <xdr:row>188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7BD5F3F2-7BFB-9441-B8F3-1A132378E563}"/>
            </a:ext>
          </a:extLst>
        </xdr:cNvPr>
        <xdr:cNvSpPr txBox="1"/>
      </xdr:nvSpPr>
      <xdr:spPr>
        <a:xfrm>
          <a:off x="18429816" y="148336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12700</xdr:colOff>
      <xdr:row>15</xdr:row>
      <xdr:rowOff>114300</xdr:rowOff>
    </xdr:from>
    <xdr:to>
      <xdr:col>24</xdr:col>
      <xdr:colOff>749300</xdr:colOff>
      <xdr:row>35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2304D4-BE83-FB36-CE83-6C613E512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260350</xdr:colOff>
      <xdr:row>87</xdr:row>
      <xdr:rowOff>114300</xdr:rowOff>
    </xdr:from>
    <xdr:to>
      <xdr:col>16</xdr:col>
      <xdr:colOff>704850</xdr:colOff>
      <xdr:row>101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7539E53-75B1-3C84-C3F3-6B7AB540F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4</xdr:row>
      <xdr:rowOff>190500</xdr:rowOff>
    </xdr:from>
    <xdr:to>
      <xdr:col>17</xdr:col>
      <xdr:colOff>241300</xdr:colOff>
      <xdr:row>27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33A441-C430-7D4D-B261-74271B433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711200</xdr:colOff>
      <xdr:row>10</xdr:row>
      <xdr:rowOff>171450</xdr:rowOff>
    </xdr:from>
    <xdr:to>
      <xdr:col>24</xdr:col>
      <xdr:colOff>330200</xdr:colOff>
      <xdr:row>24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F3F960-C2BC-4F46-7CC0-8F9B411270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520700</xdr:colOff>
      <xdr:row>0</xdr:row>
      <xdr:rowOff>182033</xdr:rowOff>
    </xdr:from>
    <xdr:ext cx="2766142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33BC6C5-0AB2-CA4E-BD5A-2D364CE0001E}"/>
            </a:ext>
          </a:extLst>
        </xdr:cNvPr>
        <xdr:cNvSpPr txBox="1"/>
      </xdr:nvSpPr>
      <xdr:spPr>
        <a:xfrm>
          <a:off x="5516033" y="182033"/>
          <a:ext cx="276614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kern="1200"/>
            <a:t>Pull down Selection:  1m, 5m,  1h, 12h, 24h, ...</a:t>
          </a:r>
        </a:p>
      </xdr:txBody>
    </xdr:sp>
    <xdr:clientData/>
  </xdr:oneCellAnchor>
  <xdr:twoCellAnchor>
    <xdr:from>
      <xdr:col>6</xdr:col>
      <xdr:colOff>316454</xdr:colOff>
      <xdr:row>1</xdr:row>
      <xdr:rowOff>82891</xdr:rowOff>
    </xdr:from>
    <xdr:to>
      <xdr:col>6</xdr:col>
      <xdr:colOff>814212</xdr:colOff>
      <xdr:row>1</xdr:row>
      <xdr:rowOff>103011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F9E598C7-0169-4548-9468-E41238E215E3}"/>
            </a:ext>
          </a:extLst>
        </xdr:cNvPr>
        <xdr:cNvCxnSpPr/>
      </xdr:nvCxnSpPr>
      <xdr:spPr>
        <a:xfrm flipH="1">
          <a:off x="5311787" y="280447"/>
          <a:ext cx="497758" cy="2012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5BC79-5CC4-4146-A4AC-12A07A1DA7E2}">
  <sheetPr codeName="Sheet1">
    <tabColor theme="0" tint="-0.14999847407452621"/>
  </sheetPr>
  <dimension ref="B3:K133"/>
  <sheetViews>
    <sheetView zoomScaleNormal="100" workbookViewId="0">
      <selection activeCell="E67" sqref="E67:E87"/>
    </sheetView>
  </sheetViews>
  <sheetFormatPr baseColWidth="10" defaultRowHeight="16" x14ac:dyDescent="0.2"/>
  <cols>
    <col min="1" max="1" width="2" customWidth="1"/>
    <col min="2" max="2" width="15.5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84.5" customWidth="1"/>
  </cols>
  <sheetData>
    <row r="3" spans="4:11" ht="17" thickBot="1" x14ac:dyDescent="0.25"/>
    <row r="4" spans="4:11" x14ac:dyDescent="0.2">
      <c r="D4" s="2" t="s">
        <v>191</v>
      </c>
      <c r="E4" s="5" t="s">
        <v>196</v>
      </c>
    </row>
    <row r="5" spans="4:11" x14ac:dyDescent="0.2">
      <c r="D5" s="3" t="s">
        <v>189</v>
      </c>
      <c r="E5" s="6" t="s">
        <v>3</v>
      </c>
    </row>
    <row r="6" spans="4:11" x14ac:dyDescent="0.2">
      <c r="D6" s="3" t="s">
        <v>47</v>
      </c>
      <c r="E6" s="6" t="s">
        <v>4</v>
      </c>
    </row>
    <row r="7" spans="4:11" x14ac:dyDescent="0.2">
      <c r="D7" s="3" t="s">
        <v>48</v>
      </c>
      <c r="E7" s="6" t="s">
        <v>5</v>
      </c>
    </row>
    <row r="8" spans="4:11" x14ac:dyDescent="0.2">
      <c r="D8" s="3" t="s">
        <v>49</v>
      </c>
      <c r="E8" s="6" t="s">
        <v>6</v>
      </c>
    </row>
    <row r="9" spans="4:11" ht="17" thickBot="1" x14ac:dyDescent="0.25">
      <c r="D9" s="3" t="s">
        <v>50</v>
      </c>
      <c r="E9" s="6" t="s">
        <v>122</v>
      </c>
    </row>
    <row r="10" spans="4:11" x14ac:dyDescent="0.2">
      <c r="D10" s="3" t="s">
        <v>51</v>
      </c>
      <c r="E10" s="6" t="s">
        <v>7</v>
      </c>
      <c r="J10" s="2" t="s">
        <v>89</v>
      </c>
      <c r="K10" s="5" t="s">
        <v>92</v>
      </c>
    </row>
    <row r="11" spans="4:11" x14ac:dyDescent="0.2">
      <c r="D11" s="3" t="s">
        <v>52</v>
      </c>
      <c r="E11" s="6" t="s">
        <v>8</v>
      </c>
      <c r="J11" s="3" t="s">
        <v>86</v>
      </c>
      <c r="K11" s="6" t="s">
        <v>19</v>
      </c>
    </row>
    <row r="12" spans="4:11" x14ac:dyDescent="0.2">
      <c r="D12" s="3" t="s">
        <v>53</v>
      </c>
      <c r="E12" s="6" t="s">
        <v>8</v>
      </c>
      <c r="J12" s="3" t="s">
        <v>88</v>
      </c>
      <c r="K12" s="6" t="s">
        <v>20</v>
      </c>
    </row>
    <row r="13" spans="4:11" x14ac:dyDescent="0.2">
      <c r="D13" s="3" t="s">
        <v>54</v>
      </c>
      <c r="E13" s="6" t="s">
        <v>119</v>
      </c>
      <c r="J13" s="3" t="s">
        <v>67</v>
      </c>
      <c r="K13" s="6" t="s">
        <v>21</v>
      </c>
    </row>
    <row r="14" spans="4:11" x14ac:dyDescent="0.2">
      <c r="D14" s="3" t="s">
        <v>55</v>
      </c>
      <c r="E14" s="6" t="s">
        <v>9</v>
      </c>
      <c r="J14" s="3" t="s">
        <v>68</v>
      </c>
      <c r="K14" s="6" t="s">
        <v>22</v>
      </c>
    </row>
    <row r="15" spans="4:11" x14ac:dyDescent="0.2">
      <c r="D15" s="3" t="s">
        <v>56</v>
      </c>
      <c r="E15" s="6" t="s">
        <v>10</v>
      </c>
      <c r="J15" s="3" t="s">
        <v>69</v>
      </c>
      <c r="K15" s="6" t="s">
        <v>23</v>
      </c>
    </row>
    <row r="16" spans="4:11" x14ac:dyDescent="0.2">
      <c r="D16" s="3" t="s">
        <v>57</v>
      </c>
      <c r="E16" s="6" t="s">
        <v>11</v>
      </c>
      <c r="J16" s="3" t="s">
        <v>70</v>
      </c>
      <c r="K16" s="6" t="s">
        <v>24</v>
      </c>
    </row>
    <row r="17" spans="4:11" x14ac:dyDescent="0.2">
      <c r="D17" s="3" t="s">
        <v>58</v>
      </c>
      <c r="E17" s="6" t="s">
        <v>12</v>
      </c>
      <c r="J17" s="3" t="s">
        <v>71</v>
      </c>
      <c r="K17" s="6" t="s">
        <v>25</v>
      </c>
    </row>
    <row r="18" spans="4:11" x14ac:dyDescent="0.2">
      <c r="D18" s="3" t="s">
        <v>59</v>
      </c>
      <c r="E18" s="6" t="s">
        <v>13</v>
      </c>
      <c r="J18" s="3" t="s">
        <v>72</v>
      </c>
      <c r="K18" s="6" t="s">
        <v>26</v>
      </c>
    </row>
    <row r="19" spans="4:11" x14ac:dyDescent="0.2">
      <c r="D19" s="3" t="s">
        <v>60</v>
      </c>
      <c r="E19" s="6" t="s">
        <v>13</v>
      </c>
      <c r="J19" s="3" t="s">
        <v>73</v>
      </c>
      <c r="K19" s="6" t="s">
        <v>27</v>
      </c>
    </row>
    <row r="20" spans="4:11" x14ac:dyDescent="0.2">
      <c r="D20" s="3" t="s">
        <v>61</v>
      </c>
      <c r="E20" s="6" t="s">
        <v>13</v>
      </c>
      <c r="J20" s="3" t="s">
        <v>74</v>
      </c>
      <c r="K20" s="6" t="s">
        <v>28</v>
      </c>
    </row>
    <row r="21" spans="4:11" x14ac:dyDescent="0.2">
      <c r="D21" s="3" t="s">
        <v>62</v>
      </c>
      <c r="E21" s="6" t="s">
        <v>14</v>
      </c>
      <c r="J21" s="3" t="s">
        <v>75</v>
      </c>
      <c r="K21" s="6" t="s">
        <v>29</v>
      </c>
    </row>
    <row r="22" spans="4:11" x14ac:dyDescent="0.2">
      <c r="D22" s="3" t="s">
        <v>63</v>
      </c>
      <c r="E22" s="6" t="s">
        <v>15</v>
      </c>
      <c r="J22" s="3" t="s">
        <v>76</v>
      </c>
      <c r="K22" s="6" t="s">
        <v>30</v>
      </c>
    </row>
    <row r="23" spans="4:11" x14ac:dyDescent="0.2">
      <c r="D23" s="3" t="s">
        <v>64</v>
      </c>
      <c r="E23" s="6" t="s">
        <v>16</v>
      </c>
      <c r="J23" s="3" t="s">
        <v>77</v>
      </c>
      <c r="K23" s="6" t="s">
        <v>31</v>
      </c>
    </row>
    <row r="24" spans="4:11" x14ac:dyDescent="0.2">
      <c r="D24" s="3" t="s">
        <v>65</v>
      </c>
      <c r="E24" s="6" t="s">
        <v>17</v>
      </c>
      <c r="J24" s="3" t="s">
        <v>78</v>
      </c>
      <c r="K24" s="6" t="s">
        <v>32</v>
      </c>
    </row>
    <row r="25" spans="4:11" x14ac:dyDescent="0.2">
      <c r="D25" s="3" t="s">
        <v>66</v>
      </c>
      <c r="E25" s="6" t="s">
        <v>18</v>
      </c>
      <c r="J25" s="3" t="s">
        <v>79</v>
      </c>
      <c r="K25" s="6" t="s">
        <v>33</v>
      </c>
    </row>
    <row r="26" spans="4:11" x14ac:dyDescent="0.2">
      <c r="D26" s="3" t="s">
        <v>1</v>
      </c>
      <c r="E26" s="6"/>
      <c r="J26" s="3" t="s">
        <v>80</v>
      </c>
      <c r="K26" s="6" t="s">
        <v>34</v>
      </c>
    </row>
    <row r="27" spans="4:11" x14ac:dyDescent="0.2">
      <c r="D27" s="3" t="s">
        <v>0</v>
      </c>
      <c r="E27" s="6"/>
      <c r="J27" s="3" t="s">
        <v>81</v>
      </c>
      <c r="K27" s="6" t="s">
        <v>45</v>
      </c>
    </row>
    <row r="28" spans="4:11" x14ac:dyDescent="0.2">
      <c r="D28" s="10" t="s">
        <v>190</v>
      </c>
      <c r="E28" s="6" t="s">
        <v>194</v>
      </c>
      <c r="J28" s="3" t="s">
        <v>82</v>
      </c>
      <c r="K28" s="6" t="s">
        <v>46</v>
      </c>
    </row>
    <row r="29" spans="4:11" ht="17" thickBot="1" x14ac:dyDescent="0.25">
      <c r="D29" s="4" t="s">
        <v>2</v>
      </c>
      <c r="E29" s="7"/>
      <c r="J29" s="3" t="s">
        <v>83</v>
      </c>
      <c r="K29" s="6" t="s">
        <v>123</v>
      </c>
    </row>
    <row r="30" spans="4:11" x14ac:dyDescent="0.2">
      <c r="J30" s="3" t="s">
        <v>84</v>
      </c>
      <c r="K30" s="6" t="s">
        <v>13</v>
      </c>
    </row>
    <row r="31" spans="4:11" x14ac:dyDescent="0.2">
      <c r="J31" s="3" t="s">
        <v>85</v>
      </c>
      <c r="K31" s="6" t="s">
        <v>13</v>
      </c>
    </row>
    <row r="32" spans="4:11" x14ac:dyDescent="0.2">
      <c r="J32" s="3" t="s">
        <v>1</v>
      </c>
      <c r="K32" s="6"/>
    </row>
    <row r="33" spans="2:11" x14ac:dyDescent="0.2">
      <c r="B33" s="9" t="s">
        <v>188</v>
      </c>
      <c r="C33" s="9">
        <v>0</v>
      </c>
      <c r="D33" s="9" t="s">
        <v>138</v>
      </c>
      <c r="E33" s="9" t="s">
        <v>187</v>
      </c>
      <c r="J33" s="3" t="s">
        <v>0</v>
      </c>
      <c r="K33" s="6"/>
    </row>
    <row r="34" spans="2:11" x14ac:dyDescent="0.2">
      <c r="B34" s="9" t="s">
        <v>169</v>
      </c>
      <c r="C34" s="9">
        <v>1</v>
      </c>
      <c r="D34" s="9" t="s">
        <v>139</v>
      </c>
      <c r="E34" s="9" t="s">
        <v>126</v>
      </c>
      <c r="J34" s="8" t="s">
        <v>87</v>
      </c>
      <c r="K34" s="3" t="s">
        <v>97</v>
      </c>
    </row>
    <row r="35" spans="2:11" ht="17" thickBot="1" x14ac:dyDescent="0.25">
      <c r="B35" s="9" t="s">
        <v>169</v>
      </c>
      <c r="C35" s="9">
        <v>2</v>
      </c>
      <c r="D35" s="9" t="s">
        <v>140</v>
      </c>
      <c r="E35" s="9" t="s">
        <v>127</v>
      </c>
      <c r="J35" s="4" t="s">
        <v>1</v>
      </c>
      <c r="K35" s="7"/>
    </row>
    <row r="36" spans="2:11" x14ac:dyDescent="0.2">
      <c r="B36" s="9" t="s">
        <v>169</v>
      </c>
      <c r="C36" s="9">
        <v>3</v>
      </c>
      <c r="D36" s="9" t="s">
        <v>141</v>
      </c>
      <c r="E36" s="9" t="s">
        <v>128</v>
      </c>
    </row>
    <row r="37" spans="2:11" x14ac:dyDescent="0.2">
      <c r="B37" s="9" t="s">
        <v>169</v>
      </c>
      <c r="C37" s="9">
        <v>4</v>
      </c>
      <c r="D37" s="9" t="s">
        <v>142</v>
      </c>
      <c r="E37" s="9" t="s">
        <v>137</v>
      </c>
    </row>
    <row r="38" spans="2:11" x14ac:dyDescent="0.2">
      <c r="B38" s="9" t="s">
        <v>169</v>
      </c>
      <c r="C38" s="9">
        <v>5</v>
      </c>
      <c r="D38" s="9" t="s">
        <v>143</v>
      </c>
      <c r="E38" s="9" t="s">
        <v>183</v>
      </c>
    </row>
    <row r="39" spans="2:11" x14ac:dyDescent="0.2">
      <c r="B39" s="9" t="s">
        <v>169</v>
      </c>
      <c r="C39" s="9">
        <v>6</v>
      </c>
      <c r="D39" s="9" t="s">
        <v>144</v>
      </c>
      <c r="E39" s="9" t="s">
        <v>184</v>
      </c>
    </row>
    <row r="40" spans="2:11" ht="17" thickBot="1" x14ac:dyDescent="0.25">
      <c r="B40" s="9" t="s">
        <v>169</v>
      </c>
      <c r="C40" s="9">
        <v>7</v>
      </c>
      <c r="D40" s="9" t="s">
        <v>145</v>
      </c>
      <c r="E40" s="9" t="s">
        <v>185</v>
      </c>
    </row>
    <row r="41" spans="2:11" x14ac:dyDescent="0.2">
      <c r="B41" s="9" t="s">
        <v>169</v>
      </c>
      <c r="C41" s="9">
        <v>8</v>
      </c>
      <c r="D41" s="9" t="s">
        <v>146</v>
      </c>
      <c r="E41" s="9" t="s">
        <v>136</v>
      </c>
      <c r="J41" s="2" t="s">
        <v>90</v>
      </c>
      <c r="K41" s="5" t="s">
        <v>93</v>
      </c>
    </row>
    <row r="42" spans="2:11" x14ac:dyDescent="0.2">
      <c r="B42" s="9" t="s">
        <v>169</v>
      </c>
      <c r="C42" s="9">
        <v>9</v>
      </c>
      <c r="D42" s="9" t="s">
        <v>147</v>
      </c>
      <c r="E42" s="9" t="s">
        <v>129</v>
      </c>
      <c r="J42" s="3" t="s">
        <v>86</v>
      </c>
      <c r="K42" s="6" t="s">
        <v>35</v>
      </c>
    </row>
    <row r="43" spans="2:11" x14ac:dyDescent="0.2">
      <c r="B43" s="9" t="s">
        <v>169</v>
      </c>
      <c r="C43" s="9">
        <v>10</v>
      </c>
      <c r="D43" s="9" t="s">
        <v>148</v>
      </c>
      <c r="E43" s="9" t="s">
        <v>130</v>
      </c>
      <c r="J43" s="3" t="s">
        <v>88</v>
      </c>
      <c r="K43" s="6" t="s">
        <v>36</v>
      </c>
    </row>
    <row r="44" spans="2:11" x14ac:dyDescent="0.2">
      <c r="B44" s="9" t="s">
        <v>169</v>
      </c>
      <c r="C44" s="9">
        <v>11</v>
      </c>
      <c r="D44" s="9" t="s">
        <v>149</v>
      </c>
      <c r="E44" s="9" t="s">
        <v>186</v>
      </c>
      <c r="J44" s="3" t="s">
        <v>67</v>
      </c>
      <c r="K44" s="6" t="s">
        <v>37</v>
      </c>
    </row>
    <row r="45" spans="2:11" x14ac:dyDescent="0.2">
      <c r="B45" s="9" t="s">
        <v>169</v>
      </c>
      <c r="C45" s="9">
        <v>12</v>
      </c>
      <c r="D45" s="9" t="s">
        <v>150</v>
      </c>
      <c r="E45" s="9" t="s">
        <v>131</v>
      </c>
      <c r="J45" s="3" t="s">
        <v>68</v>
      </c>
      <c r="K45" s="6" t="s">
        <v>41</v>
      </c>
    </row>
    <row r="46" spans="2:11" x14ac:dyDescent="0.2">
      <c r="B46" s="9" t="s">
        <v>169</v>
      </c>
      <c r="C46" s="9">
        <v>13</v>
      </c>
      <c r="D46" s="9" t="s">
        <v>151</v>
      </c>
      <c r="E46" s="9" t="s">
        <v>132</v>
      </c>
      <c r="J46" s="3" t="s">
        <v>69</v>
      </c>
      <c r="K46" s="6" t="s">
        <v>38</v>
      </c>
    </row>
    <row r="47" spans="2:11" x14ac:dyDescent="0.2">
      <c r="B47" s="9" t="s">
        <v>169</v>
      </c>
      <c r="C47" s="9">
        <v>14</v>
      </c>
      <c r="D47" s="9" t="s">
        <v>152</v>
      </c>
      <c r="E47" s="9" t="s">
        <v>133</v>
      </c>
      <c r="J47" s="3" t="s">
        <v>70</v>
      </c>
      <c r="K47" s="6" t="s">
        <v>39</v>
      </c>
    </row>
    <row r="48" spans="2:11" x14ac:dyDescent="0.2">
      <c r="B48" s="9" t="s">
        <v>169</v>
      </c>
      <c r="C48" s="9">
        <v>15</v>
      </c>
      <c r="D48" s="9" t="s">
        <v>153</v>
      </c>
      <c r="E48" s="9" t="s">
        <v>134</v>
      </c>
      <c r="J48" s="3" t="s">
        <v>71</v>
      </c>
      <c r="K48" s="6" t="s">
        <v>40</v>
      </c>
    </row>
    <row r="49" spans="2:11" x14ac:dyDescent="0.2">
      <c r="B49" s="9" t="s">
        <v>169</v>
      </c>
      <c r="C49" s="9">
        <v>16</v>
      </c>
      <c r="D49" s="9" t="s">
        <v>166</v>
      </c>
      <c r="E49" s="9" t="s">
        <v>178</v>
      </c>
      <c r="J49" s="3" t="s">
        <v>72</v>
      </c>
      <c r="K49" s="6" t="s">
        <v>42</v>
      </c>
    </row>
    <row r="50" spans="2:11" x14ac:dyDescent="0.2">
      <c r="B50" s="9" t="s">
        <v>169</v>
      </c>
      <c r="C50" s="9">
        <v>17</v>
      </c>
      <c r="D50" s="9" t="s">
        <v>167</v>
      </c>
      <c r="E50" s="9" t="s">
        <v>179</v>
      </c>
      <c r="J50" s="3" t="s">
        <v>73</v>
      </c>
      <c r="K50" s="6" t="s">
        <v>100</v>
      </c>
    </row>
    <row r="51" spans="2:11" x14ac:dyDescent="0.2">
      <c r="B51" s="9" t="s">
        <v>169</v>
      </c>
      <c r="C51" s="9">
        <v>18</v>
      </c>
      <c r="D51" s="9" t="s">
        <v>168</v>
      </c>
      <c r="E51" s="9" t="s">
        <v>180</v>
      </c>
      <c r="J51" s="3" t="s">
        <v>74</v>
      </c>
      <c r="K51" s="6" t="s">
        <v>101</v>
      </c>
    </row>
    <row r="52" spans="2:11" x14ac:dyDescent="0.2">
      <c r="B52" s="9" t="s">
        <v>169</v>
      </c>
      <c r="C52" s="9">
        <v>19</v>
      </c>
      <c r="D52" s="9" t="s">
        <v>154</v>
      </c>
      <c r="E52" s="9" t="s">
        <v>135</v>
      </c>
      <c r="J52" s="3" t="s">
        <v>75</v>
      </c>
      <c r="K52" s="6" t="s">
        <v>102</v>
      </c>
    </row>
    <row r="53" spans="2:11" x14ac:dyDescent="0.2">
      <c r="B53" s="9" t="s">
        <v>169</v>
      </c>
      <c r="C53" s="9">
        <v>20</v>
      </c>
      <c r="D53" s="9" t="s">
        <v>155</v>
      </c>
      <c r="E53" s="9" t="s">
        <v>182</v>
      </c>
      <c r="J53" s="3" t="s">
        <v>76</v>
      </c>
      <c r="K53" s="6" t="s">
        <v>103</v>
      </c>
    </row>
    <row r="54" spans="2:11" x14ac:dyDescent="0.2">
      <c r="B54" s="9" t="s">
        <v>169</v>
      </c>
      <c r="C54" s="9">
        <v>21</v>
      </c>
      <c r="D54" s="9" t="s">
        <v>156</v>
      </c>
      <c r="E54" s="9" t="s">
        <v>181</v>
      </c>
      <c r="J54" s="3" t="s">
        <v>77</v>
      </c>
      <c r="K54" s="6" t="s">
        <v>104</v>
      </c>
    </row>
    <row r="55" spans="2:11" x14ac:dyDescent="0.2">
      <c r="B55" s="9" t="s">
        <v>169</v>
      </c>
      <c r="C55" s="9">
        <v>22</v>
      </c>
      <c r="D55" s="9" t="s">
        <v>157</v>
      </c>
      <c r="E55" s="9" t="s">
        <v>174</v>
      </c>
      <c r="J55" s="3" t="s">
        <v>78</v>
      </c>
      <c r="K55" s="6" t="s">
        <v>107</v>
      </c>
    </row>
    <row r="56" spans="2:11" x14ac:dyDescent="0.2">
      <c r="B56" s="9" t="s">
        <v>169</v>
      </c>
      <c r="C56" s="9">
        <v>23</v>
      </c>
      <c r="D56" s="9" t="s">
        <v>158</v>
      </c>
      <c r="E56" s="9" t="s">
        <v>175</v>
      </c>
      <c r="J56" s="3" t="s">
        <v>79</v>
      </c>
      <c r="K56" s="6" t="s">
        <v>106</v>
      </c>
    </row>
    <row r="57" spans="2:11" x14ac:dyDescent="0.2">
      <c r="B57" s="9" t="s">
        <v>169</v>
      </c>
      <c r="C57" s="9">
        <v>24</v>
      </c>
      <c r="D57" s="9" t="s">
        <v>159</v>
      </c>
      <c r="E57" s="9" t="s">
        <v>176</v>
      </c>
      <c r="J57" s="3" t="s">
        <v>80</v>
      </c>
      <c r="K57" s="6" t="s">
        <v>105</v>
      </c>
    </row>
    <row r="58" spans="2:11" x14ac:dyDescent="0.2">
      <c r="B58" s="9" t="s">
        <v>169</v>
      </c>
      <c r="C58" s="9">
        <v>25</v>
      </c>
      <c r="D58" s="9" t="s">
        <v>160</v>
      </c>
      <c r="E58" s="9" t="s">
        <v>177</v>
      </c>
      <c r="J58" s="3" t="s">
        <v>81</v>
      </c>
      <c r="K58" s="6" t="s">
        <v>124</v>
      </c>
    </row>
    <row r="59" spans="2:11" x14ac:dyDescent="0.2">
      <c r="B59" s="9" t="s">
        <v>169</v>
      </c>
      <c r="C59" s="9">
        <v>26</v>
      </c>
      <c r="D59" s="9" t="s">
        <v>161</v>
      </c>
      <c r="E59" s="9" t="s">
        <v>170</v>
      </c>
      <c r="J59" s="3" t="s">
        <v>82</v>
      </c>
      <c r="K59" s="6" t="s">
        <v>125</v>
      </c>
    </row>
    <row r="60" spans="2:11" x14ac:dyDescent="0.2">
      <c r="B60" s="9" t="s">
        <v>169</v>
      </c>
      <c r="C60" s="9">
        <v>27</v>
      </c>
      <c r="D60" s="9" t="s">
        <v>162</v>
      </c>
      <c r="E60" s="9" t="s">
        <v>171</v>
      </c>
      <c r="J60" s="3" t="s">
        <v>83</v>
      </c>
      <c r="K60" s="6" t="s">
        <v>99</v>
      </c>
    </row>
    <row r="61" spans="2:11" x14ac:dyDescent="0.2">
      <c r="B61" s="9" t="s">
        <v>169</v>
      </c>
      <c r="C61" s="9">
        <v>28</v>
      </c>
      <c r="D61" s="9" t="s">
        <v>163</v>
      </c>
      <c r="E61" s="9" t="s">
        <v>172</v>
      </c>
      <c r="J61" s="3" t="s">
        <v>84</v>
      </c>
      <c r="K61" s="6" t="s">
        <v>43</v>
      </c>
    </row>
    <row r="62" spans="2:11" x14ac:dyDescent="0.2">
      <c r="B62" s="9" t="s">
        <v>169</v>
      </c>
      <c r="C62" s="9">
        <v>29</v>
      </c>
      <c r="D62" s="9" t="s">
        <v>164</v>
      </c>
      <c r="E62" s="9" t="s">
        <v>173</v>
      </c>
      <c r="J62" s="3" t="s">
        <v>85</v>
      </c>
      <c r="K62" s="6" t="s">
        <v>44</v>
      </c>
    </row>
    <row r="63" spans="2:11" x14ac:dyDescent="0.2">
      <c r="B63" s="9" t="s">
        <v>169</v>
      </c>
      <c r="C63" s="9">
        <v>30</v>
      </c>
      <c r="D63" s="9" t="s">
        <v>165</v>
      </c>
      <c r="E63" s="9" t="s">
        <v>136</v>
      </c>
      <c r="J63" s="3" t="s">
        <v>1</v>
      </c>
      <c r="K63" s="6"/>
    </row>
    <row r="64" spans="2:11" x14ac:dyDescent="0.2">
      <c r="J64" s="3"/>
      <c r="K64" s="6"/>
    </row>
    <row r="65" spans="4:11" ht="17" thickBot="1" x14ac:dyDescent="0.25">
      <c r="J65" s="3" t="s">
        <v>0</v>
      </c>
      <c r="K65" s="6"/>
    </row>
    <row r="66" spans="4:11" x14ac:dyDescent="0.2">
      <c r="D66" s="2" t="s">
        <v>192</v>
      </c>
      <c r="E66" s="5" t="s">
        <v>195</v>
      </c>
      <c r="J66" s="8" t="s">
        <v>98</v>
      </c>
      <c r="K66" s="3" t="s">
        <v>96</v>
      </c>
    </row>
    <row r="67" spans="4:11" ht="17" thickBot="1" x14ac:dyDescent="0.25">
      <c r="D67" s="3" t="s">
        <v>189</v>
      </c>
      <c r="E67" s="6" t="s">
        <v>109</v>
      </c>
      <c r="J67" s="4" t="s">
        <v>1</v>
      </c>
      <c r="K67" s="7"/>
    </row>
    <row r="68" spans="4:11" x14ac:dyDescent="0.2">
      <c r="D68" s="3" t="s">
        <v>47</v>
      </c>
      <c r="E68" s="6" t="s">
        <v>108</v>
      </c>
    </row>
    <row r="69" spans="4:11" x14ac:dyDescent="0.2">
      <c r="D69" s="3" t="s">
        <v>48</v>
      </c>
      <c r="E69" s="6" t="s">
        <v>110</v>
      </c>
    </row>
    <row r="70" spans="4:11" x14ac:dyDescent="0.2">
      <c r="D70" s="3" t="s">
        <v>49</v>
      </c>
      <c r="E70" s="6" t="s">
        <v>111</v>
      </c>
    </row>
    <row r="71" spans="4:11" x14ac:dyDescent="0.2">
      <c r="D71" s="3" t="s">
        <v>50</v>
      </c>
      <c r="E71" s="6" t="s">
        <v>8</v>
      </c>
    </row>
    <row r="72" spans="4:11" ht="17" thickBot="1" x14ac:dyDescent="0.25">
      <c r="D72" s="3" t="s">
        <v>51</v>
      </c>
      <c r="E72" s="6" t="s">
        <v>8</v>
      </c>
    </row>
    <row r="73" spans="4:11" x14ac:dyDescent="0.2">
      <c r="D73" s="3" t="s">
        <v>52</v>
      </c>
      <c r="E73" s="6" t="s">
        <v>8</v>
      </c>
      <c r="J73" s="2" t="s">
        <v>91</v>
      </c>
      <c r="K73" s="5" t="s">
        <v>94</v>
      </c>
    </row>
    <row r="74" spans="4:11" x14ac:dyDescent="0.2">
      <c r="D74" s="3" t="s">
        <v>53</v>
      </c>
      <c r="E74" s="6" t="s">
        <v>8</v>
      </c>
      <c r="J74" s="3" t="s">
        <v>86</v>
      </c>
      <c r="K74" s="6" t="s">
        <v>44</v>
      </c>
    </row>
    <row r="75" spans="4:11" x14ac:dyDescent="0.2">
      <c r="D75" s="3" t="s">
        <v>54</v>
      </c>
      <c r="E75" s="6" t="s">
        <v>8</v>
      </c>
      <c r="J75" s="3" t="s">
        <v>88</v>
      </c>
      <c r="K75" s="6" t="s">
        <v>44</v>
      </c>
    </row>
    <row r="76" spans="4:11" x14ac:dyDescent="0.2">
      <c r="D76" s="3" t="s">
        <v>55</v>
      </c>
      <c r="E76" s="6" t="s">
        <v>8</v>
      </c>
      <c r="J76" s="3" t="s">
        <v>67</v>
      </c>
      <c r="K76" s="6" t="s">
        <v>44</v>
      </c>
    </row>
    <row r="77" spans="4:11" x14ac:dyDescent="0.2">
      <c r="D77" s="3" t="s">
        <v>56</v>
      </c>
      <c r="E77" s="6" t="s">
        <v>8</v>
      </c>
      <c r="J77" s="3" t="s">
        <v>68</v>
      </c>
      <c r="K77" s="6" t="s">
        <v>44</v>
      </c>
    </row>
    <row r="78" spans="4:11" x14ac:dyDescent="0.2">
      <c r="D78" s="3" t="s">
        <v>57</v>
      </c>
      <c r="E78" s="6" t="s">
        <v>8</v>
      </c>
      <c r="J78" s="3" t="s">
        <v>69</v>
      </c>
      <c r="K78" s="6" t="s">
        <v>44</v>
      </c>
    </row>
    <row r="79" spans="4:11" x14ac:dyDescent="0.2">
      <c r="D79" s="3" t="s">
        <v>58</v>
      </c>
      <c r="E79" s="6" t="s">
        <v>12</v>
      </c>
      <c r="J79" s="3" t="s">
        <v>70</v>
      </c>
      <c r="K79" s="6" t="s">
        <v>44</v>
      </c>
    </row>
    <row r="80" spans="4:11" x14ac:dyDescent="0.2">
      <c r="D80" s="3" t="s">
        <v>59</v>
      </c>
      <c r="E80" s="6" t="s">
        <v>8</v>
      </c>
      <c r="J80" s="3" t="s">
        <v>71</v>
      </c>
      <c r="K80" s="6" t="s">
        <v>44</v>
      </c>
    </row>
    <row r="81" spans="4:11" x14ac:dyDescent="0.2">
      <c r="D81" s="3" t="s">
        <v>60</v>
      </c>
      <c r="E81" s="6" t="s">
        <v>8</v>
      </c>
      <c r="J81" s="3" t="s">
        <v>72</v>
      </c>
      <c r="K81" s="6" t="s">
        <v>44</v>
      </c>
    </row>
    <row r="82" spans="4:11" x14ac:dyDescent="0.2">
      <c r="D82" s="3" t="s">
        <v>61</v>
      </c>
      <c r="E82" s="6" t="s">
        <v>8</v>
      </c>
      <c r="J82" s="3" t="s">
        <v>73</v>
      </c>
      <c r="K82" s="6" t="s">
        <v>44</v>
      </c>
    </row>
    <row r="83" spans="4:11" x14ac:dyDescent="0.2">
      <c r="D83" s="3" t="s">
        <v>62</v>
      </c>
      <c r="E83" s="6" t="s">
        <v>8</v>
      </c>
      <c r="J83" s="3" t="s">
        <v>74</v>
      </c>
      <c r="K83" s="6" t="s">
        <v>44</v>
      </c>
    </row>
    <row r="84" spans="4:11" x14ac:dyDescent="0.2">
      <c r="D84" s="3" t="s">
        <v>63</v>
      </c>
      <c r="E84" s="6" t="s">
        <v>120</v>
      </c>
      <c r="J84" s="3" t="s">
        <v>75</v>
      </c>
      <c r="K84" s="6" t="s">
        <v>44</v>
      </c>
    </row>
    <row r="85" spans="4:11" x14ac:dyDescent="0.2">
      <c r="D85" s="3" t="s">
        <v>64</v>
      </c>
      <c r="E85" s="6" t="s">
        <v>121</v>
      </c>
      <c r="J85" s="3" t="s">
        <v>76</v>
      </c>
      <c r="K85" s="6" t="s">
        <v>44</v>
      </c>
    </row>
    <row r="86" spans="4:11" x14ac:dyDescent="0.2">
      <c r="D86" s="3" t="s">
        <v>65</v>
      </c>
      <c r="E86" s="6" t="s">
        <v>8</v>
      </c>
      <c r="J86" s="3" t="s">
        <v>77</v>
      </c>
      <c r="K86" s="6" t="s">
        <v>44</v>
      </c>
    </row>
    <row r="87" spans="4:11" x14ac:dyDescent="0.2">
      <c r="D87" s="3" t="s">
        <v>66</v>
      </c>
      <c r="E87" s="6" t="s">
        <v>18</v>
      </c>
      <c r="J87" s="3" t="s">
        <v>78</v>
      </c>
      <c r="K87" s="6" t="s">
        <v>44</v>
      </c>
    </row>
    <row r="88" spans="4:11" x14ac:dyDescent="0.2">
      <c r="D88" s="3" t="s">
        <v>1</v>
      </c>
      <c r="E88" s="6"/>
      <c r="J88" s="3" t="s">
        <v>79</v>
      </c>
      <c r="K88" s="6" t="s">
        <v>44</v>
      </c>
    </row>
    <row r="89" spans="4:11" x14ac:dyDescent="0.2">
      <c r="D89" s="3" t="s">
        <v>0</v>
      </c>
      <c r="E89" s="6"/>
      <c r="J89" s="3" t="s">
        <v>80</v>
      </c>
      <c r="K89" s="6" t="s">
        <v>44</v>
      </c>
    </row>
    <row r="90" spans="4:11" x14ac:dyDescent="0.2">
      <c r="D90" s="10" t="s">
        <v>190</v>
      </c>
      <c r="E90" s="6" t="s">
        <v>193</v>
      </c>
      <c r="J90" s="3" t="s">
        <v>81</v>
      </c>
      <c r="K90" s="6" t="s">
        <v>44</v>
      </c>
    </row>
    <row r="91" spans="4:11" ht="17" thickBot="1" x14ac:dyDescent="0.25">
      <c r="D91" s="4" t="s">
        <v>2</v>
      </c>
      <c r="E91" s="7"/>
      <c r="J91" s="3" t="s">
        <v>82</v>
      </c>
      <c r="K91" s="6" t="s">
        <v>44</v>
      </c>
    </row>
    <row r="92" spans="4:11" x14ac:dyDescent="0.2">
      <c r="J92" s="3" t="s">
        <v>83</v>
      </c>
      <c r="K92" s="6" t="s">
        <v>44</v>
      </c>
    </row>
    <row r="93" spans="4:11" x14ac:dyDescent="0.2">
      <c r="J93" s="3" t="s">
        <v>84</v>
      </c>
      <c r="K93" s="6" t="s">
        <v>44</v>
      </c>
    </row>
    <row r="94" spans="4:11" x14ac:dyDescent="0.2">
      <c r="J94" s="3" t="s">
        <v>85</v>
      </c>
      <c r="K94" s="6" t="s">
        <v>44</v>
      </c>
    </row>
    <row r="95" spans="4:11" x14ac:dyDescent="0.2">
      <c r="J95" s="3" t="s">
        <v>1</v>
      </c>
      <c r="K95" s="6"/>
    </row>
    <row r="96" spans="4:11" x14ac:dyDescent="0.2">
      <c r="J96" s="3"/>
      <c r="K96" s="6"/>
    </row>
    <row r="97" spans="10:11" x14ac:dyDescent="0.2">
      <c r="J97" s="3" t="s">
        <v>0</v>
      </c>
      <c r="K97" s="6"/>
    </row>
    <row r="98" spans="10:11" x14ac:dyDescent="0.2">
      <c r="J98" s="8" t="s">
        <v>98</v>
      </c>
      <c r="K98" s="3" t="s">
        <v>95</v>
      </c>
    </row>
    <row r="99" spans="10:11" ht="17" thickBot="1" x14ac:dyDescent="0.25">
      <c r="J99" s="4" t="s">
        <v>1</v>
      </c>
      <c r="K99" s="7"/>
    </row>
    <row r="106" spans="10:11" ht="17" thickBot="1" x14ac:dyDescent="0.25"/>
    <row r="107" spans="10:11" x14ac:dyDescent="0.2">
      <c r="J107" s="2" t="s">
        <v>112</v>
      </c>
      <c r="K107" s="5" t="s">
        <v>118</v>
      </c>
    </row>
    <row r="108" spans="10:11" x14ac:dyDescent="0.2">
      <c r="J108" s="3" t="s">
        <v>86</v>
      </c>
      <c r="K108" s="6" t="s">
        <v>113</v>
      </c>
    </row>
    <row r="109" spans="10:11" x14ac:dyDescent="0.2">
      <c r="J109" s="3" t="s">
        <v>88</v>
      </c>
      <c r="K109" s="6" t="s">
        <v>114</v>
      </c>
    </row>
    <row r="110" spans="10:11" x14ac:dyDescent="0.2">
      <c r="J110" s="3" t="s">
        <v>67</v>
      </c>
      <c r="K110" s="6" t="s">
        <v>115</v>
      </c>
    </row>
    <row r="111" spans="10:11" x14ac:dyDescent="0.2">
      <c r="J111" s="3" t="s">
        <v>68</v>
      </c>
      <c r="K111" s="6" t="s">
        <v>116</v>
      </c>
    </row>
    <row r="112" spans="10:11" x14ac:dyDescent="0.2">
      <c r="J112" s="3" t="s">
        <v>69</v>
      </c>
      <c r="K112" s="6" t="s">
        <v>44</v>
      </c>
    </row>
    <row r="113" spans="10:11" x14ac:dyDescent="0.2">
      <c r="J113" s="3" t="s">
        <v>70</v>
      </c>
      <c r="K113" s="6" t="s">
        <v>44</v>
      </c>
    </row>
    <row r="114" spans="10:11" x14ac:dyDescent="0.2">
      <c r="J114" s="3" t="s">
        <v>71</v>
      </c>
      <c r="K114" s="6" t="s">
        <v>44</v>
      </c>
    </row>
    <row r="115" spans="10:11" x14ac:dyDescent="0.2">
      <c r="J115" s="3" t="s">
        <v>72</v>
      </c>
      <c r="K115" s="6" t="s">
        <v>44</v>
      </c>
    </row>
    <row r="116" spans="10:11" x14ac:dyDescent="0.2">
      <c r="J116" s="3" t="s">
        <v>73</v>
      </c>
      <c r="K116" s="6" t="s">
        <v>44</v>
      </c>
    </row>
    <row r="117" spans="10:11" x14ac:dyDescent="0.2">
      <c r="J117" s="3" t="s">
        <v>74</v>
      </c>
      <c r="K117" s="6" t="s">
        <v>44</v>
      </c>
    </row>
    <row r="118" spans="10:11" x14ac:dyDescent="0.2">
      <c r="J118" s="3" t="s">
        <v>75</v>
      </c>
      <c r="K118" s="6" t="s">
        <v>29</v>
      </c>
    </row>
    <row r="119" spans="10:11" x14ac:dyDescent="0.2">
      <c r="J119" s="3" t="s">
        <v>76</v>
      </c>
      <c r="K119" s="6" t="s">
        <v>44</v>
      </c>
    </row>
    <row r="120" spans="10:11" x14ac:dyDescent="0.2">
      <c r="J120" s="3" t="s">
        <v>77</v>
      </c>
      <c r="K120" s="6" t="s">
        <v>44</v>
      </c>
    </row>
    <row r="121" spans="10:11" x14ac:dyDescent="0.2">
      <c r="J121" s="3" t="s">
        <v>78</v>
      </c>
      <c r="K121" s="6" t="s">
        <v>44</v>
      </c>
    </row>
    <row r="122" spans="10:11" x14ac:dyDescent="0.2">
      <c r="J122" s="3" t="s">
        <v>79</v>
      </c>
      <c r="K122" s="6" t="s">
        <v>44</v>
      </c>
    </row>
    <row r="123" spans="10:11" x14ac:dyDescent="0.2">
      <c r="J123" s="3" t="s">
        <v>80</v>
      </c>
      <c r="K123" s="6" t="s">
        <v>44</v>
      </c>
    </row>
    <row r="124" spans="10:11" x14ac:dyDescent="0.2">
      <c r="J124" s="3" t="s">
        <v>81</v>
      </c>
      <c r="K124" s="6" t="s">
        <v>44</v>
      </c>
    </row>
    <row r="125" spans="10:11" x14ac:dyDescent="0.2">
      <c r="J125" s="3" t="s">
        <v>82</v>
      </c>
      <c r="K125" s="6" t="s">
        <v>44</v>
      </c>
    </row>
    <row r="126" spans="10:11" x14ac:dyDescent="0.2">
      <c r="J126" s="3" t="s">
        <v>83</v>
      </c>
      <c r="K126" s="6" t="s">
        <v>44</v>
      </c>
    </row>
    <row r="127" spans="10:11" x14ac:dyDescent="0.2">
      <c r="J127" s="3" t="s">
        <v>84</v>
      </c>
      <c r="K127" s="6" t="s">
        <v>44</v>
      </c>
    </row>
    <row r="128" spans="10:11" x14ac:dyDescent="0.2">
      <c r="J128" s="3" t="s">
        <v>85</v>
      </c>
      <c r="K128" s="6" t="s">
        <v>44</v>
      </c>
    </row>
    <row r="129" spans="10:11" x14ac:dyDescent="0.2">
      <c r="J129" s="3" t="s">
        <v>1</v>
      </c>
      <c r="K129" s="6"/>
    </row>
    <row r="130" spans="10:11" x14ac:dyDescent="0.2">
      <c r="J130" s="3"/>
      <c r="K130" s="6"/>
    </row>
    <row r="131" spans="10:11" x14ac:dyDescent="0.2">
      <c r="J131" s="3" t="s">
        <v>0</v>
      </c>
      <c r="K131" s="6"/>
    </row>
    <row r="132" spans="10:11" x14ac:dyDescent="0.2">
      <c r="J132" s="8" t="s">
        <v>87</v>
      </c>
      <c r="K132" s="3" t="s">
        <v>117</v>
      </c>
    </row>
    <row r="133" spans="10:11" ht="17" thickBot="1" x14ac:dyDescent="0.25">
      <c r="J133" s="4" t="s">
        <v>1</v>
      </c>
      <c r="K133" s="7"/>
    </row>
  </sheetData>
  <sortState xmlns:xlrd2="http://schemas.microsoft.com/office/spreadsheetml/2017/richdata2" ref="B33:E63">
    <sortCondition ref="C33:C63"/>
  </sortState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884E4-1121-FE49-8CFC-397DF0F5A368}">
  <sheetPr codeName="Sheet2">
    <tabColor theme="0" tint="-0.14999847407452621"/>
  </sheetPr>
  <dimension ref="A4:R191"/>
  <sheetViews>
    <sheetView topLeftCell="B4" zoomScaleNormal="100" workbookViewId="0">
      <selection activeCell="J23" sqref="J23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677</v>
      </c>
      <c r="D4" s="20" t="s">
        <v>302</v>
      </c>
    </row>
    <row r="5" spans="2:5" x14ac:dyDescent="0.2">
      <c r="D5" s="25" t="s">
        <v>675</v>
      </c>
      <c r="E5" s="25" t="s">
        <v>676</v>
      </c>
    </row>
    <row r="6" spans="2:5" x14ac:dyDescent="0.2">
      <c r="B6" t="s">
        <v>685</v>
      </c>
      <c r="C6" t="s">
        <v>206</v>
      </c>
      <c r="D6" s="3" t="s">
        <v>189</v>
      </c>
      <c r="E6" s="6" t="s">
        <v>678</v>
      </c>
    </row>
    <row r="7" spans="2:5" x14ac:dyDescent="0.2">
      <c r="B7" t="s">
        <v>686</v>
      </c>
      <c r="C7" t="s">
        <v>206</v>
      </c>
      <c r="D7" s="3" t="s">
        <v>47</v>
      </c>
      <c r="E7" s="6" t="s">
        <v>679</v>
      </c>
    </row>
    <row r="8" spans="2:5" x14ac:dyDescent="0.2">
      <c r="B8" t="s">
        <v>687</v>
      </c>
      <c r="C8" t="s">
        <v>206</v>
      </c>
      <c r="D8" s="3" t="s">
        <v>48</v>
      </c>
      <c r="E8" s="6" t="s">
        <v>680</v>
      </c>
    </row>
    <row r="9" spans="2:5" x14ac:dyDescent="0.2">
      <c r="B9" t="s">
        <v>296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297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317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318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319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332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333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689</v>
      </c>
      <c r="C16" t="s">
        <v>206</v>
      </c>
      <c r="D16" s="3" t="s">
        <v>56</v>
      </c>
      <c r="E16" s="6" t="s">
        <v>688</v>
      </c>
    </row>
    <row r="17" spans="2:18" x14ac:dyDescent="0.2">
      <c r="B17" t="s">
        <v>335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290</v>
      </c>
      <c r="C18" t="s">
        <v>206</v>
      </c>
      <c r="D18" s="3" t="s">
        <v>58</v>
      </c>
      <c r="E18" s="6" t="s">
        <v>434</v>
      </c>
    </row>
    <row r="19" spans="2:18" x14ac:dyDescent="0.2">
      <c r="B19" t="s">
        <v>336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337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338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339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681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682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683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684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690</v>
      </c>
      <c r="P29">
        <v>0</v>
      </c>
      <c r="Q29" t="s">
        <v>347</v>
      </c>
      <c r="R29" t="s">
        <v>389</v>
      </c>
    </row>
    <row r="30" spans="2:18" ht="17" thickBot="1" x14ac:dyDescent="0.25">
      <c r="D30" s="4" t="s">
        <v>2</v>
      </c>
      <c r="E30" s="7"/>
      <c r="P30">
        <v>1</v>
      </c>
      <c r="Q30" t="s">
        <v>348</v>
      </c>
      <c r="R30" t="s">
        <v>390</v>
      </c>
    </row>
    <row r="31" spans="2:18" x14ac:dyDescent="0.2">
      <c r="P31">
        <v>2</v>
      </c>
      <c r="Q31" t="s">
        <v>384</v>
      </c>
      <c r="R31" t="s">
        <v>391</v>
      </c>
    </row>
    <row r="32" spans="2:18" x14ac:dyDescent="0.2">
      <c r="P32">
        <v>3</v>
      </c>
      <c r="Q32" t="s">
        <v>386</v>
      </c>
      <c r="R32" t="s">
        <v>392</v>
      </c>
    </row>
    <row r="33" spans="1:18" x14ac:dyDescent="0.2">
      <c r="P33">
        <v>4</v>
      </c>
      <c r="Q33" t="s">
        <v>385</v>
      </c>
      <c r="R33" t="s">
        <v>393</v>
      </c>
    </row>
    <row r="34" spans="1:18" x14ac:dyDescent="0.2">
      <c r="P34">
        <v>5</v>
      </c>
      <c r="Q34" t="s">
        <v>444</v>
      </c>
      <c r="R34" t="s">
        <v>394</v>
      </c>
    </row>
    <row r="35" spans="1:18" x14ac:dyDescent="0.2">
      <c r="P35">
        <v>6</v>
      </c>
      <c r="Q35" t="s">
        <v>388</v>
      </c>
      <c r="R35" t="s">
        <v>395</v>
      </c>
    </row>
    <row r="36" spans="1:18" x14ac:dyDescent="0.2">
      <c r="P36">
        <v>7</v>
      </c>
      <c r="Q36" t="s">
        <v>387</v>
      </c>
      <c r="R36" t="s">
        <v>396</v>
      </c>
    </row>
    <row r="37" spans="1:18" ht="19" x14ac:dyDescent="0.25">
      <c r="B37" t="s">
        <v>427</v>
      </c>
      <c r="D37" s="20" t="s">
        <v>302</v>
      </c>
      <c r="J37" s="19" t="s">
        <v>298</v>
      </c>
      <c r="N37" t="s">
        <v>422</v>
      </c>
    </row>
    <row r="38" spans="1:18" x14ac:dyDescent="0.2">
      <c r="A38" t="s">
        <v>419</v>
      </c>
      <c r="D38" s="25" t="s">
        <v>347</v>
      </c>
      <c r="E38" s="25" t="s">
        <v>435</v>
      </c>
      <c r="J38" s="25" t="s">
        <v>386</v>
      </c>
      <c r="K38" s="25" t="s">
        <v>392</v>
      </c>
      <c r="M38" t="s">
        <v>397</v>
      </c>
    </row>
    <row r="39" spans="1:18" ht="35" customHeight="1" x14ac:dyDescent="0.2">
      <c r="A39" t="s">
        <v>208</v>
      </c>
      <c r="B39" t="s">
        <v>326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370</v>
      </c>
      <c r="M39" t="s">
        <v>87</v>
      </c>
      <c r="N39" t="s">
        <v>373</v>
      </c>
      <c r="O39" t="s">
        <v>206</v>
      </c>
    </row>
    <row r="40" spans="1:18" x14ac:dyDescent="0.2">
      <c r="A40" t="s">
        <v>208</v>
      </c>
      <c r="B40" t="s">
        <v>327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286</v>
      </c>
      <c r="O40" t="s">
        <v>206</v>
      </c>
    </row>
    <row r="41" spans="1:18" x14ac:dyDescent="0.2">
      <c r="A41" t="s">
        <v>208</v>
      </c>
      <c r="B41" t="s">
        <v>328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287</v>
      </c>
      <c r="O41" t="s">
        <v>206</v>
      </c>
    </row>
    <row r="42" spans="1:18" x14ac:dyDescent="0.2">
      <c r="A42" t="s">
        <v>208</v>
      </c>
      <c r="B42" t="s">
        <v>404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288</v>
      </c>
      <c r="O42" t="s">
        <v>206</v>
      </c>
    </row>
    <row r="43" spans="1:18" x14ac:dyDescent="0.2">
      <c r="A43" t="s">
        <v>208</v>
      </c>
      <c r="B43" t="s">
        <v>405</v>
      </c>
      <c r="C43" t="s">
        <v>206</v>
      </c>
      <c r="D43" s="3" t="s">
        <v>50</v>
      </c>
      <c r="E43" s="37" t="s">
        <v>366</v>
      </c>
      <c r="J43" s="3" t="s">
        <v>69</v>
      </c>
      <c r="K43" s="6" t="s">
        <v>372</v>
      </c>
      <c r="M43" t="s">
        <v>87</v>
      </c>
      <c r="N43" t="s">
        <v>374</v>
      </c>
      <c r="O43" t="s">
        <v>206</v>
      </c>
    </row>
    <row r="44" spans="1:18" x14ac:dyDescent="0.2">
      <c r="A44" t="s">
        <v>208</v>
      </c>
      <c r="B44" t="s">
        <v>406</v>
      </c>
      <c r="C44" t="s">
        <v>206</v>
      </c>
      <c r="D44" s="3" t="s">
        <v>51</v>
      </c>
      <c r="E44" s="37" t="s">
        <v>367</v>
      </c>
      <c r="J44" s="3" t="s">
        <v>70</v>
      </c>
      <c r="K44" s="6" t="s">
        <v>691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407</v>
      </c>
      <c r="C45" t="s">
        <v>206</v>
      </c>
      <c r="D45" s="3" t="s">
        <v>52</v>
      </c>
      <c r="E45" s="37" t="s">
        <v>368</v>
      </c>
      <c r="J45" s="3" t="s">
        <v>71</v>
      </c>
      <c r="K45" s="6" t="s">
        <v>692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408</v>
      </c>
      <c r="C46" t="s">
        <v>206</v>
      </c>
      <c r="D46" s="3" t="s">
        <v>53</v>
      </c>
      <c r="E46" s="37" t="s">
        <v>369</v>
      </c>
      <c r="J46" s="3" t="s">
        <v>72</v>
      </c>
      <c r="K46" s="6" t="s">
        <v>693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296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694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297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317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290</v>
      </c>
      <c r="O49" t="s">
        <v>206</v>
      </c>
    </row>
    <row r="50" spans="1:15" x14ac:dyDescent="0.2">
      <c r="A50" t="s">
        <v>208</v>
      </c>
      <c r="B50" t="s">
        <v>318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371</v>
      </c>
      <c r="M50" t="s">
        <v>87</v>
      </c>
      <c r="N50" t="s">
        <v>375</v>
      </c>
      <c r="O50" t="s">
        <v>206</v>
      </c>
    </row>
    <row r="51" spans="1:15" x14ac:dyDescent="0.2">
      <c r="A51" t="s">
        <v>208</v>
      </c>
      <c r="B51" t="s">
        <v>290</v>
      </c>
      <c r="C51" t="s">
        <v>206</v>
      </c>
      <c r="D51" s="3" t="s">
        <v>58</v>
      </c>
      <c r="E51" s="6" t="s">
        <v>434</v>
      </c>
      <c r="J51" s="3" t="s">
        <v>77</v>
      </c>
      <c r="K51" s="6" t="s">
        <v>31</v>
      </c>
      <c r="M51" t="s">
        <v>87</v>
      </c>
      <c r="N51" t="s">
        <v>291</v>
      </c>
      <c r="O51" t="s">
        <v>206</v>
      </c>
    </row>
    <row r="52" spans="1:15" x14ac:dyDescent="0.2">
      <c r="A52" t="s">
        <v>208</v>
      </c>
      <c r="B52" t="s">
        <v>319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292</v>
      </c>
      <c r="O52" t="s">
        <v>206</v>
      </c>
    </row>
    <row r="53" spans="1:15" x14ac:dyDescent="0.2">
      <c r="A53" t="s">
        <v>208</v>
      </c>
      <c r="B53" t="s">
        <v>332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293</v>
      </c>
      <c r="O53" t="s">
        <v>206</v>
      </c>
    </row>
    <row r="54" spans="1:15" x14ac:dyDescent="0.2">
      <c r="A54" t="s">
        <v>208</v>
      </c>
      <c r="B54" t="s">
        <v>333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294</v>
      </c>
      <c r="O54" t="s">
        <v>206</v>
      </c>
    </row>
    <row r="55" spans="1:15" x14ac:dyDescent="0.2">
      <c r="A55" t="s">
        <v>208</v>
      </c>
      <c r="B55" t="s">
        <v>334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409</v>
      </c>
      <c r="C56" t="s">
        <v>206</v>
      </c>
      <c r="D56" s="3" t="s">
        <v>63</v>
      </c>
      <c r="E56" s="6" t="s">
        <v>355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410</v>
      </c>
      <c r="C57" t="s">
        <v>206</v>
      </c>
      <c r="D57" s="3" t="s">
        <v>64</v>
      </c>
      <c r="E57" s="6" t="s">
        <v>356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335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336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325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325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411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428</v>
      </c>
      <c r="D67" s="20" t="s">
        <v>303</v>
      </c>
      <c r="J67" s="20" t="s">
        <v>299</v>
      </c>
      <c r="N67" t="s">
        <v>423</v>
      </c>
    </row>
    <row r="68" spans="1:15" x14ac:dyDescent="0.2">
      <c r="A68" t="s">
        <v>305</v>
      </c>
      <c r="D68" s="25" t="s">
        <v>348</v>
      </c>
      <c r="E68" s="25" t="s">
        <v>436</v>
      </c>
      <c r="J68" s="25" t="s">
        <v>385</v>
      </c>
      <c r="K68" s="25" t="s">
        <v>393</v>
      </c>
      <c r="M68" t="s">
        <v>415</v>
      </c>
    </row>
    <row r="69" spans="1:15" ht="29" customHeight="1" x14ac:dyDescent="0.2">
      <c r="A69" t="s">
        <v>208</v>
      </c>
      <c r="B69" t="s">
        <v>439</v>
      </c>
      <c r="C69" t="s">
        <v>206</v>
      </c>
      <c r="D69" s="3" t="s">
        <v>189</v>
      </c>
      <c r="E69" s="6" t="s">
        <v>359</v>
      </c>
      <c r="J69" s="3" t="s">
        <v>86</v>
      </c>
      <c r="K69" s="6" t="s">
        <v>376</v>
      </c>
      <c r="M69" t="s">
        <v>87</v>
      </c>
      <c r="N69" t="s">
        <v>398</v>
      </c>
      <c r="O69" t="s">
        <v>206</v>
      </c>
    </row>
    <row r="70" spans="1:15" x14ac:dyDescent="0.2">
      <c r="A70" t="s">
        <v>208</v>
      </c>
      <c r="B70" t="s">
        <v>440</v>
      </c>
      <c r="C70" t="s">
        <v>206</v>
      </c>
      <c r="D70" s="3" t="s">
        <v>47</v>
      </c>
      <c r="E70" s="6" t="s">
        <v>360</v>
      </c>
      <c r="J70" s="3" t="s">
        <v>88</v>
      </c>
      <c r="K70" s="6" t="s">
        <v>377</v>
      </c>
      <c r="M70" t="s">
        <v>87</v>
      </c>
      <c r="N70" t="s">
        <v>399</v>
      </c>
      <c r="O70" t="s">
        <v>206</v>
      </c>
    </row>
    <row r="71" spans="1:15" x14ac:dyDescent="0.2">
      <c r="A71" t="s">
        <v>208</v>
      </c>
      <c r="B71" t="s">
        <v>441</v>
      </c>
      <c r="C71" t="s">
        <v>206</v>
      </c>
      <c r="D71" s="3" t="s">
        <v>48</v>
      </c>
      <c r="E71" s="6" t="s">
        <v>361</v>
      </c>
      <c r="J71" s="3" t="s">
        <v>67</v>
      </c>
      <c r="K71" s="6" t="s">
        <v>378</v>
      </c>
      <c r="M71" t="s">
        <v>87</v>
      </c>
      <c r="N71" t="s">
        <v>400</v>
      </c>
      <c r="O71" t="s">
        <v>206</v>
      </c>
    </row>
    <row r="72" spans="1:15" x14ac:dyDescent="0.2">
      <c r="A72" t="s">
        <v>208</v>
      </c>
      <c r="B72" t="s">
        <v>442</v>
      </c>
      <c r="C72" t="s">
        <v>206</v>
      </c>
      <c r="D72" s="3" t="s">
        <v>49</v>
      </c>
      <c r="E72" s="6" t="s">
        <v>362</v>
      </c>
      <c r="J72" s="3" t="s">
        <v>68</v>
      </c>
      <c r="K72" s="6" t="s">
        <v>379</v>
      </c>
      <c r="M72" t="s">
        <v>87</v>
      </c>
      <c r="N72" t="s">
        <v>401</v>
      </c>
      <c r="O72" t="s">
        <v>206</v>
      </c>
    </row>
    <row r="73" spans="1:15" x14ac:dyDescent="0.2">
      <c r="A73" t="s">
        <v>208</v>
      </c>
      <c r="B73" t="s">
        <v>295</v>
      </c>
      <c r="C73" t="s">
        <v>206</v>
      </c>
      <c r="D73" s="3" t="s">
        <v>50</v>
      </c>
      <c r="E73" s="6" t="s">
        <v>363</v>
      </c>
      <c r="J73" s="3" t="s">
        <v>69</v>
      </c>
      <c r="K73" s="6" t="s">
        <v>380</v>
      </c>
      <c r="M73" t="s">
        <v>87</v>
      </c>
      <c r="N73" t="s">
        <v>295</v>
      </c>
      <c r="O73" t="s">
        <v>206</v>
      </c>
    </row>
    <row r="74" spans="1:15" x14ac:dyDescent="0.2">
      <c r="A74" t="s">
        <v>208</v>
      </c>
      <c r="B74" t="s">
        <v>438</v>
      </c>
      <c r="C74" t="s">
        <v>206</v>
      </c>
      <c r="D74" s="3" t="s">
        <v>51</v>
      </c>
      <c r="E74" s="6" t="s">
        <v>364</v>
      </c>
      <c r="J74" s="3" t="s">
        <v>70</v>
      </c>
      <c r="K74" s="6" t="s">
        <v>381</v>
      </c>
      <c r="M74" t="s">
        <v>87</v>
      </c>
      <c r="N74" t="s">
        <v>402</v>
      </c>
      <c r="O74" t="s">
        <v>206</v>
      </c>
    </row>
    <row r="75" spans="1:15" x14ac:dyDescent="0.2">
      <c r="A75" t="s">
        <v>208</v>
      </c>
      <c r="B75" t="s">
        <v>403</v>
      </c>
      <c r="C75" t="s">
        <v>206</v>
      </c>
      <c r="D75" s="3" t="s">
        <v>52</v>
      </c>
      <c r="E75" s="6" t="s">
        <v>365</v>
      </c>
      <c r="J75" s="3" t="s">
        <v>71</v>
      </c>
      <c r="K75" s="6" t="s">
        <v>382</v>
      </c>
      <c r="M75" t="s">
        <v>87</v>
      </c>
      <c r="N75" t="s">
        <v>403</v>
      </c>
      <c r="O75" t="s">
        <v>206</v>
      </c>
    </row>
    <row r="76" spans="1:15" x14ac:dyDescent="0.2">
      <c r="A76" t="s">
        <v>208</v>
      </c>
      <c r="B76" t="s">
        <v>296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297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317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314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383</v>
      </c>
      <c r="M79" t="s">
        <v>87</v>
      </c>
      <c r="N79" t="s">
        <v>357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290</v>
      </c>
      <c r="C81" t="s">
        <v>206</v>
      </c>
      <c r="D81" s="3" t="s">
        <v>58</v>
      </c>
      <c r="E81" s="6" t="s">
        <v>445</v>
      </c>
      <c r="J81" s="3" t="s">
        <v>77</v>
      </c>
      <c r="K81" s="6" t="s">
        <v>29</v>
      </c>
      <c r="M81" t="s">
        <v>87</v>
      </c>
      <c r="N81" t="s">
        <v>290</v>
      </c>
      <c r="O81" t="s">
        <v>206</v>
      </c>
    </row>
    <row r="82" spans="1:15" x14ac:dyDescent="0.2">
      <c r="A82" t="s">
        <v>208</v>
      </c>
      <c r="B82" t="s">
        <v>318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319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332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333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334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335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336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324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325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412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B99" s="26" t="s">
        <v>429</v>
      </c>
      <c r="D99" s="20" t="s">
        <v>304</v>
      </c>
      <c r="J99" s="20" t="s">
        <v>300</v>
      </c>
      <c r="N99" s="26" t="s">
        <v>424</v>
      </c>
    </row>
    <row r="100" spans="1:15" x14ac:dyDescent="0.2">
      <c r="A100" t="s">
        <v>344</v>
      </c>
      <c r="D100" s="25" t="s">
        <v>384</v>
      </c>
      <c r="E100" s="25" t="s">
        <v>437</v>
      </c>
      <c r="J100" s="25" t="s">
        <v>443</v>
      </c>
      <c r="K100" s="25" t="s">
        <v>394</v>
      </c>
      <c r="M100" t="s">
        <v>416</v>
      </c>
    </row>
    <row r="101" spans="1:15" x14ac:dyDescent="0.2">
      <c r="A101" t="s">
        <v>208</v>
      </c>
      <c r="B101" t="s">
        <v>326</v>
      </c>
      <c r="C101" t="s">
        <v>206</v>
      </c>
      <c r="D101" s="3" t="s">
        <v>189</v>
      </c>
      <c r="E101" s="6" t="s">
        <v>109</v>
      </c>
      <c r="J101" s="3" t="s">
        <v>86</v>
      </c>
      <c r="K101" s="6" t="s">
        <v>113</v>
      </c>
      <c r="M101" t="s">
        <v>87</v>
      </c>
      <c r="N101" t="s">
        <v>430</v>
      </c>
      <c r="O101" t="s">
        <v>206</v>
      </c>
    </row>
    <row r="102" spans="1:15" x14ac:dyDescent="0.2">
      <c r="A102" t="s">
        <v>208</v>
      </c>
      <c r="B102" t="s">
        <v>327</v>
      </c>
      <c r="C102" t="s">
        <v>206</v>
      </c>
      <c r="D102" s="3" t="s">
        <v>47</v>
      </c>
      <c r="E102" s="6" t="s">
        <v>108</v>
      </c>
      <c r="J102" s="3" t="s">
        <v>88</v>
      </c>
      <c r="K102" s="6" t="s">
        <v>114</v>
      </c>
      <c r="M102" t="s">
        <v>87</v>
      </c>
      <c r="N102" t="s">
        <v>431</v>
      </c>
      <c r="O102" t="s">
        <v>206</v>
      </c>
    </row>
    <row r="103" spans="1:15" x14ac:dyDescent="0.2">
      <c r="A103" t="s">
        <v>208</v>
      </c>
      <c r="B103" t="s">
        <v>328</v>
      </c>
      <c r="C103" t="s">
        <v>206</v>
      </c>
      <c r="D103" s="3" t="s">
        <v>48</v>
      </c>
      <c r="E103" s="6" t="s">
        <v>110</v>
      </c>
      <c r="J103" s="3" t="s">
        <v>67</v>
      </c>
      <c r="K103" s="6" t="s">
        <v>115</v>
      </c>
      <c r="M103" t="s">
        <v>87</v>
      </c>
      <c r="N103" t="s">
        <v>432</v>
      </c>
      <c r="O103" t="s">
        <v>206</v>
      </c>
    </row>
    <row r="104" spans="1:15" x14ac:dyDescent="0.2">
      <c r="A104" t="s">
        <v>208</v>
      </c>
      <c r="B104" t="s">
        <v>329</v>
      </c>
      <c r="C104" t="s">
        <v>206</v>
      </c>
      <c r="D104" s="3" t="s">
        <v>49</v>
      </c>
      <c r="E104" s="37" t="s">
        <v>111</v>
      </c>
      <c r="J104" s="3" t="s">
        <v>68</v>
      </c>
      <c r="K104" s="6" t="s">
        <v>116</v>
      </c>
      <c r="M104" t="s">
        <v>87</v>
      </c>
      <c r="N104" t="s">
        <v>433</v>
      </c>
      <c r="O104" t="s">
        <v>206</v>
      </c>
    </row>
    <row r="105" spans="1:15" x14ac:dyDescent="0.2">
      <c r="A105" t="s">
        <v>208</v>
      </c>
      <c r="B105" t="s">
        <v>296</v>
      </c>
      <c r="C105" t="s">
        <v>206</v>
      </c>
      <c r="D105" s="3" t="s">
        <v>50</v>
      </c>
      <c r="E105" s="6" t="s">
        <v>8</v>
      </c>
      <c r="J105" s="3" t="s">
        <v>69</v>
      </c>
      <c r="K105" s="6" t="s">
        <v>671</v>
      </c>
      <c r="M105" t="s">
        <v>87</v>
      </c>
      <c r="N105" t="s">
        <v>673</v>
      </c>
      <c r="O105" t="s">
        <v>206</v>
      </c>
    </row>
    <row r="106" spans="1:15" x14ac:dyDescent="0.2">
      <c r="A106" t="s">
        <v>208</v>
      </c>
      <c r="B106" t="s">
        <v>297</v>
      </c>
      <c r="C106" t="s">
        <v>206</v>
      </c>
      <c r="D106" s="3" t="s">
        <v>51</v>
      </c>
      <c r="E106" s="6" t="s">
        <v>8</v>
      </c>
      <c r="J106" s="3" t="s">
        <v>70</v>
      </c>
      <c r="K106" s="6" t="s">
        <v>672</v>
      </c>
      <c r="M106" t="s">
        <v>87</v>
      </c>
      <c r="N106" t="s">
        <v>674</v>
      </c>
      <c r="O106" t="s">
        <v>206</v>
      </c>
    </row>
    <row r="107" spans="1:15" x14ac:dyDescent="0.2">
      <c r="A107" t="s">
        <v>208</v>
      </c>
      <c r="B107" t="s">
        <v>317</v>
      </c>
      <c r="C107" t="s">
        <v>206</v>
      </c>
      <c r="D107" s="3" t="s">
        <v>52</v>
      </c>
      <c r="E107" s="6" t="s">
        <v>8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318</v>
      </c>
      <c r="C108" t="s">
        <v>206</v>
      </c>
      <c r="D108" s="3" t="s">
        <v>53</v>
      </c>
      <c r="E108" s="6" t="s">
        <v>8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319</v>
      </c>
      <c r="C109" t="s">
        <v>206</v>
      </c>
      <c r="D109" s="3" t="s">
        <v>54</v>
      </c>
      <c r="E109" s="6" t="s">
        <v>8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332</v>
      </c>
      <c r="C110" t="s">
        <v>206</v>
      </c>
      <c r="D110" s="3" t="s">
        <v>55</v>
      </c>
      <c r="E110" s="6" t="s">
        <v>8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333</v>
      </c>
      <c r="C111" t="s">
        <v>206</v>
      </c>
      <c r="D111" s="3" t="s">
        <v>56</v>
      </c>
      <c r="E111" s="6" t="s">
        <v>8</v>
      </c>
      <c r="J111" s="3" t="s">
        <v>75</v>
      </c>
      <c r="K111" s="6" t="s">
        <v>29</v>
      </c>
      <c r="M111" t="s">
        <v>87</v>
      </c>
      <c r="N111" t="s">
        <v>434</v>
      </c>
      <c r="O111" t="s">
        <v>206</v>
      </c>
    </row>
    <row r="112" spans="1:15" x14ac:dyDescent="0.2">
      <c r="A112" t="s">
        <v>208</v>
      </c>
      <c r="B112" t="s">
        <v>334</v>
      </c>
      <c r="C112" t="s">
        <v>206</v>
      </c>
      <c r="D112" s="3" t="s">
        <v>57</v>
      </c>
      <c r="E112" s="6" t="s">
        <v>8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290</v>
      </c>
      <c r="C113" t="s">
        <v>206</v>
      </c>
      <c r="D113" s="3" t="s">
        <v>58</v>
      </c>
      <c r="E113" s="6" t="s">
        <v>445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335</v>
      </c>
      <c r="C114" t="s">
        <v>206</v>
      </c>
      <c r="D114" s="3" t="s">
        <v>59</v>
      </c>
      <c r="E114" s="6" t="s">
        <v>8</v>
      </c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336</v>
      </c>
      <c r="C115" t="s">
        <v>206</v>
      </c>
      <c r="D115" s="3" t="s">
        <v>60</v>
      </c>
      <c r="E115" s="6" t="s">
        <v>8</v>
      </c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A116" t="s">
        <v>208</v>
      </c>
      <c r="B116" t="s">
        <v>337</v>
      </c>
      <c r="C116" t="s">
        <v>206</v>
      </c>
      <c r="D116" s="3" t="s">
        <v>61</v>
      </c>
      <c r="E116" s="6" t="s">
        <v>8</v>
      </c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A117" t="s">
        <v>208</v>
      </c>
      <c r="B117" t="s">
        <v>338</v>
      </c>
      <c r="C117" t="s">
        <v>206</v>
      </c>
      <c r="D117" s="3" t="s">
        <v>62</v>
      </c>
      <c r="E117" s="6" t="s">
        <v>8</v>
      </c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A118" t="s">
        <v>208</v>
      </c>
      <c r="B118" t="s">
        <v>330</v>
      </c>
      <c r="C118" t="s">
        <v>206</v>
      </c>
      <c r="D118" s="3" t="s">
        <v>63</v>
      </c>
      <c r="E118" s="6" t="s">
        <v>345</v>
      </c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A119" t="s">
        <v>208</v>
      </c>
      <c r="B119" t="s">
        <v>331</v>
      </c>
      <c r="C119" t="s">
        <v>206</v>
      </c>
      <c r="D119" s="3" t="s">
        <v>64</v>
      </c>
      <c r="E119" s="6" t="s">
        <v>346</v>
      </c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A120" t="s">
        <v>208</v>
      </c>
      <c r="B120" t="s">
        <v>339</v>
      </c>
      <c r="C120" t="s">
        <v>206</v>
      </c>
      <c r="D120" s="3" t="s">
        <v>65</v>
      </c>
      <c r="E120" s="6" t="s">
        <v>8</v>
      </c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A121" t="s">
        <v>208</v>
      </c>
      <c r="B121" t="s">
        <v>289</v>
      </c>
      <c r="C121" t="s">
        <v>206</v>
      </c>
      <c r="D121" s="3" t="s">
        <v>66</v>
      </c>
      <c r="E121" s="6" t="s">
        <v>18</v>
      </c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A122" t="s">
        <v>325</v>
      </c>
      <c r="C122" t="s">
        <v>206</v>
      </c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414</v>
      </c>
      <c r="J124" s="8" t="s">
        <v>87</v>
      </c>
      <c r="K124" s="3" t="s">
        <v>413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301</v>
      </c>
      <c r="N132" t="s">
        <v>425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388</v>
      </c>
      <c r="K133" s="25" t="s">
        <v>395</v>
      </c>
      <c r="M133" t="s">
        <v>417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266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267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268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269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270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271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272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273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274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275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276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277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278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279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280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281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282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283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284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285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420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358</v>
      </c>
      <c r="N164" t="s">
        <v>426</v>
      </c>
    </row>
    <row r="165" spans="10:15" x14ac:dyDescent="0.2">
      <c r="J165" s="25" t="s">
        <v>387</v>
      </c>
      <c r="K165" s="25" t="s">
        <v>396</v>
      </c>
      <c r="M165" t="s">
        <v>418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421</v>
      </c>
    </row>
    <row r="191" spans="10:15" ht="17" thickBot="1" x14ac:dyDescent="0.25">
      <c r="J191" s="4" t="s">
        <v>1</v>
      </c>
      <c r="K191" s="7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24274-DAA9-3546-803E-FD965780B13F}">
  <sheetPr codeName="Sheet3">
    <tabColor theme="0" tint="-0.14999847407452621"/>
  </sheetPr>
  <dimension ref="A4:R191"/>
  <sheetViews>
    <sheetView topLeftCell="A3" zoomScaleNormal="100" workbookViewId="0">
      <selection activeCell="E85" sqref="E1:E1048576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71.832031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677</v>
      </c>
      <c r="D4" s="20" t="s">
        <v>302</v>
      </c>
    </row>
    <row r="5" spans="2:5" x14ac:dyDescent="0.2">
      <c r="D5" s="25" t="s">
        <v>675</v>
      </c>
      <c r="E5" s="25" t="s">
        <v>676</v>
      </c>
    </row>
    <row r="6" spans="2:5" x14ac:dyDescent="0.2">
      <c r="B6" t="s">
        <v>685</v>
      </c>
      <c r="C6" t="s">
        <v>206</v>
      </c>
      <c r="D6" s="3" t="s">
        <v>189</v>
      </c>
      <c r="E6" s="6" t="s">
        <v>678</v>
      </c>
    </row>
    <row r="7" spans="2:5" x14ac:dyDescent="0.2">
      <c r="B7" t="s">
        <v>686</v>
      </c>
      <c r="C7" t="s">
        <v>206</v>
      </c>
      <c r="D7" s="3" t="s">
        <v>47</v>
      </c>
      <c r="E7" s="6" t="s">
        <v>679</v>
      </c>
    </row>
    <row r="8" spans="2:5" x14ac:dyDescent="0.2">
      <c r="B8" t="s">
        <v>687</v>
      </c>
      <c r="C8" t="s">
        <v>206</v>
      </c>
      <c r="D8" s="3" t="s">
        <v>48</v>
      </c>
      <c r="E8" s="6" t="s">
        <v>680</v>
      </c>
    </row>
    <row r="9" spans="2:5" x14ac:dyDescent="0.2">
      <c r="B9" t="s">
        <v>296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297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317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318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319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332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333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689</v>
      </c>
      <c r="C16" t="s">
        <v>206</v>
      </c>
      <c r="D16" s="3" t="s">
        <v>56</v>
      </c>
      <c r="E16" s="6" t="s">
        <v>688</v>
      </c>
    </row>
    <row r="17" spans="2:18" x14ac:dyDescent="0.2">
      <c r="B17" t="s">
        <v>335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290</v>
      </c>
      <c r="C18" t="s">
        <v>206</v>
      </c>
      <c r="D18" s="3" t="s">
        <v>58</v>
      </c>
      <c r="E18" s="6" t="s">
        <v>434</v>
      </c>
    </row>
    <row r="19" spans="2:18" x14ac:dyDescent="0.2">
      <c r="B19" t="s">
        <v>336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337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338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339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681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682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683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684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690</v>
      </c>
      <c r="P29">
        <v>0</v>
      </c>
      <c r="Q29" t="s">
        <v>347</v>
      </c>
      <c r="R29" t="s">
        <v>389</v>
      </c>
    </row>
    <row r="30" spans="2:18" ht="17" thickBot="1" x14ac:dyDescent="0.25">
      <c r="D30" s="4" t="s">
        <v>2</v>
      </c>
      <c r="E30" s="7"/>
      <c r="P30">
        <v>1</v>
      </c>
      <c r="Q30" t="s">
        <v>348</v>
      </c>
      <c r="R30" t="s">
        <v>390</v>
      </c>
    </row>
    <row r="31" spans="2:18" x14ac:dyDescent="0.2">
      <c r="P31">
        <v>2</v>
      </c>
      <c r="Q31" t="s">
        <v>384</v>
      </c>
      <c r="R31" t="s">
        <v>391</v>
      </c>
    </row>
    <row r="32" spans="2:18" x14ac:dyDescent="0.2">
      <c r="P32">
        <v>3</v>
      </c>
      <c r="Q32" t="s">
        <v>386</v>
      </c>
      <c r="R32" t="s">
        <v>392</v>
      </c>
    </row>
    <row r="33" spans="1:18" x14ac:dyDescent="0.2">
      <c r="P33">
        <v>4</v>
      </c>
      <c r="Q33" t="s">
        <v>385</v>
      </c>
      <c r="R33" t="s">
        <v>393</v>
      </c>
    </row>
    <row r="34" spans="1:18" x14ac:dyDescent="0.2">
      <c r="P34">
        <v>5</v>
      </c>
      <c r="Q34" t="s">
        <v>444</v>
      </c>
      <c r="R34" t="s">
        <v>394</v>
      </c>
    </row>
    <row r="35" spans="1:18" x14ac:dyDescent="0.2">
      <c r="P35">
        <v>6</v>
      </c>
      <c r="Q35" t="s">
        <v>388</v>
      </c>
      <c r="R35" t="s">
        <v>395</v>
      </c>
    </row>
    <row r="36" spans="1:18" x14ac:dyDescent="0.2">
      <c r="P36">
        <v>7</v>
      </c>
      <c r="Q36" t="s">
        <v>387</v>
      </c>
      <c r="R36" t="s">
        <v>396</v>
      </c>
    </row>
    <row r="37" spans="1:18" ht="19" x14ac:dyDescent="0.25">
      <c r="B37" t="s">
        <v>427</v>
      </c>
      <c r="D37" s="20" t="s">
        <v>302</v>
      </c>
      <c r="J37" s="19" t="s">
        <v>298</v>
      </c>
      <c r="N37" t="s">
        <v>422</v>
      </c>
    </row>
    <row r="38" spans="1:18" x14ac:dyDescent="0.2">
      <c r="A38" t="s">
        <v>419</v>
      </c>
      <c r="D38" s="25" t="s">
        <v>347</v>
      </c>
      <c r="E38" s="25" t="s">
        <v>435</v>
      </c>
      <c r="J38" s="25" t="s">
        <v>386</v>
      </c>
      <c r="K38" s="25" t="s">
        <v>392</v>
      </c>
      <c r="M38" t="s">
        <v>397</v>
      </c>
    </row>
    <row r="39" spans="1:18" ht="35" customHeight="1" x14ac:dyDescent="0.2">
      <c r="A39" t="s">
        <v>208</v>
      </c>
      <c r="B39" t="s">
        <v>326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370</v>
      </c>
      <c r="M39" t="s">
        <v>87</v>
      </c>
      <c r="N39" t="s">
        <v>373</v>
      </c>
      <c r="O39" t="s">
        <v>206</v>
      </c>
    </row>
    <row r="40" spans="1:18" x14ac:dyDescent="0.2">
      <c r="A40" t="s">
        <v>208</v>
      </c>
      <c r="B40" t="s">
        <v>327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286</v>
      </c>
      <c r="O40" t="s">
        <v>206</v>
      </c>
    </row>
    <row r="41" spans="1:18" x14ac:dyDescent="0.2">
      <c r="A41" t="s">
        <v>208</v>
      </c>
      <c r="B41" t="s">
        <v>328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287</v>
      </c>
      <c r="O41" t="s">
        <v>206</v>
      </c>
    </row>
    <row r="42" spans="1:18" x14ac:dyDescent="0.2">
      <c r="A42" t="s">
        <v>208</v>
      </c>
      <c r="B42" t="s">
        <v>404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288</v>
      </c>
      <c r="O42" t="s">
        <v>206</v>
      </c>
    </row>
    <row r="43" spans="1:18" x14ac:dyDescent="0.2">
      <c r="A43" t="s">
        <v>208</v>
      </c>
      <c r="B43" t="s">
        <v>405</v>
      </c>
      <c r="C43" t="s">
        <v>206</v>
      </c>
      <c r="D43" s="3" t="s">
        <v>50</v>
      </c>
      <c r="E43" s="37" t="s">
        <v>366</v>
      </c>
      <c r="J43" s="3" t="s">
        <v>69</v>
      </c>
      <c r="K43" s="6" t="s">
        <v>372</v>
      </c>
      <c r="M43" t="s">
        <v>87</v>
      </c>
      <c r="N43" t="s">
        <v>374</v>
      </c>
      <c r="O43" t="s">
        <v>206</v>
      </c>
    </row>
    <row r="44" spans="1:18" x14ac:dyDescent="0.2">
      <c r="A44" t="s">
        <v>208</v>
      </c>
      <c r="B44" t="s">
        <v>406</v>
      </c>
      <c r="C44" t="s">
        <v>206</v>
      </c>
      <c r="D44" s="3" t="s">
        <v>51</v>
      </c>
      <c r="E44" s="37" t="s">
        <v>367</v>
      </c>
      <c r="J44" s="3" t="s">
        <v>70</v>
      </c>
      <c r="K44" s="6" t="s">
        <v>691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407</v>
      </c>
      <c r="C45" t="s">
        <v>206</v>
      </c>
      <c r="D45" s="3" t="s">
        <v>52</v>
      </c>
      <c r="E45" s="37" t="s">
        <v>368</v>
      </c>
      <c r="J45" s="3" t="s">
        <v>71</v>
      </c>
      <c r="K45" s="6" t="s">
        <v>692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408</v>
      </c>
      <c r="C46" t="s">
        <v>206</v>
      </c>
      <c r="D46" s="3" t="s">
        <v>53</v>
      </c>
      <c r="E46" s="37" t="s">
        <v>369</v>
      </c>
      <c r="J46" s="3" t="s">
        <v>72</v>
      </c>
      <c r="K46" s="6" t="s">
        <v>693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296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694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297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317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290</v>
      </c>
      <c r="O49" t="s">
        <v>206</v>
      </c>
    </row>
    <row r="50" spans="1:15" x14ac:dyDescent="0.2">
      <c r="A50" t="s">
        <v>208</v>
      </c>
      <c r="B50" t="s">
        <v>318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371</v>
      </c>
      <c r="M50" t="s">
        <v>87</v>
      </c>
      <c r="N50" t="s">
        <v>375</v>
      </c>
      <c r="O50" t="s">
        <v>206</v>
      </c>
    </row>
    <row r="51" spans="1:15" x14ac:dyDescent="0.2">
      <c r="A51" t="s">
        <v>208</v>
      </c>
      <c r="B51" t="s">
        <v>290</v>
      </c>
      <c r="C51" t="s">
        <v>206</v>
      </c>
      <c r="D51" s="3" t="s">
        <v>58</v>
      </c>
      <c r="E51" s="6" t="s">
        <v>434</v>
      </c>
      <c r="J51" s="3" t="s">
        <v>77</v>
      </c>
      <c r="K51" s="6" t="s">
        <v>31</v>
      </c>
      <c r="M51" t="s">
        <v>87</v>
      </c>
      <c r="N51" t="s">
        <v>291</v>
      </c>
      <c r="O51" t="s">
        <v>206</v>
      </c>
    </row>
    <row r="52" spans="1:15" x14ac:dyDescent="0.2">
      <c r="A52" t="s">
        <v>208</v>
      </c>
      <c r="B52" t="s">
        <v>319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292</v>
      </c>
      <c r="O52" t="s">
        <v>206</v>
      </c>
    </row>
    <row r="53" spans="1:15" x14ac:dyDescent="0.2">
      <c r="A53" t="s">
        <v>208</v>
      </c>
      <c r="B53" t="s">
        <v>332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293</v>
      </c>
      <c r="O53" t="s">
        <v>206</v>
      </c>
    </row>
    <row r="54" spans="1:15" x14ac:dyDescent="0.2">
      <c r="A54" t="s">
        <v>208</v>
      </c>
      <c r="B54" t="s">
        <v>333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294</v>
      </c>
      <c r="O54" t="s">
        <v>206</v>
      </c>
    </row>
    <row r="55" spans="1:15" x14ac:dyDescent="0.2">
      <c r="A55" t="s">
        <v>208</v>
      </c>
      <c r="B55" t="s">
        <v>334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409</v>
      </c>
      <c r="C56" t="s">
        <v>206</v>
      </c>
      <c r="D56" s="3" t="s">
        <v>63</v>
      </c>
      <c r="E56" s="6" t="s">
        <v>355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410</v>
      </c>
      <c r="C57" t="s">
        <v>206</v>
      </c>
      <c r="D57" s="3" t="s">
        <v>64</v>
      </c>
      <c r="E57" s="6" t="s">
        <v>356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335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336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325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325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411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428</v>
      </c>
      <c r="D67" s="20" t="s">
        <v>303</v>
      </c>
      <c r="J67" s="20" t="s">
        <v>299</v>
      </c>
      <c r="N67" t="s">
        <v>423</v>
      </c>
    </row>
    <row r="68" spans="1:15" x14ac:dyDescent="0.2">
      <c r="A68" t="s">
        <v>305</v>
      </c>
      <c r="D68" s="25" t="s">
        <v>348</v>
      </c>
      <c r="E68" s="25" t="s">
        <v>436</v>
      </c>
      <c r="J68" s="25" t="s">
        <v>385</v>
      </c>
      <c r="K68" s="25" t="s">
        <v>393</v>
      </c>
      <c r="M68" t="s">
        <v>415</v>
      </c>
    </row>
    <row r="69" spans="1:15" ht="29" customHeight="1" x14ac:dyDescent="0.2">
      <c r="A69" t="s">
        <v>208</v>
      </c>
      <c r="B69" t="s">
        <v>439</v>
      </c>
      <c r="C69" t="s">
        <v>206</v>
      </c>
      <c r="D69" s="3" t="s">
        <v>189</v>
      </c>
      <c r="E69" s="6" t="s">
        <v>359</v>
      </c>
      <c r="J69" s="3" t="s">
        <v>86</v>
      </c>
      <c r="K69" s="6" t="s">
        <v>376</v>
      </c>
      <c r="M69" t="s">
        <v>87</v>
      </c>
      <c r="N69" t="s">
        <v>398</v>
      </c>
      <c r="O69" t="s">
        <v>206</v>
      </c>
    </row>
    <row r="70" spans="1:15" x14ac:dyDescent="0.2">
      <c r="A70" t="s">
        <v>208</v>
      </c>
      <c r="B70" t="s">
        <v>440</v>
      </c>
      <c r="C70" t="s">
        <v>206</v>
      </c>
      <c r="D70" s="3" t="s">
        <v>47</v>
      </c>
      <c r="E70" s="6" t="s">
        <v>360</v>
      </c>
      <c r="J70" s="3" t="s">
        <v>88</v>
      </c>
      <c r="K70" s="6" t="s">
        <v>377</v>
      </c>
      <c r="M70" t="s">
        <v>87</v>
      </c>
      <c r="N70" t="s">
        <v>399</v>
      </c>
      <c r="O70" t="s">
        <v>206</v>
      </c>
    </row>
    <row r="71" spans="1:15" x14ac:dyDescent="0.2">
      <c r="A71" t="s">
        <v>208</v>
      </c>
      <c r="B71" t="s">
        <v>441</v>
      </c>
      <c r="C71" t="s">
        <v>206</v>
      </c>
      <c r="D71" s="3" t="s">
        <v>48</v>
      </c>
      <c r="E71" s="6" t="s">
        <v>361</v>
      </c>
      <c r="J71" s="3" t="s">
        <v>67</v>
      </c>
      <c r="K71" s="6" t="s">
        <v>378</v>
      </c>
      <c r="M71" t="s">
        <v>87</v>
      </c>
      <c r="N71" t="s">
        <v>400</v>
      </c>
      <c r="O71" t="s">
        <v>206</v>
      </c>
    </row>
    <row r="72" spans="1:15" x14ac:dyDescent="0.2">
      <c r="A72" t="s">
        <v>208</v>
      </c>
      <c r="B72" t="s">
        <v>442</v>
      </c>
      <c r="C72" t="s">
        <v>206</v>
      </c>
      <c r="D72" s="3" t="s">
        <v>49</v>
      </c>
      <c r="E72" s="6" t="s">
        <v>362</v>
      </c>
      <c r="J72" s="3" t="s">
        <v>68</v>
      </c>
      <c r="K72" s="6" t="s">
        <v>379</v>
      </c>
      <c r="M72" t="s">
        <v>87</v>
      </c>
      <c r="N72" t="s">
        <v>401</v>
      </c>
      <c r="O72" t="s">
        <v>206</v>
      </c>
    </row>
    <row r="73" spans="1:15" x14ac:dyDescent="0.2">
      <c r="A73" t="s">
        <v>208</v>
      </c>
      <c r="B73" t="s">
        <v>295</v>
      </c>
      <c r="C73" t="s">
        <v>206</v>
      </c>
      <c r="D73" s="3" t="s">
        <v>50</v>
      </c>
      <c r="E73" s="6" t="s">
        <v>363</v>
      </c>
      <c r="J73" s="3" t="s">
        <v>69</v>
      </c>
      <c r="K73" s="6" t="s">
        <v>380</v>
      </c>
      <c r="M73" t="s">
        <v>87</v>
      </c>
      <c r="N73" t="s">
        <v>295</v>
      </c>
      <c r="O73" t="s">
        <v>206</v>
      </c>
    </row>
    <row r="74" spans="1:15" x14ac:dyDescent="0.2">
      <c r="A74" t="s">
        <v>208</v>
      </c>
      <c r="B74" t="s">
        <v>438</v>
      </c>
      <c r="C74" t="s">
        <v>206</v>
      </c>
      <c r="D74" s="3" t="s">
        <v>51</v>
      </c>
      <c r="E74" s="6" t="s">
        <v>364</v>
      </c>
      <c r="J74" s="3" t="s">
        <v>70</v>
      </c>
      <c r="K74" s="6" t="s">
        <v>381</v>
      </c>
      <c r="M74" t="s">
        <v>87</v>
      </c>
      <c r="N74" t="s">
        <v>402</v>
      </c>
      <c r="O74" t="s">
        <v>206</v>
      </c>
    </row>
    <row r="75" spans="1:15" x14ac:dyDescent="0.2">
      <c r="A75" t="s">
        <v>208</v>
      </c>
      <c r="B75" t="s">
        <v>403</v>
      </c>
      <c r="C75" t="s">
        <v>206</v>
      </c>
      <c r="D75" s="3" t="s">
        <v>52</v>
      </c>
      <c r="E75" s="6" t="s">
        <v>365</v>
      </c>
      <c r="J75" s="3" t="s">
        <v>71</v>
      </c>
      <c r="K75" s="6" t="s">
        <v>382</v>
      </c>
      <c r="M75" t="s">
        <v>87</v>
      </c>
      <c r="N75" t="s">
        <v>403</v>
      </c>
      <c r="O75" t="s">
        <v>206</v>
      </c>
    </row>
    <row r="76" spans="1:15" x14ac:dyDescent="0.2">
      <c r="A76" t="s">
        <v>208</v>
      </c>
      <c r="B76" t="s">
        <v>296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297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317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314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383</v>
      </c>
      <c r="M79" t="s">
        <v>87</v>
      </c>
      <c r="N79" t="s">
        <v>357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290</v>
      </c>
      <c r="C81" t="s">
        <v>206</v>
      </c>
      <c r="D81" s="3" t="s">
        <v>58</v>
      </c>
      <c r="E81" s="6" t="s">
        <v>445</v>
      </c>
      <c r="J81" s="3" t="s">
        <v>77</v>
      </c>
      <c r="K81" s="6" t="s">
        <v>29</v>
      </c>
      <c r="M81" t="s">
        <v>87</v>
      </c>
      <c r="N81" t="s">
        <v>290</v>
      </c>
      <c r="O81" t="s">
        <v>206</v>
      </c>
    </row>
    <row r="82" spans="1:15" x14ac:dyDescent="0.2">
      <c r="A82" t="s">
        <v>208</v>
      </c>
      <c r="B82" t="s">
        <v>318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319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332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333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334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335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336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324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325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412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D99" s="20" t="s">
        <v>304</v>
      </c>
      <c r="J99" s="20" t="s">
        <v>300</v>
      </c>
      <c r="N99" s="26" t="s">
        <v>424</v>
      </c>
    </row>
    <row r="100" spans="1:15" x14ac:dyDescent="0.2">
      <c r="D100" s="25" t="s">
        <v>712</v>
      </c>
      <c r="E100" s="25" t="s">
        <v>717</v>
      </c>
      <c r="J100" s="25" t="s">
        <v>443</v>
      </c>
      <c r="K100" s="25" t="s">
        <v>394</v>
      </c>
      <c r="M100" t="s">
        <v>416</v>
      </c>
    </row>
    <row r="101" spans="1:15" x14ac:dyDescent="0.2">
      <c r="D101" s="25" t="s">
        <v>347</v>
      </c>
      <c r="E101" s="25" t="s">
        <v>718</v>
      </c>
      <c r="J101" s="3" t="s">
        <v>86</v>
      </c>
      <c r="K101" s="6" t="s">
        <v>113</v>
      </c>
      <c r="M101" t="s">
        <v>87</v>
      </c>
      <c r="N101" t="s">
        <v>430</v>
      </c>
      <c r="O101" t="s">
        <v>206</v>
      </c>
    </row>
    <row r="102" spans="1:15" x14ac:dyDescent="0.2">
      <c r="D102" s="25" t="s">
        <v>710</v>
      </c>
      <c r="E102" s="25" t="s">
        <v>719</v>
      </c>
      <c r="J102" s="3" t="s">
        <v>88</v>
      </c>
      <c r="K102" s="6" t="s">
        <v>114</v>
      </c>
      <c r="M102" t="s">
        <v>87</v>
      </c>
      <c r="N102" t="s">
        <v>431</v>
      </c>
      <c r="O102" t="s">
        <v>206</v>
      </c>
    </row>
    <row r="103" spans="1:15" x14ac:dyDescent="0.2">
      <c r="D103" s="25" t="s">
        <v>711</v>
      </c>
      <c r="E103" s="25" t="s">
        <v>720</v>
      </c>
      <c r="J103" s="3" t="s">
        <v>67</v>
      </c>
      <c r="K103" s="6" t="s">
        <v>115</v>
      </c>
      <c r="M103" t="s">
        <v>87</v>
      </c>
      <c r="N103" t="s">
        <v>432</v>
      </c>
      <c r="O103" t="s">
        <v>206</v>
      </c>
    </row>
    <row r="104" spans="1:15" x14ac:dyDescent="0.2">
      <c r="B104" s="26" t="s">
        <v>429</v>
      </c>
      <c r="D104" s="3" t="s">
        <v>189</v>
      </c>
      <c r="E104" s="6" t="s">
        <v>109</v>
      </c>
      <c r="J104" s="3" t="s">
        <v>68</v>
      </c>
      <c r="K104" s="6" t="s">
        <v>116</v>
      </c>
      <c r="M104" t="s">
        <v>87</v>
      </c>
      <c r="N104" t="s">
        <v>433</v>
      </c>
      <c r="O104" t="s">
        <v>206</v>
      </c>
    </row>
    <row r="105" spans="1:15" x14ac:dyDescent="0.2">
      <c r="A105" t="s">
        <v>344</v>
      </c>
      <c r="D105" s="3" t="s">
        <v>47</v>
      </c>
      <c r="E105" s="6" t="s">
        <v>108</v>
      </c>
      <c r="J105" s="3" t="s">
        <v>69</v>
      </c>
      <c r="K105" s="6" t="s">
        <v>671</v>
      </c>
      <c r="M105" t="s">
        <v>87</v>
      </c>
      <c r="N105" t="s">
        <v>673</v>
      </c>
      <c r="O105" t="s">
        <v>206</v>
      </c>
    </row>
    <row r="106" spans="1:15" x14ac:dyDescent="0.2">
      <c r="A106" t="s">
        <v>208</v>
      </c>
      <c r="B106" t="s">
        <v>326</v>
      </c>
      <c r="C106" t="s">
        <v>206</v>
      </c>
      <c r="D106" s="3" t="s">
        <v>48</v>
      </c>
      <c r="E106" s="6" t="s">
        <v>110</v>
      </c>
      <c r="J106" s="3" t="s">
        <v>70</v>
      </c>
      <c r="K106" s="6" t="s">
        <v>672</v>
      </c>
      <c r="M106" t="s">
        <v>87</v>
      </c>
      <c r="N106" t="s">
        <v>674</v>
      </c>
      <c r="O106" t="s">
        <v>206</v>
      </c>
    </row>
    <row r="107" spans="1:15" x14ac:dyDescent="0.2">
      <c r="A107" t="s">
        <v>208</v>
      </c>
      <c r="B107" t="s">
        <v>327</v>
      </c>
      <c r="C107" t="s">
        <v>206</v>
      </c>
      <c r="D107" s="3" t="s">
        <v>49</v>
      </c>
      <c r="E107" s="6" t="s">
        <v>713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328</v>
      </c>
      <c r="C108" t="s">
        <v>206</v>
      </c>
      <c r="D108" s="3" t="s">
        <v>50</v>
      </c>
      <c r="E108" s="6" t="s">
        <v>716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714</v>
      </c>
      <c r="C109" t="s">
        <v>206</v>
      </c>
      <c r="D109" s="3" t="s">
        <v>51</v>
      </c>
      <c r="E109" s="6" t="s">
        <v>706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715</v>
      </c>
      <c r="C110" t="s">
        <v>206</v>
      </c>
      <c r="D110" s="3" t="s">
        <v>52</v>
      </c>
      <c r="E110" s="6" t="s">
        <v>120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709</v>
      </c>
      <c r="C111" t="s">
        <v>206</v>
      </c>
      <c r="D111" s="3" t="s">
        <v>53</v>
      </c>
      <c r="E111" s="6" t="s">
        <v>121</v>
      </c>
      <c r="J111" s="3" t="s">
        <v>75</v>
      </c>
      <c r="K111" s="6" t="s">
        <v>29</v>
      </c>
      <c r="M111" t="s">
        <v>87</v>
      </c>
      <c r="N111" t="s">
        <v>434</v>
      </c>
      <c r="O111" t="s">
        <v>206</v>
      </c>
    </row>
    <row r="112" spans="1:15" x14ac:dyDescent="0.2">
      <c r="A112" t="s">
        <v>208</v>
      </c>
      <c r="B112" t="s">
        <v>707</v>
      </c>
      <c r="C112" t="s">
        <v>206</v>
      </c>
      <c r="D112" s="3" t="s">
        <v>54</v>
      </c>
      <c r="E112" s="6" t="s">
        <v>445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708</v>
      </c>
      <c r="C113" t="s">
        <v>206</v>
      </c>
      <c r="D113" s="3" t="s">
        <v>55</v>
      </c>
      <c r="E113" s="6" t="s">
        <v>18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290</v>
      </c>
      <c r="C114" t="s">
        <v>206</v>
      </c>
      <c r="D114" s="3" t="s">
        <v>1</v>
      </c>
      <c r="E114" s="6"/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289</v>
      </c>
      <c r="C115" t="s">
        <v>206</v>
      </c>
      <c r="D115" s="3"/>
      <c r="E115" s="6"/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B116" t="s">
        <v>325</v>
      </c>
      <c r="D116" s="3"/>
      <c r="E116" s="6"/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D117" s="3"/>
      <c r="E117" s="6"/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D118" s="3"/>
      <c r="E118" s="6"/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D119" s="3"/>
      <c r="E119" s="6"/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D120" s="3"/>
      <c r="E120" s="6"/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D121" s="3"/>
      <c r="E121" s="6"/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414</v>
      </c>
      <c r="J124" s="8" t="s">
        <v>87</v>
      </c>
      <c r="K124" s="3" t="s">
        <v>413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301</v>
      </c>
      <c r="N132" t="s">
        <v>425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388</v>
      </c>
      <c r="K133" s="25" t="s">
        <v>395</v>
      </c>
      <c r="M133" t="s">
        <v>417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266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267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268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269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270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271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272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273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274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275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276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277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278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279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280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281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282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283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284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285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420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358</v>
      </c>
      <c r="N164" t="s">
        <v>426</v>
      </c>
    </row>
    <row r="165" spans="10:15" x14ac:dyDescent="0.2">
      <c r="J165" s="25" t="s">
        <v>387</v>
      </c>
      <c r="K165" s="25" t="s">
        <v>396</v>
      </c>
      <c r="M165" t="s">
        <v>418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421</v>
      </c>
    </row>
    <row r="191" spans="10:15" ht="17" thickBot="1" x14ac:dyDescent="0.25">
      <c r="J191" s="4" t="s">
        <v>1</v>
      </c>
      <c r="K191" s="7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4C81B-F322-E945-B491-5BD54EE8D55B}">
  <sheetPr codeName="Sheet4">
    <tabColor theme="0" tint="-0.14999847407452621"/>
  </sheetPr>
  <dimension ref="A1:P191"/>
  <sheetViews>
    <sheetView topLeftCell="A18" zoomScaleNormal="100" workbookViewId="0">
      <selection activeCell="E60" sqref="E60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4" width="2.83203125" customWidth="1"/>
    <col min="5" max="5" width="27.5" style="1" customWidth="1"/>
    <col min="6" max="6" width="71.83203125" customWidth="1"/>
    <col min="11" max="11" width="15.6640625" customWidth="1"/>
    <col min="12" max="12" width="45.33203125" customWidth="1"/>
    <col min="13" max="13" width="9.33203125" customWidth="1"/>
    <col min="14" max="14" width="17.33203125" customWidth="1"/>
    <col min="15" max="15" width="20.83203125" customWidth="1"/>
    <col min="16" max="17" width="3.5" customWidth="1"/>
    <col min="18" max="18" width="22.33203125" customWidth="1"/>
    <col min="19" max="19" width="77.83203125" customWidth="1"/>
    <col min="20" max="20" width="16.5" customWidth="1"/>
    <col min="21" max="21" width="39.5" customWidth="1"/>
  </cols>
  <sheetData>
    <row r="1" spans="1:12" x14ac:dyDescent="0.2">
      <c r="C1" s="26" t="s">
        <v>777</v>
      </c>
      <c r="H1">
        <v>0</v>
      </c>
      <c r="I1" t="s">
        <v>712</v>
      </c>
      <c r="L1" t="s">
        <v>717</v>
      </c>
    </row>
    <row r="2" spans="1:12" x14ac:dyDescent="0.2">
      <c r="A2" t="s">
        <v>774</v>
      </c>
      <c r="B2" t="s">
        <v>780</v>
      </c>
      <c r="C2" t="s">
        <v>326</v>
      </c>
      <c r="D2" t="s">
        <v>775</v>
      </c>
      <c r="H2">
        <v>1</v>
      </c>
      <c r="I2" t="s">
        <v>347</v>
      </c>
      <c r="L2" t="s">
        <v>718</v>
      </c>
    </row>
    <row r="3" spans="1:12" x14ac:dyDescent="0.2">
      <c r="A3" t="s">
        <v>774</v>
      </c>
      <c r="B3" t="s">
        <v>780</v>
      </c>
      <c r="C3" t="s">
        <v>327</v>
      </c>
      <c r="D3" t="s">
        <v>775</v>
      </c>
      <c r="H3">
        <v>2</v>
      </c>
      <c r="I3" t="s">
        <v>710</v>
      </c>
      <c r="L3" t="s">
        <v>719</v>
      </c>
    </row>
    <row r="4" spans="1:12" x14ac:dyDescent="0.2">
      <c r="A4" t="s">
        <v>774</v>
      </c>
      <c r="B4" t="s">
        <v>780</v>
      </c>
      <c r="C4" t="s">
        <v>328</v>
      </c>
      <c r="D4" t="s">
        <v>775</v>
      </c>
      <c r="H4">
        <v>3</v>
      </c>
      <c r="I4" t="s">
        <v>711</v>
      </c>
      <c r="L4" t="s">
        <v>720</v>
      </c>
    </row>
    <row r="5" spans="1:12" x14ac:dyDescent="0.2">
      <c r="A5" t="s">
        <v>774</v>
      </c>
      <c r="B5" t="s">
        <v>780</v>
      </c>
      <c r="C5" t="s">
        <v>714</v>
      </c>
      <c r="D5" t="s">
        <v>775</v>
      </c>
      <c r="H5">
        <v>4</v>
      </c>
      <c r="I5" t="s">
        <v>348</v>
      </c>
      <c r="L5" t="s">
        <v>436</v>
      </c>
    </row>
    <row r="6" spans="1:12" x14ac:dyDescent="0.2">
      <c r="A6" t="s">
        <v>774</v>
      </c>
      <c r="B6" t="s">
        <v>780</v>
      </c>
      <c r="C6" t="s">
        <v>715</v>
      </c>
      <c r="D6" t="s">
        <v>775</v>
      </c>
      <c r="H6">
        <v>5</v>
      </c>
      <c r="I6" t="s">
        <v>386</v>
      </c>
      <c r="L6" t="s">
        <v>392</v>
      </c>
    </row>
    <row r="7" spans="1:12" x14ac:dyDescent="0.2">
      <c r="A7" t="s">
        <v>774</v>
      </c>
      <c r="B7" t="s">
        <v>780</v>
      </c>
      <c r="C7" t="s">
        <v>709</v>
      </c>
      <c r="D7" t="s">
        <v>775</v>
      </c>
      <c r="H7">
        <v>6</v>
      </c>
      <c r="I7" t="s">
        <v>385</v>
      </c>
      <c r="L7" t="s">
        <v>393</v>
      </c>
    </row>
    <row r="8" spans="1:12" x14ac:dyDescent="0.2">
      <c r="A8" t="s">
        <v>774</v>
      </c>
      <c r="B8" t="s">
        <v>780</v>
      </c>
      <c r="C8" t="s">
        <v>707</v>
      </c>
      <c r="D8" t="s">
        <v>775</v>
      </c>
      <c r="H8">
        <v>7</v>
      </c>
      <c r="I8" t="s">
        <v>444</v>
      </c>
      <c r="L8" t="s">
        <v>394</v>
      </c>
    </row>
    <row r="9" spans="1:12" x14ac:dyDescent="0.2">
      <c r="A9" t="s">
        <v>774</v>
      </c>
      <c r="B9" t="s">
        <v>780</v>
      </c>
      <c r="C9" t="s">
        <v>708</v>
      </c>
      <c r="D9" t="s">
        <v>775</v>
      </c>
      <c r="H9">
        <v>8</v>
      </c>
      <c r="I9" t="s">
        <v>388</v>
      </c>
      <c r="L9" t="s">
        <v>395</v>
      </c>
    </row>
    <row r="10" spans="1:12" x14ac:dyDescent="0.2">
      <c r="A10" t="s">
        <v>774</v>
      </c>
      <c r="B10" t="s">
        <v>780</v>
      </c>
      <c r="C10" t="s">
        <v>290</v>
      </c>
      <c r="D10" t="s">
        <v>775</v>
      </c>
      <c r="H10">
        <v>9</v>
      </c>
      <c r="I10" t="s">
        <v>387</v>
      </c>
      <c r="L10" t="s">
        <v>396</v>
      </c>
    </row>
    <row r="11" spans="1:12" x14ac:dyDescent="0.2">
      <c r="A11" t="s">
        <v>774</v>
      </c>
      <c r="B11" t="s">
        <v>780</v>
      </c>
      <c r="C11" t="s">
        <v>289</v>
      </c>
      <c r="D11" t="s">
        <v>781</v>
      </c>
      <c r="H11">
        <v>10</v>
      </c>
      <c r="I11" t="s">
        <v>728</v>
      </c>
      <c r="L11" t="s">
        <v>729</v>
      </c>
    </row>
    <row r="12" spans="1:12" x14ac:dyDescent="0.2">
      <c r="C12" s="26" t="s">
        <v>427</v>
      </c>
    </row>
    <row r="13" spans="1:12" x14ac:dyDescent="0.2">
      <c r="A13" t="s">
        <v>774</v>
      </c>
      <c r="B13" t="s">
        <v>776</v>
      </c>
      <c r="C13" t="s">
        <v>326</v>
      </c>
      <c r="D13" t="s">
        <v>775</v>
      </c>
    </row>
    <row r="14" spans="1:12" x14ac:dyDescent="0.2">
      <c r="A14" t="s">
        <v>774</v>
      </c>
      <c r="B14" t="s">
        <v>776</v>
      </c>
      <c r="C14" t="s">
        <v>327</v>
      </c>
      <c r="D14" t="s">
        <v>775</v>
      </c>
    </row>
    <row r="15" spans="1:12" x14ac:dyDescent="0.2">
      <c r="A15" t="s">
        <v>774</v>
      </c>
      <c r="B15" t="s">
        <v>776</v>
      </c>
      <c r="C15" t="s">
        <v>328</v>
      </c>
      <c r="D15" t="s">
        <v>775</v>
      </c>
    </row>
    <row r="16" spans="1:12" x14ac:dyDescent="0.2">
      <c r="A16" t="s">
        <v>774</v>
      </c>
      <c r="B16" t="s">
        <v>776</v>
      </c>
      <c r="C16" t="s">
        <v>714</v>
      </c>
      <c r="D16" t="s">
        <v>775</v>
      </c>
    </row>
    <row r="17" spans="1:4" x14ac:dyDescent="0.2">
      <c r="A17" t="s">
        <v>774</v>
      </c>
      <c r="B17" t="s">
        <v>776</v>
      </c>
      <c r="C17" t="s">
        <v>715</v>
      </c>
      <c r="D17" t="s">
        <v>775</v>
      </c>
    </row>
    <row r="18" spans="1:4" x14ac:dyDescent="0.2">
      <c r="A18" t="s">
        <v>774</v>
      </c>
      <c r="B18" t="s">
        <v>776</v>
      </c>
      <c r="C18" t="s">
        <v>709</v>
      </c>
      <c r="D18" t="s">
        <v>775</v>
      </c>
    </row>
    <row r="19" spans="1:4" x14ac:dyDescent="0.2">
      <c r="A19" t="s">
        <v>774</v>
      </c>
      <c r="B19" t="s">
        <v>776</v>
      </c>
      <c r="C19" t="s">
        <v>707</v>
      </c>
      <c r="D19" t="s">
        <v>775</v>
      </c>
    </row>
    <row r="20" spans="1:4" x14ac:dyDescent="0.2">
      <c r="A20" t="s">
        <v>774</v>
      </c>
      <c r="B20" t="s">
        <v>776</v>
      </c>
      <c r="C20" t="s">
        <v>708</v>
      </c>
      <c r="D20" t="s">
        <v>775</v>
      </c>
    </row>
    <row r="21" spans="1:4" x14ac:dyDescent="0.2">
      <c r="A21" t="s">
        <v>774</v>
      </c>
      <c r="B21" t="s">
        <v>776</v>
      </c>
      <c r="C21" t="s">
        <v>290</v>
      </c>
      <c r="D21" t="s">
        <v>775</v>
      </c>
    </row>
    <row r="22" spans="1:4" x14ac:dyDescent="0.2">
      <c r="A22" t="s">
        <v>774</v>
      </c>
      <c r="B22" t="s">
        <v>776</v>
      </c>
      <c r="C22" t="s">
        <v>289</v>
      </c>
      <c r="D22" t="s">
        <v>781</v>
      </c>
    </row>
    <row r="23" spans="1:4" x14ac:dyDescent="0.2">
      <c r="C23" s="26" t="s">
        <v>779</v>
      </c>
    </row>
    <row r="24" spans="1:4" x14ac:dyDescent="0.2">
      <c r="A24" t="s">
        <v>774</v>
      </c>
      <c r="B24" t="s">
        <v>778</v>
      </c>
      <c r="C24" t="s">
        <v>326</v>
      </c>
      <c r="D24" t="s">
        <v>775</v>
      </c>
    </row>
    <row r="25" spans="1:4" x14ac:dyDescent="0.2">
      <c r="A25" t="s">
        <v>774</v>
      </c>
      <c r="B25" t="s">
        <v>778</v>
      </c>
      <c r="C25" t="s">
        <v>327</v>
      </c>
      <c r="D25" t="s">
        <v>775</v>
      </c>
    </row>
    <row r="26" spans="1:4" x14ac:dyDescent="0.2">
      <c r="A26" t="s">
        <v>774</v>
      </c>
      <c r="B26" t="s">
        <v>778</v>
      </c>
      <c r="C26" t="s">
        <v>328</v>
      </c>
      <c r="D26" t="s">
        <v>775</v>
      </c>
    </row>
    <row r="27" spans="1:4" x14ac:dyDescent="0.2">
      <c r="A27" t="s">
        <v>774</v>
      </c>
      <c r="B27" t="s">
        <v>778</v>
      </c>
      <c r="C27" t="s">
        <v>714</v>
      </c>
      <c r="D27" t="s">
        <v>775</v>
      </c>
    </row>
    <row r="28" spans="1:4" x14ac:dyDescent="0.2">
      <c r="A28" t="s">
        <v>774</v>
      </c>
      <c r="B28" t="s">
        <v>778</v>
      </c>
      <c r="C28" t="s">
        <v>715</v>
      </c>
      <c r="D28" t="s">
        <v>775</v>
      </c>
    </row>
    <row r="29" spans="1:4" x14ac:dyDescent="0.2">
      <c r="A29" t="s">
        <v>774</v>
      </c>
      <c r="B29" t="s">
        <v>778</v>
      </c>
      <c r="C29" t="s">
        <v>709</v>
      </c>
      <c r="D29" t="s">
        <v>775</v>
      </c>
    </row>
    <row r="30" spans="1:4" x14ac:dyDescent="0.2">
      <c r="A30" t="s">
        <v>774</v>
      </c>
      <c r="B30" t="s">
        <v>778</v>
      </c>
      <c r="C30" t="s">
        <v>707</v>
      </c>
      <c r="D30" t="s">
        <v>775</v>
      </c>
    </row>
    <row r="31" spans="1:4" x14ac:dyDescent="0.2">
      <c r="A31" t="s">
        <v>774</v>
      </c>
      <c r="B31" t="s">
        <v>778</v>
      </c>
      <c r="C31" t="s">
        <v>708</v>
      </c>
      <c r="D31" t="s">
        <v>775</v>
      </c>
    </row>
    <row r="32" spans="1:4" x14ac:dyDescent="0.2">
      <c r="A32" t="s">
        <v>774</v>
      </c>
      <c r="B32" t="s">
        <v>778</v>
      </c>
      <c r="C32" t="s">
        <v>290</v>
      </c>
      <c r="D32" t="s">
        <v>775</v>
      </c>
    </row>
    <row r="33" spans="1:16" x14ac:dyDescent="0.2">
      <c r="A33" t="s">
        <v>774</v>
      </c>
      <c r="B33" t="s">
        <v>778</v>
      </c>
      <c r="C33" t="s">
        <v>289</v>
      </c>
      <c r="D33" t="s">
        <v>781</v>
      </c>
    </row>
    <row r="35" spans="1:16" ht="19" x14ac:dyDescent="0.25">
      <c r="E35" s="41" t="s">
        <v>304</v>
      </c>
    </row>
    <row r="36" spans="1:16" x14ac:dyDescent="0.2">
      <c r="E36" s="42" t="s">
        <v>712</v>
      </c>
      <c r="F36" s="42" t="s">
        <v>717</v>
      </c>
    </row>
    <row r="37" spans="1:16" ht="19" x14ac:dyDescent="0.25">
      <c r="E37" s="43" t="s">
        <v>347</v>
      </c>
      <c r="F37" s="43" t="s">
        <v>718</v>
      </c>
      <c r="K37" s="19" t="s">
        <v>298</v>
      </c>
      <c r="O37" t="s">
        <v>422</v>
      </c>
    </row>
    <row r="38" spans="1:16" x14ac:dyDescent="0.2">
      <c r="E38" s="43" t="s">
        <v>710</v>
      </c>
      <c r="F38" s="43" t="s">
        <v>719</v>
      </c>
      <c r="K38" s="25" t="s">
        <v>386</v>
      </c>
      <c r="L38" s="25" t="s">
        <v>392</v>
      </c>
      <c r="N38" t="s">
        <v>397</v>
      </c>
    </row>
    <row r="39" spans="1:16" x14ac:dyDescent="0.2">
      <c r="E39" s="43" t="s">
        <v>711</v>
      </c>
      <c r="F39" s="43" t="s">
        <v>720</v>
      </c>
      <c r="K39" s="3" t="s">
        <v>86</v>
      </c>
      <c r="L39" s="6" t="s">
        <v>370</v>
      </c>
      <c r="N39" t="s">
        <v>87</v>
      </c>
      <c r="O39" t="s">
        <v>373</v>
      </c>
      <c r="P39" t="s">
        <v>206</v>
      </c>
    </row>
    <row r="40" spans="1:16" x14ac:dyDescent="0.2">
      <c r="E40" s="44" t="s">
        <v>189</v>
      </c>
      <c r="F40" s="47" t="s">
        <v>109</v>
      </c>
      <c r="K40" s="3" t="s">
        <v>88</v>
      </c>
      <c r="L40" s="6" t="s">
        <v>20</v>
      </c>
      <c r="N40" t="s">
        <v>87</v>
      </c>
      <c r="O40" t="s">
        <v>286</v>
      </c>
      <c r="P40" t="s">
        <v>206</v>
      </c>
    </row>
    <row r="41" spans="1:16" x14ac:dyDescent="0.2">
      <c r="B41" t="s">
        <v>344</v>
      </c>
      <c r="E41" s="44" t="s">
        <v>47</v>
      </c>
      <c r="F41" s="47" t="s">
        <v>108</v>
      </c>
      <c r="K41" s="3" t="s">
        <v>67</v>
      </c>
      <c r="L41" s="6" t="s">
        <v>21</v>
      </c>
      <c r="N41" t="s">
        <v>87</v>
      </c>
      <c r="O41" t="s">
        <v>287</v>
      </c>
      <c r="P41" t="s">
        <v>206</v>
      </c>
    </row>
    <row r="42" spans="1:16" x14ac:dyDescent="0.2">
      <c r="B42" t="s">
        <v>208</v>
      </c>
      <c r="C42" t="s">
        <v>326</v>
      </c>
      <c r="D42" t="s">
        <v>206</v>
      </c>
      <c r="E42" s="44" t="s">
        <v>48</v>
      </c>
      <c r="F42" s="47" t="s">
        <v>110</v>
      </c>
      <c r="K42" s="3" t="s">
        <v>68</v>
      </c>
      <c r="L42" s="6" t="s">
        <v>22</v>
      </c>
      <c r="N42" t="s">
        <v>87</v>
      </c>
      <c r="O42" t="s">
        <v>288</v>
      </c>
      <c r="P42" t="s">
        <v>206</v>
      </c>
    </row>
    <row r="43" spans="1:16" x14ac:dyDescent="0.2">
      <c r="B43" t="s">
        <v>208</v>
      </c>
      <c r="C43" t="s">
        <v>327</v>
      </c>
      <c r="D43" t="s">
        <v>206</v>
      </c>
      <c r="E43" s="44" t="s">
        <v>49</v>
      </c>
      <c r="F43" s="47" t="s">
        <v>713</v>
      </c>
      <c r="K43" s="3" t="s">
        <v>69</v>
      </c>
      <c r="L43" s="6" t="s">
        <v>372</v>
      </c>
      <c r="N43" t="s">
        <v>87</v>
      </c>
      <c r="O43" t="s">
        <v>374</v>
      </c>
      <c r="P43" t="s">
        <v>206</v>
      </c>
    </row>
    <row r="44" spans="1:16" x14ac:dyDescent="0.2">
      <c r="B44" t="s">
        <v>208</v>
      </c>
      <c r="C44" t="s">
        <v>328</v>
      </c>
      <c r="D44" t="s">
        <v>206</v>
      </c>
      <c r="E44" s="44" t="s">
        <v>50</v>
      </c>
      <c r="F44" s="47" t="s">
        <v>716</v>
      </c>
      <c r="K44" s="3" t="s">
        <v>70</v>
      </c>
      <c r="L44" s="6" t="s">
        <v>691</v>
      </c>
      <c r="N44" t="s">
        <v>87</v>
      </c>
      <c r="O44" t="s">
        <v>44</v>
      </c>
      <c r="P44" t="s">
        <v>206</v>
      </c>
    </row>
    <row r="45" spans="1:16" x14ac:dyDescent="0.2">
      <c r="B45" t="s">
        <v>208</v>
      </c>
      <c r="C45" t="s">
        <v>714</v>
      </c>
      <c r="D45" t="s">
        <v>206</v>
      </c>
      <c r="E45" s="44" t="s">
        <v>51</v>
      </c>
      <c r="F45" s="47" t="s">
        <v>706</v>
      </c>
      <c r="K45" s="3" t="s">
        <v>71</v>
      </c>
      <c r="L45" s="6" t="s">
        <v>692</v>
      </c>
      <c r="N45" t="s">
        <v>87</v>
      </c>
      <c r="O45" t="s">
        <v>44</v>
      </c>
      <c r="P45" t="s">
        <v>206</v>
      </c>
    </row>
    <row r="46" spans="1:16" x14ac:dyDescent="0.2">
      <c r="B46" t="s">
        <v>208</v>
      </c>
      <c r="C46" t="s">
        <v>715</v>
      </c>
      <c r="D46" t="s">
        <v>206</v>
      </c>
      <c r="E46" s="44" t="s">
        <v>52</v>
      </c>
      <c r="F46" s="47" t="s">
        <v>120</v>
      </c>
      <c r="K46" s="3" t="s">
        <v>72</v>
      </c>
      <c r="L46" s="6" t="s">
        <v>693</v>
      </c>
      <c r="N46" t="s">
        <v>87</v>
      </c>
      <c r="O46" t="s">
        <v>44</v>
      </c>
      <c r="P46" t="s">
        <v>206</v>
      </c>
    </row>
    <row r="47" spans="1:16" x14ac:dyDescent="0.2">
      <c r="B47" t="s">
        <v>208</v>
      </c>
      <c r="C47" t="s">
        <v>709</v>
      </c>
      <c r="D47" t="s">
        <v>206</v>
      </c>
      <c r="E47" s="44" t="s">
        <v>53</v>
      </c>
      <c r="F47" s="47" t="s">
        <v>121</v>
      </c>
      <c r="K47" s="3" t="s">
        <v>73</v>
      </c>
      <c r="L47" s="6" t="s">
        <v>694</v>
      </c>
      <c r="N47" t="s">
        <v>87</v>
      </c>
      <c r="O47" t="s">
        <v>44</v>
      </c>
      <c r="P47" t="s">
        <v>206</v>
      </c>
    </row>
    <row r="48" spans="1:16" x14ac:dyDescent="0.2">
      <c r="B48" t="s">
        <v>208</v>
      </c>
      <c r="C48" t="s">
        <v>707</v>
      </c>
      <c r="D48" t="s">
        <v>206</v>
      </c>
      <c r="E48" s="44" t="s">
        <v>54</v>
      </c>
      <c r="F48" s="47" t="s">
        <v>445</v>
      </c>
      <c r="K48" s="3" t="s">
        <v>74</v>
      </c>
      <c r="L48" s="6" t="s">
        <v>13</v>
      </c>
      <c r="N48" t="s">
        <v>87</v>
      </c>
      <c r="O48" t="s">
        <v>44</v>
      </c>
      <c r="P48" t="s">
        <v>206</v>
      </c>
    </row>
    <row r="49" spans="2:16" x14ac:dyDescent="0.2">
      <c r="B49" t="s">
        <v>208</v>
      </c>
      <c r="C49" t="s">
        <v>708</v>
      </c>
      <c r="D49" t="s">
        <v>206</v>
      </c>
      <c r="E49" s="44" t="s">
        <v>55</v>
      </c>
      <c r="F49" s="47" t="s">
        <v>18</v>
      </c>
      <c r="K49" s="3" t="s">
        <v>75</v>
      </c>
      <c r="L49" s="6" t="s">
        <v>29</v>
      </c>
      <c r="N49" t="s">
        <v>87</v>
      </c>
      <c r="O49" t="s">
        <v>290</v>
      </c>
      <c r="P49" t="s">
        <v>206</v>
      </c>
    </row>
    <row r="50" spans="2:16" x14ac:dyDescent="0.2">
      <c r="B50" t="s">
        <v>208</v>
      </c>
      <c r="C50" t="s">
        <v>290</v>
      </c>
      <c r="D50" t="s">
        <v>206</v>
      </c>
      <c r="E50" s="44" t="s">
        <v>1</v>
      </c>
      <c r="F50" s="47"/>
      <c r="K50" s="3" t="s">
        <v>76</v>
      </c>
      <c r="L50" s="6" t="s">
        <v>371</v>
      </c>
      <c r="N50" t="s">
        <v>87</v>
      </c>
      <c r="O50" t="s">
        <v>375</v>
      </c>
      <c r="P50" t="s">
        <v>206</v>
      </c>
    </row>
    <row r="51" spans="2:16" x14ac:dyDescent="0.2">
      <c r="B51" t="s">
        <v>208</v>
      </c>
      <c r="C51" t="s">
        <v>289</v>
      </c>
      <c r="D51" t="s">
        <v>206</v>
      </c>
      <c r="E51" s="44"/>
      <c r="F51" s="47"/>
      <c r="K51" s="3" t="s">
        <v>77</v>
      </c>
      <c r="L51" s="6" t="s">
        <v>31</v>
      </c>
      <c r="N51" t="s">
        <v>87</v>
      </c>
      <c r="O51" t="s">
        <v>291</v>
      </c>
      <c r="P51" t="s">
        <v>206</v>
      </c>
    </row>
    <row r="52" spans="2:16" x14ac:dyDescent="0.2">
      <c r="C52" t="s">
        <v>325</v>
      </c>
      <c r="E52" s="44" t="s">
        <v>1</v>
      </c>
      <c r="F52" s="47"/>
      <c r="K52" s="3" t="s">
        <v>78</v>
      </c>
      <c r="L52" s="6" t="s">
        <v>32</v>
      </c>
      <c r="N52" t="s">
        <v>87</v>
      </c>
      <c r="O52" t="s">
        <v>292</v>
      </c>
      <c r="P52" t="s">
        <v>206</v>
      </c>
    </row>
    <row r="53" spans="2:16" x14ac:dyDescent="0.2">
      <c r="E53" s="44" t="s">
        <v>0</v>
      </c>
      <c r="F53" s="47"/>
      <c r="K53" s="3" t="s">
        <v>79</v>
      </c>
      <c r="L53" s="6" t="s">
        <v>33</v>
      </c>
      <c r="N53" t="s">
        <v>87</v>
      </c>
      <c r="O53" t="s">
        <v>293</v>
      </c>
      <c r="P53" t="s">
        <v>206</v>
      </c>
    </row>
    <row r="54" spans="2:16" x14ac:dyDescent="0.2">
      <c r="E54" s="45" t="s">
        <v>208</v>
      </c>
      <c r="F54" s="47" t="s">
        <v>414</v>
      </c>
      <c r="K54" s="3" t="s">
        <v>80</v>
      </c>
      <c r="L54" s="6" t="s">
        <v>34</v>
      </c>
      <c r="N54" t="s">
        <v>87</v>
      </c>
      <c r="O54" t="s">
        <v>294</v>
      </c>
      <c r="P54" t="s">
        <v>206</v>
      </c>
    </row>
    <row r="55" spans="2:16" x14ac:dyDescent="0.2">
      <c r="E55" s="46" t="s">
        <v>2</v>
      </c>
      <c r="F55" s="48"/>
      <c r="K55" s="3" t="s">
        <v>81</v>
      </c>
      <c r="L55" s="6" t="s">
        <v>13</v>
      </c>
      <c r="N55" t="s">
        <v>87</v>
      </c>
      <c r="O55" t="s">
        <v>44</v>
      </c>
      <c r="P55" t="s">
        <v>206</v>
      </c>
    </row>
    <row r="56" spans="2:16" x14ac:dyDescent="0.2">
      <c r="E56"/>
      <c r="K56" s="3" t="s">
        <v>82</v>
      </c>
      <c r="L56" s="6" t="s">
        <v>13</v>
      </c>
      <c r="N56" t="s">
        <v>87</v>
      </c>
      <c r="O56" t="s">
        <v>44</v>
      </c>
      <c r="P56" t="s">
        <v>206</v>
      </c>
    </row>
    <row r="57" spans="2:16" x14ac:dyDescent="0.2">
      <c r="E57"/>
      <c r="K57" s="3" t="s">
        <v>83</v>
      </c>
      <c r="L57" s="6" t="s">
        <v>13</v>
      </c>
      <c r="N57" t="s">
        <v>87</v>
      </c>
      <c r="O57" t="s">
        <v>44</v>
      </c>
      <c r="P57" t="s">
        <v>206</v>
      </c>
    </row>
    <row r="58" spans="2:16" x14ac:dyDescent="0.2">
      <c r="K58" s="3" t="s">
        <v>84</v>
      </c>
      <c r="L58" s="6" t="s">
        <v>13</v>
      </c>
      <c r="N58" t="s">
        <v>87</v>
      </c>
      <c r="O58" t="s">
        <v>44</v>
      </c>
      <c r="P58" t="s">
        <v>206</v>
      </c>
    </row>
    <row r="59" spans="2:16" x14ac:dyDescent="0.2">
      <c r="K59" s="3" t="s">
        <v>85</v>
      </c>
      <c r="L59" s="6" t="s">
        <v>13</v>
      </c>
      <c r="N59" t="s">
        <v>87</v>
      </c>
      <c r="O59" t="s">
        <v>44</v>
      </c>
      <c r="P59" t="s">
        <v>206</v>
      </c>
    </row>
    <row r="60" spans="2:16" x14ac:dyDescent="0.2">
      <c r="K60" s="3" t="s">
        <v>1</v>
      </c>
      <c r="L60" s="6"/>
      <c r="N60" t="s">
        <v>207</v>
      </c>
    </row>
    <row r="61" spans="2:16" x14ac:dyDescent="0.2">
      <c r="K61" s="3" t="s">
        <v>0</v>
      </c>
      <c r="L61" s="6"/>
      <c r="O61" t="s">
        <v>325</v>
      </c>
    </row>
    <row r="62" spans="2:16" ht="35" customHeight="1" x14ac:dyDescent="0.2">
      <c r="E62"/>
      <c r="K62" s="8" t="s">
        <v>87</v>
      </c>
      <c r="L62" s="3" t="s">
        <v>411</v>
      </c>
    </row>
    <row r="63" spans="2:16" ht="17" thickBot="1" x14ac:dyDescent="0.25">
      <c r="K63" s="4" t="s">
        <v>1</v>
      </c>
      <c r="L63" s="7"/>
    </row>
    <row r="65" spans="2:16" ht="19" x14ac:dyDescent="0.25">
      <c r="C65" t="s">
        <v>428</v>
      </c>
      <c r="E65" s="49" t="s">
        <v>303</v>
      </c>
    </row>
    <row r="66" spans="2:16" x14ac:dyDescent="0.2">
      <c r="B66" t="s">
        <v>305</v>
      </c>
      <c r="E66" s="43" t="s">
        <v>348</v>
      </c>
      <c r="F66" s="38" t="s">
        <v>436</v>
      </c>
    </row>
    <row r="67" spans="2:16" ht="19" x14ac:dyDescent="0.25">
      <c r="B67" t="s">
        <v>208</v>
      </c>
      <c r="C67" t="s">
        <v>439</v>
      </c>
      <c r="D67" t="s">
        <v>206</v>
      </c>
      <c r="E67" s="50" t="s">
        <v>189</v>
      </c>
      <c r="F67" s="39" t="s">
        <v>359</v>
      </c>
      <c r="K67" s="20" t="s">
        <v>299</v>
      </c>
      <c r="O67" t="s">
        <v>423</v>
      </c>
    </row>
    <row r="68" spans="2:16" x14ac:dyDescent="0.2">
      <c r="B68" t="s">
        <v>208</v>
      </c>
      <c r="C68" t="s">
        <v>440</v>
      </c>
      <c r="D68" t="s">
        <v>206</v>
      </c>
      <c r="E68" s="50" t="s">
        <v>47</v>
      </c>
      <c r="F68" s="39" t="s">
        <v>360</v>
      </c>
      <c r="K68" s="25" t="s">
        <v>385</v>
      </c>
      <c r="L68" s="25" t="s">
        <v>393</v>
      </c>
      <c r="N68" t="s">
        <v>415</v>
      </c>
    </row>
    <row r="69" spans="2:16" x14ac:dyDescent="0.2">
      <c r="B69" t="s">
        <v>208</v>
      </c>
      <c r="C69" t="s">
        <v>441</v>
      </c>
      <c r="D69" t="s">
        <v>206</v>
      </c>
      <c r="E69" s="50" t="s">
        <v>48</v>
      </c>
      <c r="F69" s="39" t="s">
        <v>361</v>
      </c>
      <c r="K69" s="3" t="s">
        <v>86</v>
      </c>
      <c r="L69" s="6" t="s">
        <v>376</v>
      </c>
      <c r="N69" t="s">
        <v>87</v>
      </c>
      <c r="O69" t="s">
        <v>398</v>
      </c>
      <c r="P69" t="s">
        <v>206</v>
      </c>
    </row>
    <row r="70" spans="2:16" x14ac:dyDescent="0.2">
      <c r="B70" t="s">
        <v>208</v>
      </c>
      <c r="C70" t="s">
        <v>442</v>
      </c>
      <c r="D70" t="s">
        <v>206</v>
      </c>
      <c r="E70" s="50" t="s">
        <v>49</v>
      </c>
      <c r="F70" s="39" t="s">
        <v>362</v>
      </c>
      <c r="K70" s="3" t="s">
        <v>88</v>
      </c>
      <c r="L70" s="6" t="s">
        <v>377</v>
      </c>
      <c r="N70" t="s">
        <v>87</v>
      </c>
      <c r="O70" t="s">
        <v>399</v>
      </c>
      <c r="P70" t="s">
        <v>206</v>
      </c>
    </row>
    <row r="71" spans="2:16" x14ac:dyDescent="0.2">
      <c r="B71" t="s">
        <v>208</v>
      </c>
      <c r="C71" t="s">
        <v>295</v>
      </c>
      <c r="D71" t="s">
        <v>206</v>
      </c>
      <c r="E71" s="50" t="s">
        <v>50</v>
      </c>
      <c r="F71" s="39" t="s">
        <v>44</v>
      </c>
      <c r="K71" s="3" t="s">
        <v>67</v>
      </c>
      <c r="L71" s="6" t="s">
        <v>378</v>
      </c>
      <c r="N71" t="s">
        <v>87</v>
      </c>
      <c r="O71" t="s">
        <v>400</v>
      </c>
      <c r="P71" t="s">
        <v>206</v>
      </c>
    </row>
    <row r="72" spans="2:16" x14ac:dyDescent="0.2">
      <c r="B72" t="s">
        <v>208</v>
      </c>
      <c r="C72" t="s">
        <v>438</v>
      </c>
      <c r="D72" t="s">
        <v>206</v>
      </c>
      <c r="E72" s="50" t="s">
        <v>51</v>
      </c>
      <c r="F72" s="39" t="s">
        <v>364</v>
      </c>
      <c r="K72" s="3" t="s">
        <v>68</v>
      </c>
      <c r="L72" s="6" t="s">
        <v>379</v>
      </c>
      <c r="N72" t="s">
        <v>87</v>
      </c>
      <c r="O72" t="s">
        <v>401</v>
      </c>
      <c r="P72" t="s">
        <v>206</v>
      </c>
    </row>
    <row r="73" spans="2:16" x14ac:dyDescent="0.2">
      <c r="B73" t="s">
        <v>208</v>
      </c>
      <c r="C73" t="s">
        <v>403</v>
      </c>
      <c r="D73" t="s">
        <v>206</v>
      </c>
      <c r="E73" s="50" t="s">
        <v>52</v>
      </c>
      <c r="F73" s="39" t="s">
        <v>365</v>
      </c>
      <c r="K73" s="3" t="s">
        <v>69</v>
      </c>
      <c r="L73" s="6" t="s">
        <v>380</v>
      </c>
      <c r="N73" t="s">
        <v>87</v>
      </c>
      <c r="O73" t="s">
        <v>295</v>
      </c>
      <c r="P73" t="s">
        <v>206</v>
      </c>
    </row>
    <row r="74" spans="2:16" x14ac:dyDescent="0.2">
      <c r="B74" t="s">
        <v>208</v>
      </c>
      <c r="C74" t="s">
        <v>296</v>
      </c>
      <c r="D74" t="s">
        <v>206</v>
      </c>
      <c r="E74" s="50" t="s">
        <v>53</v>
      </c>
      <c r="F74" s="39" t="s">
        <v>13</v>
      </c>
      <c r="K74" s="3" t="s">
        <v>70</v>
      </c>
      <c r="L74" s="6" t="s">
        <v>381</v>
      </c>
      <c r="N74" t="s">
        <v>87</v>
      </c>
      <c r="O74" t="s">
        <v>402</v>
      </c>
      <c r="P74" t="s">
        <v>206</v>
      </c>
    </row>
    <row r="75" spans="2:16" x14ac:dyDescent="0.2">
      <c r="B75" t="s">
        <v>208</v>
      </c>
      <c r="C75" t="s">
        <v>297</v>
      </c>
      <c r="D75" t="s">
        <v>206</v>
      </c>
      <c r="E75" s="50" t="s">
        <v>54</v>
      </c>
      <c r="F75" s="39" t="s">
        <v>13</v>
      </c>
      <c r="K75" s="3" t="s">
        <v>71</v>
      </c>
      <c r="L75" s="6" t="s">
        <v>382</v>
      </c>
      <c r="N75" t="s">
        <v>87</v>
      </c>
      <c r="O75" t="s">
        <v>403</v>
      </c>
      <c r="P75" t="s">
        <v>206</v>
      </c>
    </row>
    <row r="76" spans="2:16" x14ac:dyDescent="0.2">
      <c r="B76" t="s">
        <v>208</v>
      </c>
      <c r="C76" t="s">
        <v>317</v>
      </c>
      <c r="D76" t="s">
        <v>206</v>
      </c>
      <c r="E76" s="50" t="s">
        <v>55</v>
      </c>
      <c r="F76" s="39" t="s">
        <v>13</v>
      </c>
      <c r="K76" s="3" t="s">
        <v>72</v>
      </c>
      <c r="L76" s="6" t="s">
        <v>44</v>
      </c>
      <c r="N76" t="s">
        <v>87</v>
      </c>
      <c r="O76" t="s">
        <v>215</v>
      </c>
      <c r="P76" t="s">
        <v>206</v>
      </c>
    </row>
    <row r="77" spans="2:16" x14ac:dyDescent="0.2">
      <c r="B77" t="s">
        <v>208</v>
      </c>
      <c r="C77" t="s">
        <v>314</v>
      </c>
      <c r="D77" t="s">
        <v>206</v>
      </c>
      <c r="E77" s="50" t="s">
        <v>56</v>
      </c>
      <c r="F77" s="39" t="s">
        <v>7</v>
      </c>
      <c r="K77" s="3" t="s">
        <v>73</v>
      </c>
      <c r="L77" s="6" t="s">
        <v>44</v>
      </c>
      <c r="N77" t="s">
        <v>87</v>
      </c>
      <c r="O77" t="s">
        <v>216</v>
      </c>
      <c r="P77" t="s">
        <v>206</v>
      </c>
    </row>
    <row r="78" spans="2:16" x14ac:dyDescent="0.2">
      <c r="B78" t="s">
        <v>208</v>
      </c>
      <c r="C78" t="s">
        <v>44</v>
      </c>
      <c r="D78" t="s">
        <v>206</v>
      </c>
      <c r="E78" s="50" t="s">
        <v>57</v>
      </c>
      <c r="F78" s="39" t="s">
        <v>13</v>
      </c>
      <c r="K78" s="3" t="s">
        <v>74</v>
      </c>
      <c r="L78" s="6" t="s">
        <v>44</v>
      </c>
      <c r="N78" t="s">
        <v>87</v>
      </c>
      <c r="O78" t="s">
        <v>217</v>
      </c>
      <c r="P78" t="s">
        <v>206</v>
      </c>
    </row>
    <row r="79" spans="2:16" x14ac:dyDescent="0.2">
      <c r="B79" t="s">
        <v>208</v>
      </c>
      <c r="C79" t="s">
        <v>290</v>
      </c>
      <c r="D79" t="s">
        <v>206</v>
      </c>
      <c r="E79" s="50" t="s">
        <v>58</v>
      </c>
      <c r="F79" s="39" t="s">
        <v>445</v>
      </c>
      <c r="K79" s="3" t="s">
        <v>75</v>
      </c>
      <c r="L79" s="6" t="s">
        <v>383</v>
      </c>
      <c r="N79" t="s">
        <v>87</v>
      </c>
      <c r="O79" t="s">
        <v>357</v>
      </c>
      <c r="P79" t="s">
        <v>206</v>
      </c>
    </row>
    <row r="80" spans="2:16" x14ac:dyDescent="0.2">
      <c r="B80" t="s">
        <v>208</v>
      </c>
      <c r="C80" t="s">
        <v>318</v>
      </c>
      <c r="D80" t="s">
        <v>206</v>
      </c>
      <c r="E80" s="50" t="s">
        <v>59</v>
      </c>
      <c r="F80" s="39" t="s">
        <v>13</v>
      </c>
      <c r="K80" s="3" t="s">
        <v>76</v>
      </c>
      <c r="L80" s="6" t="s">
        <v>44</v>
      </c>
      <c r="N80" t="s">
        <v>87</v>
      </c>
      <c r="O80" t="s">
        <v>219</v>
      </c>
      <c r="P80" t="s">
        <v>206</v>
      </c>
    </row>
    <row r="81" spans="2:16" x14ac:dyDescent="0.2">
      <c r="B81" t="s">
        <v>208</v>
      </c>
      <c r="C81" t="s">
        <v>319</v>
      </c>
      <c r="D81" t="s">
        <v>206</v>
      </c>
      <c r="E81" s="50" t="s">
        <v>60</v>
      </c>
      <c r="F81" s="39" t="s">
        <v>13</v>
      </c>
      <c r="K81" s="3" t="s">
        <v>77</v>
      </c>
      <c r="L81" s="6" t="s">
        <v>29</v>
      </c>
      <c r="N81" t="s">
        <v>87</v>
      </c>
      <c r="O81" t="s">
        <v>290</v>
      </c>
      <c r="P81" t="s">
        <v>206</v>
      </c>
    </row>
    <row r="82" spans="2:16" x14ac:dyDescent="0.2">
      <c r="B82" t="s">
        <v>208</v>
      </c>
      <c r="C82" t="s">
        <v>332</v>
      </c>
      <c r="D82" t="s">
        <v>206</v>
      </c>
      <c r="E82" s="50" t="s">
        <v>61</v>
      </c>
      <c r="F82" s="39" t="s">
        <v>13</v>
      </c>
      <c r="K82" s="3" t="s">
        <v>78</v>
      </c>
      <c r="L82" s="6" t="s">
        <v>44</v>
      </c>
      <c r="N82" t="s">
        <v>87</v>
      </c>
      <c r="O82" t="s">
        <v>221</v>
      </c>
      <c r="P82" t="s">
        <v>206</v>
      </c>
    </row>
    <row r="83" spans="2:16" x14ac:dyDescent="0.2">
      <c r="B83" t="s">
        <v>208</v>
      </c>
      <c r="C83" t="s">
        <v>333</v>
      </c>
      <c r="D83" t="s">
        <v>206</v>
      </c>
      <c r="E83" s="50" t="s">
        <v>62</v>
      </c>
      <c r="F83" s="39" t="s">
        <v>13</v>
      </c>
      <c r="K83" s="3" t="s">
        <v>79</v>
      </c>
      <c r="L83" s="6" t="s">
        <v>44</v>
      </c>
      <c r="N83" t="s">
        <v>87</v>
      </c>
      <c r="O83" t="s">
        <v>222</v>
      </c>
      <c r="P83" t="s">
        <v>206</v>
      </c>
    </row>
    <row r="84" spans="2:16" x14ac:dyDescent="0.2">
      <c r="B84" t="s">
        <v>208</v>
      </c>
      <c r="C84" t="s">
        <v>334</v>
      </c>
      <c r="D84" t="s">
        <v>206</v>
      </c>
      <c r="E84" s="50" t="s">
        <v>63</v>
      </c>
      <c r="F84" s="39" t="s">
        <v>13</v>
      </c>
      <c r="K84" s="3" t="s">
        <v>80</v>
      </c>
      <c r="L84" s="6" t="s">
        <v>44</v>
      </c>
      <c r="N84" t="s">
        <v>87</v>
      </c>
      <c r="O84" t="s">
        <v>223</v>
      </c>
      <c r="P84" t="s">
        <v>206</v>
      </c>
    </row>
    <row r="85" spans="2:16" x14ac:dyDescent="0.2">
      <c r="B85" t="s">
        <v>208</v>
      </c>
      <c r="C85" t="s">
        <v>335</v>
      </c>
      <c r="D85" t="s">
        <v>206</v>
      </c>
      <c r="E85" s="50" t="s">
        <v>64</v>
      </c>
      <c r="F85" s="39" t="s">
        <v>13</v>
      </c>
      <c r="K85" s="3" t="s">
        <v>81</v>
      </c>
      <c r="L85" s="6" t="s">
        <v>44</v>
      </c>
      <c r="N85" t="s">
        <v>87</v>
      </c>
      <c r="O85" t="s">
        <v>224</v>
      </c>
      <c r="P85" t="s">
        <v>206</v>
      </c>
    </row>
    <row r="86" spans="2:16" x14ac:dyDescent="0.2">
      <c r="B86" t="s">
        <v>208</v>
      </c>
      <c r="C86" t="s">
        <v>336</v>
      </c>
      <c r="D86" t="s">
        <v>206</v>
      </c>
      <c r="E86" s="50" t="s">
        <v>65</v>
      </c>
      <c r="F86" s="39" t="s">
        <v>13</v>
      </c>
      <c r="K86" s="3" t="s">
        <v>82</v>
      </c>
      <c r="L86" s="6" t="s">
        <v>44</v>
      </c>
      <c r="N86" t="s">
        <v>87</v>
      </c>
      <c r="O86" t="s">
        <v>225</v>
      </c>
      <c r="P86" t="s">
        <v>206</v>
      </c>
    </row>
    <row r="87" spans="2:16" x14ac:dyDescent="0.2">
      <c r="B87" t="s">
        <v>208</v>
      </c>
      <c r="C87" t="s">
        <v>324</v>
      </c>
      <c r="D87" t="s">
        <v>206</v>
      </c>
      <c r="E87" s="50" t="s">
        <v>66</v>
      </c>
      <c r="F87" s="39" t="s">
        <v>18</v>
      </c>
      <c r="K87" s="3" t="s">
        <v>83</v>
      </c>
      <c r="L87" s="6" t="s">
        <v>44</v>
      </c>
      <c r="N87" t="s">
        <v>87</v>
      </c>
      <c r="O87" t="s">
        <v>226</v>
      </c>
      <c r="P87" t="s">
        <v>206</v>
      </c>
    </row>
    <row r="88" spans="2:16" x14ac:dyDescent="0.2">
      <c r="B88" t="s">
        <v>325</v>
      </c>
      <c r="D88" t="s">
        <v>206</v>
      </c>
      <c r="E88" s="50" t="s">
        <v>1</v>
      </c>
      <c r="F88" s="39"/>
      <c r="K88" s="3" t="s">
        <v>84</v>
      </c>
      <c r="L88" s="6" t="s">
        <v>44</v>
      </c>
      <c r="N88" t="s">
        <v>87</v>
      </c>
      <c r="O88" t="s">
        <v>227</v>
      </c>
      <c r="P88" t="s">
        <v>206</v>
      </c>
    </row>
    <row r="89" spans="2:16" x14ac:dyDescent="0.2">
      <c r="E89" s="50" t="s">
        <v>0</v>
      </c>
      <c r="F89" s="39"/>
      <c r="K89" s="3" t="s">
        <v>85</v>
      </c>
      <c r="L89" s="6" t="s">
        <v>44</v>
      </c>
      <c r="N89" t="s">
        <v>87</v>
      </c>
      <c r="O89" t="s">
        <v>228</v>
      </c>
      <c r="P89" t="s">
        <v>206</v>
      </c>
    </row>
    <row r="90" spans="2:16" x14ac:dyDescent="0.2">
      <c r="E90" s="51" t="s">
        <v>208</v>
      </c>
      <c r="F90" s="39" t="s">
        <v>202</v>
      </c>
      <c r="K90" s="3" t="s">
        <v>1</v>
      </c>
      <c r="L90" s="6"/>
      <c r="N90" t="s">
        <v>207</v>
      </c>
    </row>
    <row r="91" spans="2:16" x14ac:dyDescent="0.2">
      <c r="E91" s="52" t="s">
        <v>2</v>
      </c>
      <c r="F91" s="40"/>
      <c r="K91" s="3" t="s">
        <v>0</v>
      </c>
      <c r="L91" s="6"/>
    </row>
    <row r="92" spans="2:16" ht="29" customHeight="1" x14ac:dyDescent="0.2">
      <c r="K92" s="8" t="s">
        <v>87</v>
      </c>
      <c r="L92" s="3" t="s">
        <v>412</v>
      </c>
    </row>
    <row r="93" spans="2:16" ht="17" thickBot="1" x14ac:dyDescent="0.25">
      <c r="K93" s="4" t="s">
        <v>1</v>
      </c>
      <c r="L93" s="7"/>
    </row>
    <row r="96" spans="2:16" x14ac:dyDescent="0.2">
      <c r="C96" s="12" t="s">
        <v>188</v>
      </c>
      <c r="D96" s="12">
        <v>0</v>
      </c>
      <c r="E96" s="12" t="s">
        <v>138</v>
      </c>
      <c r="F96" s="12" t="s">
        <v>187</v>
      </c>
    </row>
    <row r="97" spans="3:16" x14ac:dyDescent="0.2">
      <c r="C97" s="12" t="s">
        <v>169</v>
      </c>
      <c r="D97" s="12">
        <v>1</v>
      </c>
      <c r="E97" s="12" t="s">
        <v>139</v>
      </c>
      <c r="F97" s="12" t="s">
        <v>126</v>
      </c>
    </row>
    <row r="98" spans="3:16" x14ac:dyDescent="0.2">
      <c r="C98" s="12" t="s">
        <v>169</v>
      </c>
      <c r="D98" s="12">
        <v>2</v>
      </c>
      <c r="E98" s="12" t="s">
        <v>140</v>
      </c>
      <c r="F98" s="12" t="s">
        <v>127</v>
      </c>
    </row>
    <row r="99" spans="3:16" ht="19" x14ac:dyDescent="0.25">
      <c r="C99" s="12" t="s">
        <v>169</v>
      </c>
      <c r="D99" s="12">
        <v>3</v>
      </c>
      <c r="E99" s="12" t="s">
        <v>141</v>
      </c>
      <c r="F99" s="12" t="s">
        <v>128</v>
      </c>
      <c r="K99" s="20" t="s">
        <v>300</v>
      </c>
      <c r="O99" s="26" t="s">
        <v>424</v>
      </c>
    </row>
    <row r="100" spans="3:16" x14ac:dyDescent="0.2">
      <c r="C100" s="12" t="s">
        <v>169</v>
      </c>
      <c r="D100" s="12">
        <v>4</v>
      </c>
      <c r="E100" s="12" t="s">
        <v>142</v>
      </c>
      <c r="F100" s="12" t="s">
        <v>137</v>
      </c>
      <c r="K100" s="25" t="s">
        <v>443</v>
      </c>
      <c r="L100" s="25" t="s">
        <v>394</v>
      </c>
      <c r="N100" t="s">
        <v>416</v>
      </c>
    </row>
    <row r="101" spans="3:16" x14ac:dyDescent="0.2">
      <c r="C101" s="12" t="s">
        <v>169</v>
      </c>
      <c r="D101" s="12">
        <v>5</v>
      </c>
      <c r="E101" s="12" t="s">
        <v>143</v>
      </c>
      <c r="F101" s="12" t="s">
        <v>183</v>
      </c>
      <c r="K101" s="3" t="s">
        <v>86</v>
      </c>
      <c r="L101" s="6" t="s">
        <v>113</v>
      </c>
      <c r="N101" t="s">
        <v>87</v>
      </c>
      <c r="O101" t="s">
        <v>430</v>
      </c>
      <c r="P101" t="s">
        <v>206</v>
      </c>
    </row>
    <row r="102" spans="3:16" x14ac:dyDescent="0.2">
      <c r="C102" s="12" t="s">
        <v>169</v>
      </c>
      <c r="D102" s="12">
        <v>6</v>
      </c>
      <c r="E102" s="12" t="s">
        <v>144</v>
      </c>
      <c r="F102" s="12" t="s">
        <v>184</v>
      </c>
      <c r="K102" s="3" t="s">
        <v>88</v>
      </c>
      <c r="L102" s="6" t="s">
        <v>114</v>
      </c>
      <c r="N102" t="s">
        <v>87</v>
      </c>
      <c r="O102" t="s">
        <v>431</v>
      </c>
      <c r="P102" t="s">
        <v>206</v>
      </c>
    </row>
    <row r="103" spans="3:16" x14ac:dyDescent="0.2">
      <c r="C103" s="12" t="s">
        <v>169</v>
      </c>
      <c r="D103" s="12">
        <v>7</v>
      </c>
      <c r="E103" s="12" t="s">
        <v>145</v>
      </c>
      <c r="F103" s="12" t="s">
        <v>185</v>
      </c>
      <c r="K103" s="3" t="s">
        <v>67</v>
      </c>
      <c r="L103" s="6" t="s">
        <v>115</v>
      </c>
      <c r="N103" t="s">
        <v>87</v>
      </c>
      <c r="O103" t="s">
        <v>432</v>
      </c>
      <c r="P103" t="s">
        <v>206</v>
      </c>
    </row>
    <row r="104" spans="3:16" x14ac:dyDescent="0.2">
      <c r="C104" s="12" t="s">
        <v>169</v>
      </c>
      <c r="D104" s="12">
        <v>8</v>
      </c>
      <c r="E104" s="12" t="s">
        <v>146</v>
      </c>
      <c r="F104" s="12" t="s">
        <v>136</v>
      </c>
      <c r="K104" s="3" t="s">
        <v>68</v>
      </c>
      <c r="L104" s="6" t="s">
        <v>116</v>
      </c>
      <c r="N104" t="s">
        <v>87</v>
      </c>
      <c r="O104" t="s">
        <v>433</v>
      </c>
      <c r="P104" t="s">
        <v>206</v>
      </c>
    </row>
    <row r="105" spans="3:16" x14ac:dyDescent="0.2">
      <c r="C105" s="12" t="s">
        <v>169</v>
      </c>
      <c r="D105" s="12">
        <v>9</v>
      </c>
      <c r="E105" s="12" t="s">
        <v>147</v>
      </c>
      <c r="F105" s="12" t="s">
        <v>129</v>
      </c>
      <c r="K105" s="3" t="s">
        <v>69</v>
      </c>
      <c r="L105" s="6" t="s">
        <v>671</v>
      </c>
      <c r="N105" t="s">
        <v>87</v>
      </c>
      <c r="O105" t="s">
        <v>673</v>
      </c>
      <c r="P105" t="s">
        <v>206</v>
      </c>
    </row>
    <row r="106" spans="3:16" x14ac:dyDescent="0.2">
      <c r="C106" s="12" t="s">
        <v>169</v>
      </c>
      <c r="D106" s="12">
        <v>10</v>
      </c>
      <c r="E106" s="12" t="s">
        <v>148</v>
      </c>
      <c r="F106" s="12" t="s">
        <v>130</v>
      </c>
      <c r="K106" s="3" t="s">
        <v>70</v>
      </c>
      <c r="L106" s="6" t="s">
        <v>672</v>
      </c>
      <c r="N106" t="s">
        <v>87</v>
      </c>
      <c r="O106" t="s">
        <v>674</v>
      </c>
      <c r="P106" t="s">
        <v>206</v>
      </c>
    </row>
    <row r="107" spans="3:16" x14ac:dyDescent="0.2">
      <c r="C107" s="12" t="s">
        <v>169</v>
      </c>
      <c r="D107" s="12">
        <v>11</v>
      </c>
      <c r="E107" s="12" t="s">
        <v>149</v>
      </c>
      <c r="F107" s="12" t="s">
        <v>186</v>
      </c>
      <c r="K107" s="3" t="s">
        <v>71</v>
      </c>
      <c r="L107" s="6" t="s">
        <v>44</v>
      </c>
      <c r="N107" t="s">
        <v>87</v>
      </c>
      <c r="O107" t="s">
        <v>214</v>
      </c>
      <c r="P107" t="s">
        <v>206</v>
      </c>
    </row>
    <row r="108" spans="3:16" x14ac:dyDescent="0.2">
      <c r="C108" s="12" t="s">
        <v>169</v>
      </c>
      <c r="D108" s="12">
        <v>12</v>
      </c>
      <c r="E108" s="12" t="s">
        <v>150</v>
      </c>
      <c r="F108" s="12" t="s">
        <v>131</v>
      </c>
      <c r="K108" s="3" t="s">
        <v>72</v>
      </c>
      <c r="L108" s="6" t="s">
        <v>44</v>
      </c>
      <c r="N108" t="s">
        <v>87</v>
      </c>
      <c r="O108" t="s">
        <v>215</v>
      </c>
      <c r="P108" t="s">
        <v>206</v>
      </c>
    </row>
    <row r="109" spans="3:16" x14ac:dyDescent="0.2">
      <c r="C109" s="12" t="s">
        <v>169</v>
      </c>
      <c r="D109" s="12">
        <v>13</v>
      </c>
      <c r="E109" s="12" t="s">
        <v>151</v>
      </c>
      <c r="F109" s="12" t="s">
        <v>132</v>
      </c>
      <c r="K109" s="3" t="s">
        <v>73</v>
      </c>
      <c r="L109" s="6" t="s">
        <v>44</v>
      </c>
      <c r="N109" t="s">
        <v>87</v>
      </c>
      <c r="O109" t="s">
        <v>216</v>
      </c>
      <c r="P109" t="s">
        <v>206</v>
      </c>
    </row>
    <row r="110" spans="3:16" x14ac:dyDescent="0.2">
      <c r="C110" s="12" t="s">
        <v>169</v>
      </c>
      <c r="D110" s="12">
        <v>14</v>
      </c>
      <c r="E110" s="12" t="s">
        <v>152</v>
      </c>
      <c r="F110" s="12" t="s">
        <v>133</v>
      </c>
      <c r="K110" s="3" t="s">
        <v>74</v>
      </c>
      <c r="L110" s="6" t="s">
        <v>44</v>
      </c>
      <c r="N110" t="s">
        <v>87</v>
      </c>
      <c r="O110" t="s">
        <v>217</v>
      </c>
      <c r="P110" t="s">
        <v>206</v>
      </c>
    </row>
    <row r="111" spans="3:16" x14ac:dyDescent="0.2">
      <c r="C111" s="12" t="s">
        <v>169</v>
      </c>
      <c r="D111" s="12">
        <v>15</v>
      </c>
      <c r="E111" s="12" t="s">
        <v>153</v>
      </c>
      <c r="F111" s="12" t="s">
        <v>134</v>
      </c>
      <c r="K111" s="3" t="s">
        <v>75</v>
      </c>
      <c r="L111" s="6" t="s">
        <v>29</v>
      </c>
      <c r="N111" t="s">
        <v>87</v>
      </c>
      <c r="O111" t="s">
        <v>434</v>
      </c>
      <c r="P111" t="s">
        <v>206</v>
      </c>
    </row>
    <row r="112" spans="3:16" x14ac:dyDescent="0.2">
      <c r="C112" s="12" t="s">
        <v>169</v>
      </c>
      <c r="D112" s="12">
        <v>16</v>
      </c>
      <c r="E112" s="12" t="s">
        <v>166</v>
      </c>
      <c r="F112" s="12" t="s">
        <v>178</v>
      </c>
      <c r="K112" s="3" t="s">
        <v>76</v>
      </c>
      <c r="L112" s="6" t="s">
        <v>44</v>
      </c>
      <c r="N112" t="s">
        <v>87</v>
      </c>
      <c r="O112" t="s">
        <v>219</v>
      </c>
      <c r="P112" t="s">
        <v>206</v>
      </c>
    </row>
    <row r="113" spans="3:16" x14ac:dyDescent="0.2">
      <c r="C113" s="12" t="s">
        <v>169</v>
      </c>
      <c r="D113" s="12">
        <v>17</v>
      </c>
      <c r="E113" s="12" t="s">
        <v>167</v>
      </c>
      <c r="F113" s="12" t="s">
        <v>179</v>
      </c>
      <c r="K113" s="3" t="s">
        <v>77</v>
      </c>
      <c r="L113" s="6" t="s">
        <v>44</v>
      </c>
      <c r="N113" t="s">
        <v>87</v>
      </c>
      <c r="O113" t="s">
        <v>220</v>
      </c>
      <c r="P113" t="s">
        <v>206</v>
      </c>
    </row>
    <row r="114" spans="3:16" x14ac:dyDescent="0.2">
      <c r="C114" s="12" t="s">
        <v>169</v>
      </c>
      <c r="D114" s="12">
        <v>18</v>
      </c>
      <c r="E114" s="12" t="s">
        <v>168</v>
      </c>
      <c r="F114" s="12" t="s">
        <v>180</v>
      </c>
      <c r="K114" s="3" t="s">
        <v>78</v>
      </c>
      <c r="L114" s="6" t="s">
        <v>44</v>
      </c>
      <c r="N114" t="s">
        <v>87</v>
      </c>
      <c r="O114" t="s">
        <v>221</v>
      </c>
      <c r="P114" t="s">
        <v>206</v>
      </c>
    </row>
    <row r="115" spans="3:16" x14ac:dyDescent="0.2">
      <c r="C115" s="12" t="s">
        <v>169</v>
      </c>
      <c r="D115" s="12">
        <v>19</v>
      </c>
      <c r="E115" s="12" t="s">
        <v>154</v>
      </c>
      <c r="F115" s="12" t="s">
        <v>135</v>
      </c>
      <c r="K115" s="3" t="s">
        <v>79</v>
      </c>
      <c r="L115" s="6" t="s">
        <v>44</v>
      </c>
      <c r="N115" t="s">
        <v>87</v>
      </c>
      <c r="O115" t="s">
        <v>222</v>
      </c>
      <c r="P115" t="s">
        <v>206</v>
      </c>
    </row>
    <row r="116" spans="3:16" x14ac:dyDescent="0.2">
      <c r="C116" s="12" t="s">
        <v>169</v>
      </c>
      <c r="D116" s="12">
        <v>20</v>
      </c>
      <c r="E116" s="12" t="s">
        <v>155</v>
      </c>
      <c r="F116" s="12" t="s">
        <v>182</v>
      </c>
      <c r="K116" s="3" t="s">
        <v>80</v>
      </c>
      <c r="L116" s="6" t="s">
        <v>44</v>
      </c>
      <c r="N116" t="s">
        <v>87</v>
      </c>
      <c r="O116" t="s">
        <v>223</v>
      </c>
      <c r="P116" t="s">
        <v>206</v>
      </c>
    </row>
    <row r="117" spans="3:16" x14ac:dyDescent="0.2">
      <c r="C117" s="12" t="s">
        <v>169</v>
      </c>
      <c r="D117" s="12">
        <v>21</v>
      </c>
      <c r="E117" s="12" t="s">
        <v>156</v>
      </c>
      <c r="F117" s="12" t="s">
        <v>181</v>
      </c>
      <c r="K117" s="3" t="s">
        <v>81</v>
      </c>
      <c r="L117" s="6" t="s">
        <v>44</v>
      </c>
      <c r="N117" t="s">
        <v>87</v>
      </c>
      <c r="O117" t="s">
        <v>224</v>
      </c>
      <c r="P117" t="s">
        <v>206</v>
      </c>
    </row>
    <row r="118" spans="3:16" x14ac:dyDescent="0.2">
      <c r="C118" s="12" t="s">
        <v>169</v>
      </c>
      <c r="D118" s="12">
        <v>22</v>
      </c>
      <c r="E118" s="12" t="s">
        <v>157</v>
      </c>
      <c r="F118" s="12" t="s">
        <v>174</v>
      </c>
      <c r="K118" s="3" t="s">
        <v>82</v>
      </c>
      <c r="L118" s="6" t="s">
        <v>44</v>
      </c>
      <c r="N118" t="s">
        <v>87</v>
      </c>
      <c r="O118" t="s">
        <v>225</v>
      </c>
      <c r="P118" t="s">
        <v>206</v>
      </c>
    </row>
    <row r="119" spans="3:16" x14ac:dyDescent="0.2">
      <c r="C119" s="12" t="s">
        <v>169</v>
      </c>
      <c r="D119" s="12">
        <v>23</v>
      </c>
      <c r="E119" s="12" t="s">
        <v>158</v>
      </c>
      <c r="F119" s="12" t="s">
        <v>175</v>
      </c>
      <c r="K119" s="3" t="s">
        <v>83</v>
      </c>
      <c r="L119" s="6" t="s">
        <v>44</v>
      </c>
      <c r="N119" t="s">
        <v>87</v>
      </c>
      <c r="O119" t="s">
        <v>226</v>
      </c>
      <c r="P119" t="s">
        <v>206</v>
      </c>
    </row>
    <row r="120" spans="3:16" x14ac:dyDescent="0.2">
      <c r="C120" s="12" t="s">
        <v>169</v>
      </c>
      <c r="D120" s="12">
        <v>24</v>
      </c>
      <c r="E120" s="12" t="s">
        <v>159</v>
      </c>
      <c r="F120" s="12" t="s">
        <v>176</v>
      </c>
      <c r="K120" s="3" t="s">
        <v>84</v>
      </c>
      <c r="L120" s="6" t="s">
        <v>44</v>
      </c>
      <c r="N120" t="s">
        <v>87</v>
      </c>
      <c r="O120" t="s">
        <v>227</v>
      </c>
      <c r="P120" t="s">
        <v>206</v>
      </c>
    </row>
    <row r="121" spans="3:16" x14ac:dyDescent="0.2">
      <c r="C121" s="12" t="s">
        <v>169</v>
      </c>
      <c r="D121" s="12">
        <v>25</v>
      </c>
      <c r="E121" s="12" t="s">
        <v>160</v>
      </c>
      <c r="F121" s="12" t="s">
        <v>177</v>
      </c>
      <c r="K121" s="3" t="s">
        <v>85</v>
      </c>
      <c r="L121" s="6" t="s">
        <v>44</v>
      </c>
      <c r="N121" t="s">
        <v>87</v>
      </c>
      <c r="O121" t="s">
        <v>228</v>
      </c>
      <c r="P121" t="s">
        <v>206</v>
      </c>
    </row>
    <row r="122" spans="3:16" x14ac:dyDescent="0.2">
      <c r="C122" s="12" t="s">
        <v>169</v>
      </c>
      <c r="D122" s="12">
        <v>26</v>
      </c>
      <c r="E122" s="12" t="s">
        <v>161</v>
      </c>
      <c r="F122" s="12" t="s">
        <v>170</v>
      </c>
      <c r="K122" s="3" t="s">
        <v>1</v>
      </c>
      <c r="L122" s="6"/>
      <c r="N122" t="s">
        <v>207</v>
      </c>
    </row>
    <row r="123" spans="3:16" x14ac:dyDescent="0.2">
      <c r="C123" s="12" t="s">
        <v>169</v>
      </c>
      <c r="D123" s="12">
        <v>27</v>
      </c>
      <c r="E123" s="12" t="s">
        <v>162</v>
      </c>
      <c r="F123" s="12" t="s">
        <v>171</v>
      </c>
      <c r="K123" s="3" t="s">
        <v>0</v>
      </c>
      <c r="L123" s="6"/>
    </row>
    <row r="124" spans="3:16" x14ac:dyDescent="0.2">
      <c r="C124" s="12" t="s">
        <v>169</v>
      </c>
      <c r="D124" s="12">
        <v>28</v>
      </c>
      <c r="E124" s="12" t="s">
        <v>163</v>
      </c>
      <c r="F124" s="12" t="s">
        <v>172</v>
      </c>
      <c r="K124" s="8" t="s">
        <v>87</v>
      </c>
      <c r="L124" s="3" t="s">
        <v>413</v>
      </c>
    </row>
    <row r="125" spans="3:16" ht="17" thickBot="1" x14ac:dyDescent="0.25">
      <c r="C125" s="12" t="s">
        <v>169</v>
      </c>
      <c r="D125" s="12">
        <v>29</v>
      </c>
      <c r="E125" s="12" t="s">
        <v>164</v>
      </c>
      <c r="F125" s="12" t="s">
        <v>173</v>
      </c>
      <c r="K125" s="4" t="s">
        <v>1</v>
      </c>
      <c r="L125" s="7"/>
    </row>
    <row r="126" spans="3:16" x14ac:dyDescent="0.2">
      <c r="C126" s="12" t="s">
        <v>169</v>
      </c>
      <c r="D126" s="12">
        <v>30</v>
      </c>
      <c r="E126" s="12" t="s">
        <v>165</v>
      </c>
      <c r="F126" s="12" t="s">
        <v>136</v>
      </c>
    </row>
    <row r="130" spans="5:16" x14ac:dyDescent="0.2">
      <c r="E130"/>
    </row>
    <row r="131" spans="5:16" x14ac:dyDescent="0.2">
      <c r="E131"/>
    </row>
    <row r="132" spans="5:16" ht="19" x14ac:dyDescent="0.25">
      <c r="E132"/>
      <c r="K132" s="19" t="s">
        <v>301</v>
      </c>
      <c r="O132" t="s">
        <v>425</v>
      </c>
    </row>
    <row r="133" spans="5:16" x14ac:dyDescent="0.2">
      <c r="E133"/>
      <c r="K133" s="25" t="s">
        <v>388</v>
      </c>
      <c r="L133" s="25" t="s">
        <v>395</v>
      </c>
      <c r="N133" t="s">
        <v>417</v>
      </c>
    </row>
    <row r="134" spans="5:16" x14ac:dyDescent="0.2">
      <c r="E134"/>
      <c r="K134" s="3" t="s">
        <v>86</v>
      </c>
      <c r="L134" s="6" t="s">
        <v>35</v>
      </c>
      <c r="N134" t="s">
        <v>208</v>
      </c>
      <c r="O134" t="s">
        <v>266</v>
      </c>
      <c r="P134" t="s">
        <v>206</v>
      </c>
    </row>
    <row r="135" spans="5:16" x14ac:dyDescent="0.2">
      <c r="E135"/>
      <c r="K135" s="3" t="s">
        <v>88</v>
      </c>
      <c r="L135" s="6" t="s">
        <v>36</v>
      </c>
      <c r="N135" t="s">
        <v>208</v>
      </c>
      <c r="O135" t="s">
        <v>267</v>
      </c>
      <c r="P135" t="s">
        <v>206</v>
      </c>
    </row>
    <row r="136" spans="5:16" x14ac:dyDescent="0.2">
      <c r="E136"/>
      <c r="K136" s="3" t="s">
        <v>67</v>
      </c>
      <c r="L136" s="6" t="s">
        <v>37</v>
      </c>
      <c r="N136" t="s">
        <v>208</v>
      </c>
      <c r="O136" t="s">
        <v>268</v>
      </c>
      <c r="P136" t="s">
        <v>206</v>
      </c>
    </row>
    <row r="137" spans="5:16" x14ac:dyDescent="0.2">
      <c r="E137"/>
      <c r="K137" s="3" t="s">
        <v>68</v>
      </c>
      <c r="L137" s="6" t="s">
        <v>41</v>
      </c>
      <c r="N137" t="s">
        <v>208</v>
      </c>
      <c r="O137" t="s">
        <v>269</v>
      </c>
      <c r="P137" t="s">
        <v>206</v>
      </c>
    </row>
    <row r="138" spans="5:16" x14ac:dyDescent="0.2">
      <c r="E138"/>
      <c r="K138" s="3" t="s">
        <v>69</v>
      </c>
      <c r="L138" s="6" t="s">
        <v>38</v>
      </c>
      <c r="N138" t="s">
        <v>208</v>
      </c>
      <c r="O138" t="s">
        <v>270</v>
      </c>
      <c r="P138" t="s">
        <v>206</v>
      </c>
    </row>
    <row r="139" spans="5:16" x14ac:dyDescent="0.2">
      <c r="E139"/>
      <c r="K139" s="3" t="s">
        <v>70</v>
      </c>
      <c r="L139" s="6" t="s">
        <v>39</v>
      </c>
      <c r="N139" t="s">
        <v>208</v>
      </c>
      <c r="O139" t="s">
        <v>271</v>
      </c>
      <c r="P139" t="s">
        <v>206</v>
      </c>
    </row>
    <row r="140" spans="5:16" x14ac:dyDescent="0.2">
      <c r="E140"/>
      <c r="K140" s="3" t="s">
        <v>71</v>
      </c>
      <c r="L140" s="6" t="s">
        <v>40</v>
      </c>
      <c r="N140" t="s">
        <v>208</v>
      </c>
      <c r="O140" t="s">
        <v>272</v>
      </c>
      <c r="P140" t="s">
        <v>206</v>
      </c>
    </row>
    <row r="141" spans="5:16" x14ac:dyDescent="0.2">
      <c r="E141"/>
      <c r="K141" s="3" t="s">
        <v>72</v>
      </c>
      <c r="L141" s="6" t="s">
        <v>42</v>
      </c>
      <c r="N141" t="s">
        <v>208</v>
      </c>
      <c r="O141" t="s">
        <v>273</v>
      </c>
      <c r="P141" t="s">
        <v>206</v>
      </c>
    </row>
    <row r="142" spans="5:16" x14ac:dyDescent="0.2">
      <c r="E142"/>
      <c r="K142" s="3" t="s">
        <v>73</v>
      </c>
      <c r="L142" s="6" t="s">
        <v>100</v>
      </c>
      <c r="N142" t="s">
        <v>208</v>
      </c>
      <c r="O142" t="s">
        <v>274</v>
      </c>
      <c r="P142" t="s">
        <v>206</v>
      </c>
    </row>
    <row r="143" spans="5:16" x14ac:dyDescent="0.2">
      <c r="E143"/>
      <c r="K143" s="3" t="s">
        <v>74</v>
      </c>
      <c r="L143" s="6" t="s">
        <v>101</v>
      </c>
      <c r="N143" t="s">
        <v>208</v>
      </c>
      <c r="O143" t="s">
        <v>275</v>
      </c>
      <c r="P143" t="s">
        <v>206</v>
      </c>
    </row>
    <row r="144" spans="5:16" x14ac:dyDescent="0.2">
      <c r="E144"/>
      <c r="K144" s="3" t="s">
        <v>75</v>
      </c>
      <c r="L144" s="6" t="s">
        <v>102</v>
      </c>
      <c r="N144" t="s">
        <v>208</v>
      </c>
      <c r="O144" t="s">
        <v>276</v>
      </c>
      <c r="P144" t="s">
        <v>206</v>
      </c>
    </row>
    <row r="145" spans="5:16" x14ac:dyDescent="0.2">
      <c r="E145"/>
      <c r="K145" s="3" t="s">
        <v>76</v>
      </c>
      <c r="L145" s="6" t="s">
        <v>103</v>
      </c>
      <c r="N145" t="s">
        <v>208</v>
      </c>
      <c r="O145" t="s">
        <v>277</v>
      </c>
      <c r="P145" t="s">
        <v>206</v>
      </c>
    </row>
    <row r="146" spans="5:16" x14ac:dyDescent="0.2">
      <c r="E146"/>
      <c r="K146" s="3" t="s">
        <v>77</v>
      </c>
      <c r="L146" s="6" t="s">
        <v>104</v>
      </c>
      <c r="N146" t="s">
        <v>208</v>
      </c>
      <c r="O146" t="s">
        <v>278</v>
      </c>
      <c r="P146" t="s">
        <v>206</v>
      </c>
    </row>
    <row r="147" spans="5:16" x14ac:dyDescent="0.2">
      <c r="E147"/>
      <c r="K147" s="3" t="s">
        <v>78</v>
      </c>
      <c r="L147" s="6" t="s">
        <v>107</v>
      </c>
      <c r="N147" t="s">
        <v>208</v>
      </c>
      <c r="O147" t="s">
        <v>279</v>
      </c>
      <c r="P147" t="s">
        <v>206</v>
      </c>
    </row>
    <row r="148" spans="5:16" x14ac:dyDescent="0.2">
      <c r="E148"/>
      <c r="K148" s="3" t="s">
        <v>79</v>
      </c>
      <c r="L148" s="6" t="s">
        <v>106</v>
      </c>
      <c r="N148" t="s">
        <v>208</v>
      </c>
      <c r="O148" t="s">
        <v>280</v>
      </c>
      <c r="P148" t="s">
        <v>206</v>
      </c>
    </row>
    <row r="149" spans="5:16" x14ac:dyDescent="0.2">
      <c r="K149" s="3" t="s">
        <v>80</v>
      </c>
      <c r="L149" s="6" t="s">
        <v>105</v>
      </c>
      <c r="N149" t="s">
        <v>208</v>
      </c>
      <c r="O149" t="s">
        <v>281</v>
      </c>
      <c r="P149" t="s">
        <v>206</v>
      </c>
    </row>
    <row r="150" spans="5:16" x14ac:dyDescent="0.2">
      <c r="K150" s="3" t="s">
        <v>81</v>
      </c>
      <c r="L150" s="6" t="s">
        <v>124</v>
      </c>
      <c r="N150" t="s">
        <v>208</v>
      </c>
      <c r="O150" t="s">
        <v>282</v>
      </c>
      <c r="P150" t="s">
        <v>206</v>
      </c>
    </row>
    <row r="151" spans="5:16" x14ac:dyDescent="0.2">
      <c r="K151" s="3" t="s">
        <v>82</v>
      </c>
      <c r="L151" s="6" t="s">
        <v>125</v>
      </c>
      <c r="N151" t="s">
        <v>208</v>
      </c>
      <c r="O151" t="s">
        <v>283</v>
      </c>
      <c r="P151" t="s">
        <v>206</v>
      </c>
    </row>
    <row r="152" spans="5:16" x14ac:dyDescent="0.2">
      <c r="K152" s="3" t="s">
        <v>83</v>
      </c>
      <c r="L152" s="6" t="s">
        <v>99</v>
      </c>
      <c r="N152" t="s">
        <v>208</v>
      </c>
      <c r="O152" t="s">
        <v>284</v>
      </c>
      <c r="P152" t="s">
        <v>206</v>
      </c>
    </row>
    <row r="153" spans="5:16" x14ac:dyDescent="0.2">
      <c r="K153" s="3" t="s">
        <v>84</v>
      </c>
      <c r="L153" s="6" t="s">
        <v>43</v>
      </c>
      <c r="N153" t="s">
        <v>208</v>
      </c>
      <c r="O153" t="s">
        <v>285</v>
      </c>
      <c r="P153" t="s">
        <v>206</v>
      </c>
    </row>
    <row r="154" spans="5:16" x14ac:dyDescent="0.2">
      <c r="K154" s="3" t="s">
        <v>85</v>
      </c>
      <c r="L154" s="6" t="s">
        <v>44</v>
      </c>
      <c r="N154" t="s">
        <v>208</v>
      </c>
      <c r="O154" t="s">
        <v>44</v>
      </c>
      <c r="P154" t="s">
        <v>206</v>
      </c>
    </row>
    <row r="155" spans="5:16" x14ac:dyDescent="0.2">
      <c r="K155" s="3" t="s">
        <v>1</v>
      </c>
      <c r="L155" s="6"/>
      <c r="N155" t="s">
        <v>207</v>
      </c>
      <c r="P155" t="s">
        <v>206</v>
      </c>
    </row>
    <row r="156" spans="5:16" x14ac:dyDescent="0.2">
      <c r="K156" s="3"/>
      <c r="L156" s="6"/>
    </row>
    <row r="157" spans="5:16" x14ac:dyDescent="0.2">
      <c r="K157" s="3" t="s">
        <v>0</v>
      </c>
      <c r="L157" s="6"/>
    </row>
    <row r="158" spans="5:16" x14ac:dyDescent="0.2">
      <c r="K158" s="8" t="s">
        <v>98</v>
      </c>
      <c r="L158" s="3" t="s">
        <v>420</v>
      </c>
    </row>
    <row r="159" spans="5:16" ht="17" thickBot="1" x14ac:dyDescent="0.25">
      <c r="K159" s="4" t="s">
        <v>1</v>
      </c>
      <c r="L159" s="7"/>
    </row>
    <row r="164" spans="11:16" ht="19" x14ac:dyDescent="0.25">
      <c r="K164" s="19" t="s">
        <v>358</v>
      </c>
      <c r="O164" t="s">
        <v>426</v>
      </c>
    </row>
    <row r="165" spans="11:16" x14ac:dyDescent="0.2">
      <c r="K165" s="25" t="s">
        <v>387</v>
      </c>
      <c r="L165" s="25" t="s">
        <v>396</v>
      </c>
      <c r="N165" t="s">
        <v>418</v>
      </c>
    </row>
    <row r="166" spans="11:16" x14ac:dyDescent="0.2">
      <c r="K166" s="3" t="s">
        <v>86</v>
      </c>
      <c r="L166" s="6" t="s">
        <v>203</v>
      </c>
      <c r="N166" t="s">
        <v>208</v>
      </c>
      <c r="O166" t="s">
        <v>229</v>
      </c>
      <c r="P166" t="s">
        <v>206</v>
      </c>
    </row>
    <row r="167" spans="11:16" x14ac:dyDescent="0.2">
      <c r="K167" s="3" t="s">
        <v>88</v>
      </c>
      <c r="L167" s="6" t="s">
        <v>44</v>
      </c>
      <c r="N167" t="s">
        <v>208</v>
      </c>
      <c r="O167" t="s">
        <v>209</v>
      </c>
      <c r="P167" t="s">
        <v>206</v>
      </c>
    </row>
    <row r="168" spans="11:16" x14ac:dyDescent="0.2">
      <c r="K168" s="3" t="s">
        <v>67</v>
      </c>
      <c r="L168" s="6" t="s">
        <v>44</v>
      </c>
      <c r="N168" t="s">
        <v>208</v>
      </c>
      <c r="O168" t="s">
        <v>210</v>
      </c>
      <c r="P168" t="s">
        <v>206</v>
      </c>
    </row>
    <row r="169" spans="11:16" x14ac:dyDescent="0.2">
      <c r="K169" s="3" t="s">
        <v>68</v>
      </c>
      <c r="L169" s="6" t="s">
        <v>44</v>
      </c>
      <c r="N169" t="s">
        <v>208</v>
      </c>
      <c r="O169" t="s">
        <v>211</v>
      </c>
      <c r="P169" t="s">
        <v>206</v>
      </c>
    </row>
    <row r="170" spans="11:16" x14ac:dyDescent="0.2">
      <c r="K170" s="3" t="s">
        <v>69</v>
      </c>
      <c r="L170" s="6" t="s">
        <v>44</v>
      </c>
      <c r="N170" t="s">
        <v>208</v>
      </c>
      <c r="O170" t="s">
        <v>212</v>
      </c>
      <c r="P170" t="s">
        <v>206</v>
      </c>
    </row>
    <row r="171" spans="11:16" x14ac:dyDescent="0.2">
      <c r="K171" s="3" t="s">
        <v>70</v>
      </c>
      <c r="L171" s="6" t="s">
        <v>44</v>
      </c>
      <c r="N171" t="s">
        <v>208</v>
      </c>
      <c r="O171" t="s">
        <v>213</v>
      </c>
      <c r="P171" t="s">
        <v>206</v>
      </c>
    </row>
    <row r="172" spans="11:16" x14ac:dyDescent="0.2">
      <c r="K172" s="3" t="s">
        <v>71</v>
      </c>
      <c r="L172" s="6" t="s">
        <v>44</v>
      </c>
      <c r="N172" t="s">
        <v>208</v>
      </c>
      <c r="O172" t="s">
        <v>214</v>
      </c>
      <c r="P172" t="s">
        <v>206</v>
      </c>
    </row>
    <row r="173" spans="11:16" x14ac:dyDescent="0.2">
      <c r="K173" s="3" t="s">
        <v>72</v>
      </c>
      <c r="L173" s="6" t="s">
        <v>44</v>
      </c>
      <c r="N173" t="s">
        <v>208</v>
      </c>
      <c r="O173" t="s">
        <v>215</v>
      </c>
      <c r="P173" t="s">
        <v>206</v>
      </c>
    </row>
    <row r="174" spans="11:16" x14ac:dyDescent="0.2">
      <c r="K174" s="3" t="s">
        <v>73</v>
      </c>
      <c r="L174" s="6" t="s">
        <v>44</v>
      </c>
      <c r="N174" t="s">
        <v>208</v>
      </c>
      <c r="O174" t="s">
        <v>216</v>
      </c>
      <c r="P174" t="s">
        <v>206</v>
      </c>
    </row>
    <row r="175" spans="11:16" x14ac:dyDescent="0.2">
      <c r="K175" s="3" t="s">
        <v>74</v>
      </c>
      <c r="L175" s="6" t="s">
        <v>44</v>
      </c>
      <c r="N175" t="s">
        <v>208</v>
      </c>
      <c r="O175" t="s">
        <v>217</v>
      </c>
      <c r="P175" t="s">
        <v>206</v>
      </c>
    </row>
    <row r="176" spans="11:16" x14ac:dyDescent="0.2">
      <c r="K176" s="3" t="s">
        <v>75</v>
      </c>
      <c r="L176" s="6" t="s">
        <v>44</v>
      </c>
      <c r="N176" t="s">
        <v>208</v>
      </c>
      <c r="O176" t="s">
        <v>218</v>
      </c>
      <c r="P176" t="s">
        <v>206</v>
      </c>
    </row>
    <row r="177" spans="11:16" x14ac:dyDescent="0.2">
      <c r="K177" s="3" t="s">
        <v>76</v>
      </c>
      <c r="L177" s="6" t="s">
        <v>44</v>
      </c>
      <c r="N177" t="s">
        <v>208</v>
      </c>
      <c r="O177" t="s">
        <v>219</v>
      </c>
      <c r="P177" t="s">
        <v>206</v>
      </c>
    </row>
    <row r="178" spans="11:16" x14ac:dyDescent="0.2">
      <c r="K178" s="3" t="s">
        <v>77</v>
      </c>
      <c r="L178" s="6" t="s">
        <v>44</v>
      </c>
      <c r="N178" t="s">
        <v>208</v>
      </c>
      <c r="O178" t="s">
        <v>220</v>
      </c>
      <c r="P178" t="s">
        <v>206</v>
      </c>
    </row>
    <row r="179" spans="11:16" x14ac:dyDescent="0.2">
      <c r="K179" s="3" t="s">
        <v>78</v>
      </c>
      <c r="L179" s="6" t="s">
        <v>44</v>
      </c>
      <c r="N179" t="s">
        <v>208</v>
      </c>
      <c r="O179" t="s">
        <v>221</v>
      </c>
      <c r="P179" t="s">
        <v>206</v>
      </c>
    </row>
    <row r="180" spans="11:16" x14ac:dyDescent="0.2">
      <c r="K180" s="3" t="s">
        <v>79</v>
      </c>
      <c r="L180" s="6" t="s">
        <v>44</v>
      </c>
      <c r="N180" t="s">
        <v>208</v>
      </c>
      <c r="O180" t="s">
        <v>222</v>
      </c>
      <c r="P180" t="s">
        <v>206</v>
      </c>
    </row>
    <row r="181" spans="11:16" x14ac:dyDescent="0.2">
      <c r="K181" s="3" t="s">
        <v>80</v>
      </c>
      <c r="L181" s="6" t="s">
        <v>44</v>
      </c>
      <c r="N181" t="s">
        <v>208</v>
      </c>
      <c r="O181" t="s">
        <v>223</v>
      </c>
      <c r="P181" t="s">
        <v>206</v>
      </c>
    </row>
    <row r="182" spans="11:16" x14ac:dyDescent="0.2">
      <c r="K182" s="3" t="s">
        <v>81</v>
      </c>
      <c r="L182" s="6" t="s">
        <v>44</v>
      </c>
      <c r="N182" t="s">
        <v>208</v>
      </c>
      <c r="O182" t="s">
        <v>224</v>
      </c>
      <c r="P182" t="s">
        <v>206</v>
      </c>
    </row>
    <row r="183" spans="11:16" x14ac:dyDescent="0.2">
      <c r="K183" s="3" t="s">
        <v>82</v>
      </c>
      <c r="L183" s="6" t="s">
        <v>44</v>
      </c>
      <c r="N183" t="s">
        <v>208</v>
      </c>
      <c r="O183" t="s">
        <v>225</v>
      </c>
      <c r="P183" t="s">
        <v>206</v>
      </c>
    </row>
    <row r="184" spans="11:16" x14ac:dyDescent="0.2">
      <c r="K184" s="3" t="s">
        <v>83</v>
      </c>
      <c r="L184" s="6" t="s">
        <v>44</v>
      </c>
      <c r="N184" t="s">
        <v>208</v>
      </c>
      <c r="O184" t="s">
        <v>226</v>
      </c>
      <c r="P184" t="s">
        <v>206</v>
      </c>
    </row>
    <row r="185" spans="11:16" x14ac:dyDescent="0.2">
      <c r="K185" s="3" t="s">
        <v>84</v>
      </c>
      <c r="L185" s="6" t="s">
        <v>44</v>
      </c>
      <c r="N185" t="s">
        <v>208</v>
      </c>
      <c r="O185" t="s">
        <v>227</v>
      </c>
      <c r="P185" t="s">
        <v>206</v>
      </c>
    </row>
    <row r="186" spans="11:16" x14ac:dyDescent="0.2">
      <c r="K186" s="3" t="s">
        <v>85</v>
      </c>
      <c r="L186" s="6" t="s">
        <v>44</v>
      </c>
      <c r="N186" t="s">
        <v>208</v>
      </c>
      <c r="O186" t="s">
        <v>228</v>
      </c>
      <c r="P186" t="s">
        <v>206</v>
      </c>
    </row>
    <row r="187" spans="11:16" x14ac:dyDescent="0.2">
      <c r="K187" s="3" t="s">
        <v>204</v>
      </c>
      <c r="L187" s="6" t="s">
        <v>205</v>
      </c>
      <c r="N187" t="s">
        <v>207</v>
      </c>
    </row>
    <row r="188" spans="11:16" x14ac:dyDescent="0.2">
      <c r="K188" s="3" t="s">
        <v>1</v>
      </c>
      <c r="L188" s="6"/>
    </row>
    <row r="189" spans="11:16" x14ac:dyDescent="0.2">
      <c r="K189" s="3" t="s">
        <v>0</v>
      </c>
      <c r="L189" s="6"/>
    </row>
    <row r="190" spans="11:16" x14ac:dyDescent="0.2">
      <c r="K190" s="8" t="s">
        <v>98</v>
      </c>
      <c r="L190" s="3" t="s">
        <v>421</v>
      </c>
    </row>
    <row r="191" spans="11:16" ht="17" thickBot="1" x14ac:dyDescent="0.25">
      <c r="K191" s="4" t="s">
        <v>1</v>
      </c>
      <c r="L191" s="7"/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0F4-70F5-AB41-AC6F-9DED54EAF946}">
  <sheetPr codeName="Sheet5">
    <tabColor theme="0" tint="-0.14999847407452621"/>
  </sheetPr>
  <dimension ref="A1:Z193"/>
  <sheetViews>
    <sheetView zoomScaleNormal="100" workbookViewId="0">
      <selection activeCell="E36" sqref="E36:P57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5" width="2.83203125" customWidth="1"/>
    <col min="6" max="6" width="10.5" customWidth="1"/>
    <col min="7" max="7" width="10.83203125" customWidth="1"/>
    <col min="8" max="8" width="11" customWidth="1"/>
    <col min="9" max="9" width="27.5" style="1" customWidth="1"/>
    <col min="10" max="10" width="4.6640625" style="1" customWidth="1"/>
    <col min="11" max="11" width="38.83203125" customWidth="1"/>
    <col min="12" max="12" width="7.83203125" customWidth="1"/>
    <col min="13" max="13" width="8.6640625" customWidth="1"/>
    <col min="14" max="16" width="9.33203125" customWidth="1"/>
    <col min="21" max="21" width="15.6640625" customWidth="1"/>
    <col min="22" max="22" width="45.33203125" customWidth="1"/>
    <col min="23" max="23" width="9.33203125" customWidth="1"/>
    <col min="24" max="24" width="17.33203125" customWidth="1"/>
    <col min="25" max="25" width="20.83203125" customWidth="1"/>
    <col min="26" max="27" width="3.5" customWidth="1"/>
    <col min="28" max="28" width="22.33203125" customWidth="1"/>
    <col min="29" max="29" width="77.83203125" customWidth="1"/>
    <col min="30" max="30" width="16.5" customWidth="1"/>
    <col min="31" max="31" width="39.5" customWidth="1"/>
  </cols>
  <sheetData>
    <row r="1" spans="1:22" x14ac:dyDescent="0.2">
      <c r="C1" s="26" t="s">
        <v>777</v>
      </c>
      <c r="R1">
        <v>0</v>
      </c>
      <c r="S1" t="s">
        <v>712</v>
      </c>
      <c r="V1" t="s">
        <v>717</v>
      </c>
    </row>
    <row r="2" spans="1:22" x14ac:dyDescent="0.2">
      <c r="A2" t="s">
        <v>774</v>
      </c>
      <c r="B2" t="s">
        <v>780</v>
      </c>
      <c r="C2" t="s">
        <v>326</v>
      </c>
      <c r="D2" t="s">
        <v>775</v>
      </c>
      <c r="R2">
        <v>1</v>
      </c>
      <c r="S2" t="s">
        <v>347</v>
      </c>
      <c r="V2" t="s">
        <v>718</v>
      </c>
    </row>
    <row r="3" spans="1:22" x14ac:dyDescent="0.2">
      <c r="A3" t="s">
        <v>774</v>
      </c>
      <c r="B3" t="s">
        <v>780</v>
      </c>
      <c r="C3" t="s">
        <v>327</v>
      </c>
      <c r="D3" t="s">
        <v>775</v>
      </c>
      <c r="R3">
        <v>2</v>
      </c>
      <c r="S3" t="s">
        <v>710</v>
      </c>
      <c r="V3" t="s">
        <v>719</v>
      </c>
    </row>
    <row r="4" spans="1:22" x14ac:dyDescent="0.2">
      <c r="A4" t="s">
        <v>774</v>
      </c>
      <c r="B4" t="s">
        <v>780</v>
      </c>
      <c r="C4" t="s">
        <v>328</v>
      </c>
      <c r="D4" t="s">
        <v>775</v>
      </c>
      <c r="R4">
        <v>3</v>
      </c>
      <c r="S4" t="s">
        <v>711</v>
      </c>
      <c r="V4" t="s">
        <v>720</v>
      </c>
    </row>
    <row r="5" spans="1:22" x14ac:dyDescent="0.2">
      <c r="A5" t="s">
        <v>774</v>
      </c>
      <c r="B5" t="s">
        <v>780</v>
      </c>
      <c r="C5" t="s">
        <v>714</v>
      </c>
      <c r="D5" t="s">
        <v>775</v>
      </c>
      <c r="R5">
        <v>4</v>
      </c>
      <c r="S5" t="s">
        <v>348</v>
      </c>
      <c r="V5" t="s">
        <v>436</v>
      </c>
    </row>
    <row r="6" spans="1:22" x14ac:dyDescent="0.2">
      <c r="A6" t="s">
        <v>774</v>
      </c>
      <c r="B6" t="s">
        <v>780</v>
      </c>
      <c r="C6" t="s">
        <v>715</v>
      </c>
      <c r="D6" t="s">
        <v>775</v>
      </c>
      <c r="R6">
        <v>5</v>
      </c>
      <c r="S6" t="s">
        <v>386</v>
      </c>
      <c r="V6" t="s">
        <v>392</v>
      </c>
    </row>
    <row r="7" spans="1:22" x14ac:dyDescent="0.2">
      <c r="A7" t="s">
        <v>774</v>
      </c>
      <c r="B7" t="s">
        <v>780</v>
      </c>
      <c r="C7" t="s">
        <v>709</v>
      </c>
      <c r="D7" t="s">
        <v>775</v>
      </c>
      <c r="R7">
        <v>6</v>
      </c>
      <c r="S7" t="s">
        <v>385</v>
      </c>
      <c r="V7" t="s">
        <v>393</v>
      </c>
    </row>
    <row r="8" spans="1:22" x14ac:dyDescent="0.2">
      <c r="A8" t="s">
        <v>774</v>
      </c>
      <c r="B8" t="s">
        <v>780</v>
      </c>
      <c r="C8" t="s">
        <v>707</v>
      </c>
      <c r="D8" t="s">
        <v>775</v>
      </c>
      <c r="R8">
        <v>7</v>
      </c>
      <c r="S8" t="s">
        <v>444</v>
      </c>
      <c r="V8" t="s">
        <v>394</v>
      </c>
    </row>
    <row r="9" spans="1:22" x14ac:dyDescent="0.2">
      <c r="A9" t="s">
        <v>774</v>
      </c>
      <c r="B9" t="s">
        <v>780</v>
      </c>
      <c r="C9" t="s">
        <v>708</v>
      </c>
      <c r="D9" t="s">
        <v>775</v>
      </c>
      <c r="R9">
        <v>8</v>
      </c>
      <c r="S9" t="s">
        <v>388</v>
      </c>
      <c r="V9" t="s">
        <v>395</v>
      </c>
    </row>
    <row r="10" spans="1:22" x14ac:dyDescent="0.2">
      <c r="A10" t="s">
        <v>774</v>
      </c>
      <c r="B10" t="s">
        <v>780</v>
      </c>
      <c r="C10" t="s">
        <v>290</v>
      </c>
      <c r="D10" t="s">
        <v>775</v>
      </c>
      <c r="R10">
        <v>9</v>
      </c>
      <c r="S10" t="s">
        <v>387</v>
      </c>
      <c r="V10" t="s">
        <v>396</v>
      </c>
    </row>
    <row r="11" spans="1:22" x14ac:dyDescent="0.2">
      <c r="A11" t="s">
        <v>774</v>
      </c>
      <c r="B11" t="s">
        <v>780</v>
      </c>
      <c r="C11" t="s">
        <v>289</v>
      </c>
      <c r="D11" t="s">
        <v>781</v>
      </c>
      <c r="R11">
        <v>10</v>
      </c>
      <c r="S11" t="s">
        <v>728</v>
      </c>
      <c r="V11" t="s">
        <v>729</v>
      </c>
    </row>
    <row r="12" spans="1:22" x14ac:dyDescent="0.2">
      <c r="C12" s="26" t="s">
        <v>427</v>
      </c>
    </row>
    <row r="13" spans="1:22" x14ac:dyDescent="0.2">
      <c r="A13" t="s">
        <v>774</v>
      </c>
      <c r="B13" t="s">
        <v>776</v>
      </c>
      <c r="C13" t="s">
        <v>326</v>
      </c>
      <c r="D13" t="s">
        <v>775</v>
      </c>
    </row>
    <row r="14" spans="1:22" x14ac:dyDescent="0.2">
      <c r="A14" t="s">
        <v>774</v>
      </c>
      <c r="B14" t="s">
        <v>776</v>
      </c>
      <c r="C14" t="s">
        <v>327</v>
      </c>
      <c r="D14" t="s">
        <v>775</v>
      </c>
    </row>
    <row r="15" spans="1:22" x14ac:dyDescent="0.2">
      <c r="A15" t="s">
        <v>774</v>
      </c>
      <c r="B15" t="s">
        <v>776</v>
      </c>
      <c r="C15" t="s">
        <v>328</v>
      </c>
      <c r="D15" t="s">
        <v>775</v>
      </c>
    </row>
    <row r="16" spans="1:22" x14ac:dyDescent="0.2">
      <c r="A16" t="s">
        <v>774</v>
      </c>
      <c r="B16" t="s">
        <v>776</v>
      </c>
      <c r="C16" t="s">
        <v>714</v>
      </c>
      <c r="D16" t="s">
        <v>775</v>
      </c>
    </row>
    <row r="17" spans="1:4" x14ac:dyDescent="0.2">
      <c r="A17" t="s">
        <v>774</v>
      </c>
      <c r="B17" t="s">
        <v>776</v>
      </c>
      <c r="C17" t="s">
        <v>715</v>
      </c>
      <c r="D17" t="s">
        <v>775</v>
      </c>
    </row>
    <row r="18" spans="1:4" x14ac:dyDescent="0.2">
      <c r="A18" t="s">
        <v>774</v>
      </c>
      <c r="B18" t="s">
        <v>776</v>
      </c>
      <c r="C18" t="s">
        <v>709</v>
      </c>
      <c r="D18" t="s">
        <v>775</v>
      </c>
    </row>
    <row r="19" spans="1:4" x14ac:dyDescent="0.2">
      <c r="A19" t="s">
        <v>774</v>
      </c>
      <c r="B19" t="s">
        <v>776</v>
      </c>
      <c r="C19" t="s">
        <v>707</v>
      </c>
      <c r="D19" t="s">
        <v>775</v>
      </c>
    </row>
    <row r="20" spans="1:4" x14ac:dyDescent="0.2">
      <c r="A20" t="s">
        <v>774</v>
      </c>
      <c r="B20" t="s">
        <v>776</v>
      </c>
      <c r="C20" t="s">
        <v>708</v>
      </c>
      <c r="D20" t="s">
        <v>775</v>
      </c>
    </row>
    <row r="21" spans="1:4" x14ac:dyDescent="0.2">
      <c r="A21" t="s">
        <v>774</v>
      </c>
      <c r="B21" t="s">
        <v>776</v>
      </c>
      <c r="C21" t="s">
        <v>290</v>
      </c>
      <c r="D21" t="s">
        <v>775</v>
      </c>
    </row>
    <row r="22" spans="1:4" x14ac:dyDescent="0.2">
      <c r="A22" t="s">
        <v>774</v>
      </c>
      <c r="B22" t="s">
        <v>776</v>
      </c>
      <c r="C22" t="s">
        <v>289</v>
      </c>
      <c r="D22" t="s">
        <v>781</v>
      </c>
    </row>
    <row r="23" spans="1:4" x14ac:dyDescent="0.2">
      <c r="C23" s="26" t="s">
        <v>779</v>
      </c>
    </row>
    <row r="24" spans="1:4" x14ac:dyDescent="0.2">
      <c r="A24" t="s">
        <v>774</v>
      </c>
      <c r="B24" t="s">
        <v>778</v>
      </c>
      <c r="C24" t="s">
        <v>326</v>
      </c>
      <c r="D24" t="s">
        <v>775</v>
      </c>
    </row>
    <row r="25" spans="1:4" x14ac:dyDescent="0.2">
      <c r="A25" t="s">
        <v>774</v>
      </c>
      <c r="B25" t="s">
        <v>778</v>
      </c>
      <c r="C25" t="s">
        <v>327</v>
      </c>
      <c r="D25" t="s">
        <v>775</v>
      </c>
    </row>
    <row r="26" spans="1:4" x14ac:dyDescent="0.2">
      <c r="A26" t="s">
        <v>774</v>
      </c>
      <c r="B26" t="s">
        <v>778</v>
      </c>
      <c r="C26" t="s">
        <v>328</v>
      </c>
      <c r="D26" t="s">
        <v>775</v>
      </c>
    </row>
    <row r="27" spans="1:4" x14ac:dyDescent="0.2">
      <c r="A27" t="s">
        <v>774</v>
      </c>
      <c r="B27" t="s">
        <v>778</v>
      </c>
      <c r="C27" t="s">
        <v>714</v>
      </c>
      <c r="D27" t="s">
        <v>775</v>
      </c>
    </row>
    <row r="28" spans="1:4" x14ac:dyDescent="0.2">
      <c r="A28" t="s">
        <v>774</v>
      </c>
      <c r="B28" t="s">
        <v>778</v>
      </c>
      <c r="C28" t="s">
        <v>715</v>
      </c>
      <c r="D28" t="s">
        <v>775</v>
      </c>
    </row>
    <row r="29" spans="1:4" x14ac:dyDescent="0.2">
      <c r="A29" t="s">
        <v>774</v>
      </c>
      <c r="B29" t="s">
        <v>778</v>
      </c>
      <c r="C29" t="s">
        <v>709</v>
      </c>
      <c r="D29" t="s">
        <v>775</v>
      </c>
    </row>
    <row r="30" spans="1:4" x14ac:dyDescent="0.2">
      <c r="A30" t="s">
        <v>774</v>
      </c>
      <c r="B30" t="s">
        <v>778</v>
      </c>
      <c r="C30" t="s">
        <v>707</v>
      </c>
      <c r="D30" t="s">
        <v>775</v>
      </c>
    </row>
    <row r="31" spans="1:4" x14ac:dyDescent="0.2">
      <c r="A31" t="s">
        <v>774</v>
      </c>
      <c r="B31" t="s">
        <v>778</v>
      </c>
      <c r="C31" t="s">
        <v>708</v>
      </c>
      <c r="D31" t="s">
        <v>775</v>
      </c>
    </row>
    <row r="32" spans="1:4" x14ac:dyDescent="0.2">
      <c r="A32" t="s">
        <v>774</v>
      </c>
      <c r="B32" t="s">
        <v>778</v>
      </c>
      <c r="C32" t="s">
        <v>290</v>
      </c>
      <c r="D32" t="s">
        <v>775</v>
      </c>
    </row>
    <row r="33" spans="1:26" x14ac:dyDescent="0.2">
      <c r="A33" t="s">
        <v>774</v>
      </c>
      <c r="B33" t="s">
        <v>778</v>
      </c>
      <c r="C33" t="s">
        <v>289</v>
      </c>
      <c r="D33" t="s">
        <v>781</v>
      </c>
    </row>
    <row r="35" spans="1:26" ht="17" thickBot="1" x14ac:dyDescent="0.25">
      <c r="I35"/>
      <c r="J35"/>
    </row>
    <row r="36" spans="1:26" ht="17" thickBot="1" x14ac:dyDescent="0.25">
      <c r="E36" s="72"/>
      <c r="F36" s="85" t="s">
        <v>789</v>
      </c>
      <c r="G36" s="85"/>
      <c r="H36" s="85"/>
      <c r="I36" s="85"/>
      <c r="J36" s="73"/>
      <c r="K36" s="86" t="s">
        <v>792</v>
      </c>
      <c r="L36" s="74"/>
      <c r="M36" s="74"/>
      <c r="N36" s="86" t="s">
        <v>793</v>
      </c>
      <c r="O36" s="86"/>
      <c r="P36" s="75"/>
    </row>
    <row r="37" spans="1:26" x14ac:dyDescent="0.2">
      <c r="E37" s="76"/>
      <c r="F37" s="8" t="s">
        <v>712</v>
      </c>
      <c r="G37" s="8"/>
      <c r="H37" s="8"/>
      <c r="I37" s="8" t="s">
        <v>791</v>
      </c>
      <c r="J37" s="8"/>
      <c r="K37" s="25" t="s">
        <v>801</v>
      </c>
      <c r="L37" s="74"/>
      <c r="M37" s="25"/>
      <c r="N37" s="25" t="s">
        <v>794</v>
      </c>
      <c r="O37" s="25"/>
      <c r="P37" s="77"/>
    </row>
    <row r="38" spans="1:26" ht="19" x14ac:dyDescent="0.25">
      <c r="E38" s="76"/>
      <c r="F38" s="8" t="s">
        <v>347</v>
      </c>
      <c r="G38" s="8"/>
      <c r="H38" s="8"/>
      <c r="I38" s="8" t="s">
        <v>797</v>
      </c>
      <c r="J38" s="8"/>
      <c r="K38" s="25" t="s">
        <v>802</v>
      </c>
      <c r="L38" s="25"/>
      <c r="M38" s="25"/>
      <c r="N38" s="25" t="s">
        <v>798</v>
      </c>
      <c r="O38" s="25"/>
      <c r="P38" s="77"/>
      <c r="U38" s="19" t="s">
        <v>298</v>
      </c>
      <c r="Y38" t="s">
        <v>422</v>
      </c>
    </row>
    <row r="39" spans="1:26" x14ac:dyDescent="0.2">
      <c r="E39" s="76"/>
      <c r="F39" s="8" t="s">
        <v>710</v>
      </c>
      <c r="G39" s="8"/>
      <c r="H39" s="8"/>
      <c r="I39" s="8" t="s">
        <v>795</v>
      </c>
      <c r="J39" s="8"/>
      <c r="K39" s="25" t="s">
        <v>803</v>
      </c>
      <c r="L39" s="25"/>
      <c r="M39" s="25"/>
      <c r="N39" s="25" t="s">
        <v>799</v>
      </c>
      <c r="O39" s="25"/>
      <c r="P39" s="77"/>
      <c r="U39" s="25" t="s">
        <v>386</v>
      </c>
      <c r="V39" s="25" t="s">
        <v>392</v>
      </c>
      <c r="X39" t="s">
        <v>397</v>
      </c>
    </row>
    <row r="40" spans="1:26" x14ac:dyDescent="0.2">
      <c r="E40" s="76"/>
      <c r="F40" s="8" t="s">
        <v>711</v>
      </c>
      <c r="G40" s="8"/>
      <c r="H40" s="8"/>
      <c r="I40" s="8" t="s">
        <v>796</v>
      </c>
      <c r="J40" s="8"/>
      <c r="K40" s="25" t="s">
        <v>804</v>
      </c>
      <c r="L40" s="25"/>
      <c r="M40" s="25"/>
      <c r="N40" s="25" t="s">
        <v>800</v>
      </c>
      <c r="O40" s="25"/>
      <c r="P40" s="77"/>
      <c r="U40" s="3" t="s">
        <v>86</v>
      </c>
      <c r="V40" s="6" t="s">
        <v>370</v>
      </c>
      <c r="X40" t="s">
        <v>87</v>
      </c>
      <c r="Y40" t="s">
        <v>373</v>
      </c>
      <c r="Z40" t="s">
        <v>206</v>
      </c>
    </row>
    <row r="41" spans="1:26" x14ac:dyDescent="0.2">
      <c r="E41" s="87"/>
      <c r="F41" s="87" t="s">
        <v>784</v>
      </c>
      <c r="G41" s="87" t="s">
        <v>785</v>
      </c>
      <c r="H41" s="87" t="s">
        <v>786</v>
      </c>
      <c r="I41" s="87" t="s">
        <v>787</v>
      </c>
      <c r="J41" s="87"/>
      <c r="K41" s="87" t="s">
        <v>788</v>
      </c>
      <c r="L41" s="87" t="s">
        <v>807</v>
      </c>
      <c r="M41" s="87" t="s">
        <v>808</v>
      </c>
      <c r="N41" s="87"/>
      <c r="O41" s="87"/>
      <c r="P41" s="87"/>
      <c r="U41" s="3"/>
      <c r="V41" s="6"/>
    </row>
    <row r="42" spans="1:26" x14ac:dyDescent="0.2">
      <c r="E42" s="78" t="s">
        <v>0</v>
      </c>
      <c r="F42" s="69">
        <v>0</v>
      </c>
      <c r="G42" s="69" t="s">
        <v>208</v>
      </c>
      <c r="H42" s="69" t="s">
        <v>783</v>
      </c>
      <c r="I42" s="69" t="s">
        <v>326</v>
      </c>
      <c r="J42" s="69" t="s">
        <v>782</v>
      </c>
      <c r="K42" s="70" t="s">
        <v>109</v>
      </c>
      <c r="L42" s="70">
        <v>0</v>
      </c>
      <c r="M42" s="70">
        <v>5000</v>
      </c>
      <c r="N42" s="70"/>
      <c r="O42" s="70"/>
      <c r="P42" s="79"/>
      <c r="U42" s="3" t="s">
        <v>88</v>
      </c>
      <c r="V42" s="6" t="s">
        <v>20</v>
      </c>
      <c r="X42" t="s">
        <v>87</v>
      </c>
      <c r="Y42" t="s">
        <v>286</v>
      </c>
      <c r="Z42" t="s">
        <v>206</v>
      </c>
    </row>
    <row r="43" spans="1:26" x14ac:dyDescent="0.2">
      <c r="B43" t="s">
        <v>344</v>
      </c>
      <c r="E43" s="78" t="s">
        <v>204</v>
      </c>
      <c r="F43" s="69">
        <v>1</v>
      </c>
      <c r="G43" s="69" t="s">
        <v>208</v>
      </c>
      <c r="H43" s="69" t="s">
        <v>783</v>
      </c>
      <c r="I43" s="69" t="s">
        <v>327</v>
      </c>
      <c r="J43" s="69" t="s">
        <v>782</v>
      </c>
      <c r="K43" s="70" t="s">
        <v>108</v>
      </c>
      <c r="L43" s="70">
        <v>0</v>
      </c>
      <c r="M43" s="70">
        <v>10000</v>
      </c>
      <c r="N43" s="70"/>
      <c r="O43" s="70"/>
      <c r="P43" s="79"/>
      <c r="U43" s="3" t="s">
        <v>67</v>
      </c>
      <c r="V43" s="6" t="s">
        <v>21</v>
      </c>
      <c r="X43" t="s">
        <v>87</v>
      </c>
      <c r="Y43" t="s">
        <v>287</v>
      </c>
      <c r="Z43" t="s">
        <v>206</v>
      </c>
    </row>
    <row r="44" spans="1:26" x14ac:dyDescent="0.2">
      <c r="B44" t="s">
        <v>208</v>
      </c>
      <c r="C44" t="s">
        <v>326</v>
      </c>
      <c r="D44" t="s">
        <v>206</v>
      </c>
      <c r="E44" s="78" t="s">
        <v>204</v>
      </c>
      <c r="F44" s="69">
        <v>2</v>
      </c>
      <c r="G44" s="69" t="s">
        <v>208</v>
      </c>
      <c r="H44" s="69" t="s">
        <v>783</v>
      </c>
      <c r="I44" s="69" t="s">
        <v>328</v>
      </c>
      <c r="J44" s="69" t="s">
        <v>782</v>
      </c>
      <c r="K44" s="70" t="s">
        <v>110</v>
      </c>
      <c r="L44" s="70">
        <v>0</v>
      </c>
      <c r="M44" s="70">
        <v>1</v>
      </c>
      <c r="N44" s="70"/>
      <c r="O44" s="70"/>
      <c r="P44" s="79"/>
      <c r="U44" s="3" t="s">
        <v>68</v>
      </c>
      <c r="V44" s="6" t="s">
        <v>22</v>
      </c>
      <c r="X44" t="s">
        <v>87</v>
      </c>
      <c r="Y44" t="s">
        <v>288</v>
      </c>
      <c r="Z44" t="s">
        <v>206</v>
      </c>
    </row>
    <row r="45" spans="1:26" x14ac:dyDescent="0.2">
      <c r="B45" t="s">
        <v>208</v>
      </c>
      <c r="C45" t="s">
        <v>327</v>
      </c>
      <c r="D45" t="s">
        <v>206</v>
      </c>
      <c r="E45" s="78" t="s">
        <v>204</v>
      </c>
      <c r="F45" s="69">
        <v>3</v>
      </c>
      <c r="G45" s="69" t="s">
        <v>208</v>
      </c>
      <c r="H45" s="69" t="s">
        <v>783</v>
      </c>
      <c r="I45" s="69" t="s">
        <v>714</v>
      </c>
      <c r="J45" s="69" t="s">
        <v>782</v>
      </c>
      <c r="K45" s="70" t="s">
        <v>810</v>
      </c>
      <c r="L45" s="70">
        <v>0</v>
      </c>
      <c r="M45" s="70">
        <v>1023</v>
      </c>
      <c r="N45" s="70"/>
      <c r="O45" s="70"/>
      <c r="P45" s="79"/>
      <c r="U45" s="3" t="s">
        <v>69</v>
      </c>
      <c r="V45" s="6" t="s">
        <v>372</v>
      </c>
      <c r="X45" t="s">
        <v>87</v>
      </c>
      <c r="Y45" t="s">
        <v>374</v>
      </c>
      <c r="Z45" t="s">
        <v>206</v>
      </c>
    </row>
    <row r="46" spans="1:26" x14ac:dyDescent="0.2">
      <c r="B46" t="s">
        <v>208</v>
      </c>
      <c r="C46" t="s">
        <v>328</v>
      </c>
      <c r="D46" t="s">
        <v>206</v>
      </c>
      <c r="E46" s="78" t="s">
        <v>204</v>
      </c>
      <c r="F46" s="69">
        <v>4</v>
      </c>
      <c r="G46" s="69" t="s">
        <v>208</v>
      </c>
      <c r="H46" s="69" t="s">
        <v>783</v>
      </c>
      <c r="I46" s="69" t="s">
        <v>715</v>
      </c>
      <c r="J46" s="69" t="s">
        <v>782</v>
      </c>
      <c r="K46" s="70" t="s">
        <v>809</v>
      </c>
      <c r="L46" s="70">
        <v>0</v>
      </c>
      <c r="M46" s="70">
        <v>3</v>
      </c>
      <c r="N46" s="70"/>
      <c r="O46" s="70"/>
      <c r="P46" s="79"/>
      <c r="U46" s="3" t="s">
        <v>70</v>
      </c>
      <c r="V46" s="6" t="s">
        <v>691</v>
      </c>
      <c r="X46" t="s">
        <v>87</v>
      </c>
      <c r="Y46" t="s">
        <v>44</v>
      </c>
      <c r="Z46" t="s">
        <v>206</v>
      </c>
    </row>
    <row r="47" spans="1:26" x14ac:dyDescent="0.2">
      <c r="B47" t="s">
        <v>208</v>
      </c>
      <c r="C47" t="s">
        <v>714</v>
      </c>
      <c r="D47" t="s">
        <v>206</v>
      </c>
      <c r="E47" s="78" t="s">
        <v>204</v>
      </c>
      <c r="F47" s="69">
        <v>5</v>
      </c>
      <c r="G47" s="69" t="s">
        <v>208</v>
      </c>
      <c r="H47" s="69" t="s">
        <v>783</v>
      </c>
      <c r="I47" s="69" t="s">
        <v>709</v>
      </c>
      <c r="J47" s="69" t="s">
        <v>782</v>
      </c>
      <c r="K47" s="70" t="s">
        <v>706</v>
      </c>
      <c r="L47" s="70">
        <v>-32</v>
      </c>
      <c r="M47" s="70">
        <v>150</v>
      </c>
      <c r="N47" s="70"/>
      <c r="O47" s="70"/>
      <c r="P47" s="79"/>
      <c r="U47" s="3" t="s">
        <v>71</v>
      </c>
      <c r="V47" s="6" t="s">
        <v>692</v>
      </c>
      <c r="X47" t="s">
        <v>87</v>
      </c>
      <c r="Y47" t="s">
        <v>44</v>
      </c>
      <c r="Z47" t="s">
        <v>206</v>
      </c>
    </row>
    <row r="48" spans="1:26" x14ac:dyDescent="0.2">
      <c r="B48" t="s">
        <v>208</v>
      </c>
      <c r="C48" t="s">
        <v>715</v>
      </c>
      <c r="D48" t="s">
        <v>206</v>
      </c>
      <c r="E48" s="78" t="s">
        <v>204</v>
      </c>
      <c r="F48" s="69">
        <v>6</v>
      </c>
      <c r="G48" s="69" t="s">
        <v>208</v>
      </c>
      <c r="H48" s="69" t="s">
        <v>783</v>
      </c>
      <c r="I48" s="69" t="s">
        <v>707</v>
      </c>
      <c r="J48" s="69" t="s">
        <v>782</v>
      </c>
      <c r="K48" s="70" t="s">
        <v>120</v>
      </c>
      <c r="L48" s="70"/>
      <c r="M48" s="70"/>
      <c r="N48" s="70"/>
      <c r="O48" s="70"/>
      <c r="P48" s="79"/>
      <c r="U48" s="3" t="s">
        <v>72</v>
      </c>
      <c r="V48" s="6" t="s">
        <v>693</v>
      </c>
      <c r="X48" t="s">
        <v>87</v>
      </c>
      <c r="Y48" t="s">
        <v>44</v>
      </c>
      <c r="Z48" t="s">
        <v>206</v>
      </c>
    </row>
    <row r="49" spans="2:26" x14ac:dyDescent="0.2">
      <c r="B49" t="s">
        <v>208</v>
      </c>
      <c r="C49" t="s">
        <v>709</v>
      </c>
      <c r="D49" t="s">
        <v>206</v>
      </c>
      <c r="E49" s="78" t="s">
        <v>204</v>
      </c>
      <c r="F49" s="69">
        <v>7</v>
      </c>
      <c r="G49" s="69" t="s">
        <v>208</v>
      </c>
      <c r="H49" s="69" t="s">
        <v>783</v>
      </c>
      <c r="I49" s="69" t="s">
        <v>708</v>
      </c>
      <c r="J49" s="69" t="s">
        <v>782</v>
      </c>
      <c r="K49" s="70" t="s">
        <v>121</v>
      </c>
      <c r="L49" s="70"/>
      <c r="M49" s="70"/>
      <c r="N49" s="70"/>
      <c r="O49" s="70"/>
      <c r="P49" s="79"/>
      <c r="U49" s="3" t="s">
        <v>73</v>
      </c>
      <c r="V49" s="6" t="s">
        <v>694</v>
      </c>
      <c r="X49" t="s">
        <v>87</v>
      </c>
      <c r="Y49" t="s">
        <v>44</v>
      </c>
      <c r="Z49" t="s">
        <v>206</v>
      </c>
    </row>
    <row r="50" spans="2:26" x14ac:dyDescent="0.2">
      <c r="B50" t="s">
        <v>208</v>
      </c>
      <c r="C50" t="s">
        <v>707</v>
      </c>
      <c r="D50" t="s">
        <v>206</v>
      </c>
      <c r="E50" s="78" t="s">
        <v>204</v>
      </c>
      <c r="F50" s="69">
        <v>8</v>
      </c>
      <c r="G50" s="69" t="s">
        <v>208</v>
      </c>
      <c r="H50" s="69" t="s">
        <v>783</v>
      </c>
      <c r="I50" s="69" t="s">
        <v>290</v>
      </c>
      <c r="J50" s="69" t="s">
        <v>782</v>
      </c>
      <c r="K50" s="70" t="s">
        <v>445</v>
      </c>
      <c r="L50" s="70">
        <v>0</v>
      </c>
      <c r="M50" s="70">
        <v>28800</v>
      </c>
      <c r="N50" s="70"/>
      <c r="O50" s="70"/>
      <c r="P50" s="79"/>
      <c r="U50" s="3" t="s">
        <v>74</v>
      </c>
      <c r="V50" s="6" t="s">
        <v>13</v>
      </c>
      <c r="X50" t="s">
        <v>87</v>
      </c>
      <c r="Y50" t="s">
        <v>44</v>
      </c>
      <c r="Z50" t="s">
        <v>206</v>
      </c>
    </row>
    <row r="51" spans="2:26" x14ac:dyDescent="0.2">
      <c r="B51" t="s">
        <v>208</v>
      </c>
      <c r="C51" t="s">
        <v>708</v>
      </c>
      <c r="D51" t="s">
        <v>206</v>
      </c>
      <c r="E51" s="78" t="s">
        <v>204</v>
      </c>
      <c r="F51" s="69">
        <v>9</v>
      </c>
      <c r="G51" s="69" t="s">
        <v>208</v>
      </c>
      <c r="H51" s="69" t="s">
        <v>783</v>
      </c>
      <c r="I51" s="69" t="s">
        <v>289</v>
      </c>
      <c r="J51" s="69" t="s">
        <v>782</v>
      </c>
      <c r="K51" s="70" t="s">
        <v>18</v>
      </c>
      <c r="L51" s="70"/>
      <c r="M51" s="70"/>
      <c r="N51" s="70"/>
      <c r="O51" s="70"/>
      <c r="P51" s="79"/>
      <c r="U51" s="3" t="s">
        <v>75</v>
      </c>
      <c r="V51" s="6" t="s">
        <v>29</v>
      </c>
      <c r="X51" t="s">
        <v>87</v>
      </c>
      <c r="Y51" t="s">
        <v>290</v>
      </c>
      <c r="Z51" t="s">
        <v>206</v>
      </c>
    </row>
    <row r="52" spans="2:26" x14ac:dyDescent="0.2">
      <c r="B52" t="s">
        <v>208</v>
      </c>
      <c r="C52" t="s">
        <v>290</v>
      </c>
      <c r="D52" t="s">
        <v>206</v>
      </c>
      <c r="E52" s="78" t="s">
        <v>204</v>
      </c>
      <c r="F52" s="69"/>
      <c r="G52" s="69"/>
      <c r="H52" s="69"/>
      <c r="I52" s="71"/>
      <c r="J52" s="71"/>
      <c r="K52" s="70"/>
      <c r="L52" s="70"/>
      <c r="M52" s="70"/>
      <c r="N52" s="70"/>
      <c r="O52" s="70"/>
      <c r="P52" s="79"/>
      <c r="U52" s="3" t="s">
        <v>76</v>
      </c>
      <c r="V52" s="6" t="s">
        <v>371</v>
      </c>
      <c r="X52" t="s">
        <v>87</v>
      </c>
      <c r="Y52" t="s">
        <v>375</v>
      </c>
      <c r="Z52" t="s">
        <v>206</v>
      </c>
    </row>
    <row r="53" spans="2:26" x14ac:dyDescent="0.2">
      <c r="B53" t="s">
        <v>208</v>
      </c>
      <c r="C53" t="s">
        <v>289</v>
      </c>
      <c r="D53" t="s">
        <v>206</v>
      </c>
      <c r="E53" s="78" t="s">
        <v>204</v>
      </c>
      <c r="F53" s="69"/>
      <c r="G53" s="69"/>
      <c r="H53" s="69"/>
      <c r="I53" s="71"/>
      <c r="J53" s="71"/>
      <c r="K53" s="70"/>
      <c r="L53" s="70"/>
      <c r="M53" s="70"/>
      <c r="N53" s="70"/>
      <c r="O53" s="70"/>
      <c r="P53" s="79"/>
      <c r="U53" s="3" t="s">
        <v>77</v>
      </c>
      <c r="V53" s="6" t="s">
        <v>31</v>
      </c>
      <c r="X53" t="s">
        <v>87</v>
      </c>
      <c r="Y53" t="s">
        <v>291</v>
      </c>
      <c r="Z53" t="s">
        <v>206</v>
      </c>
    </row>
    <row r="54" spans="2:26" x14ac:dyDescent="0.2">
      <c r="C54" t="s">
        <v>325</v>
      </c>
      <c r="E54" s="78" t="s">
        <v>1</v>
      </c>
      <c r="F54" s="69"/>
      <c r="G54" s="69"/>
      <c r="H54" s="69"/>
      <c r="I54" s="71"/>
      <c r="J54" s="71"/>
      <c r="K54" s="70"/>
      <c r="L54" s="70"/>
      <c r="M54" s="70"/>
      <c r="N54" s="70"/>
      <c r="O54" s="70"/>
      <c r="P54" s="79"/>
      <c r="U54" s="3" t="s">
        <v>78</v>
      </c>
      <c r="V54" s="6" t="s">
        <v>32</v>
      </c>
      <c r="X54" t="s">
        <v>87</v>
      </c>
      <c r="Y54" t="s">
        <v>292</v>
      </c>
      <c r="Z54" t="s">
        <v>206</v>
      </c>
    </row>
    <row r="55" spans="2:26" ht="119" x14ac:dyDescent="0.2">
      <c r="E55" s="76"/>
      <c r="F55" s="8"/>
      <c r="G55" s="8"/>
      <c r="H55" s="8"/>
      <c r="I55" s="88" t="s">
        <v>806</v>
      </c>
      <c r="J55" s="44"/>
      <c r="K55" s="88" t="s">
        <v>805</v>
      </c>
      <c r="L55" s="63"/>
      <c r="M55" s="63"/>
      <c r="N55" s="63"/>
      <c r="O55" s="63"/>
      <c r="P55" s="6"/>
      <c r="U55" s="3" t="s">
        <v>79</v>
      </c>
      <c r="V55" s="6" t="s">
        <v>33</v>
      </c>
      <c r="X55" t="s">
        <v>87</v>
      </c>
      <c r="Y55" t="s">
        <v>293</v>
      </c>
      <c r="Z55" t="s">
        <v>206</v>
      </c>
    </row>
    <row r="56" spans="2:26" x14ac:dyDescent="0.2">
      <c r="E56" s="76"/>
      <c r="F56" s="8"/>
      <c r="G56" s="8"/>
      <c r="H56" s="8"/>
      <c r="I56" s="45"/>
      <c r="J56" s="45"/>
      <c r="K56" s="47"/>
      <c r="L56" s="63"/>
      <c r="M56" s="63"/>
      <c r="N56" s="63"/>
      <c r="O56" s="63"/>
      <c r="P56" s="6"/>
      <c r="U56" s="3" t="s">
        <v>80</v>
      </c>
      <c r="V56" s="6" t="s">
        <v>34</v>
      </c>
      <c r="X56" t="s">
        <v>87</v>
      </c>
      <c r="Y56" t="s">
        <v>294</v>
      </c>
      <c r="Z56" t="s">
        <v>206</v>
      </c>
    </row>
    <row r="57" spans="2:26" ht="17" thickBot="1" x14ac:dyDescent="0.25">
      <c r="E57" s="80"/>
      <c r="F57" s="81"/>
      <c r="G57" s="81"/>
      <c r="H57" s="81"/>
      <c r="I57" s="82"/>
      <c r="J57" s="82"/>
      <c r="K57" s="83"/>
      <c r="L57" s="84"/>
      <c r="M57" s="84"/>
      <c r="N57" s="84"/>
      <c r="O57" s="84"/>
      <c r="P57" s="7"/>
      <c r="U57" s="3" t="s">
        <v>81</v>
      </c>
      <c r="V57" s="6" t="s">
        <v>13</v>
      </c>
      <c r="X57" t="s">
        <v>87</v>
      </c>
      <c r="Y57" t="s">
        <v>44</v>
      </c>
      <c r="Z57" t="s">
        <v>206</v>
      </c>
    </row>
    <row r="58" spans="2:26" x14ac:dyDescent="0.2">
      <c r="I58"/>
      <c r="J58"/>
      <c r="U58" s="3" t="s">
        <v>82</v>
      </c>
      <c r="V58" s="6" t="s">
        <v>13</v>
      </c>
      <c r="X58" t="s">
        <v>87</v>
      </c>
      <c r="Y58" t="s">
        <v>44</v>
      </c>
      <c r="Z58" t="s">
        <v>206</v>
      </c>
    </row>
    <row r="59" spans="2:26" x14ac:dyDescent="0.2">
      <c r="I59"/>
      <c r="J59"/>
      <c r="U59" s="3" t="s">
        <v>83</v>
      </c>
      <c r="V59" s="6" t="s">
        <v>13</v>
      </c>
      <c r="X59" t="s">
        <v>87</v>
      </c>
      <c r="Y59" t="s">
        <v>44</v>
      </c>
      <c r="Z59" t="s">
        <v>206</v>
      </c>
    </row>
    <row r="60" spans="2:26" x14ac:dyDescent="0.2">
      <c r="U60" s="3" t="s">
        <v>84</v>
      </c>
      <c r="V60" s="6" t="s">
        <v>13</v>
      </c>
      <c r="X60" t="s">
        <v>87</v>
      </c>
      <c r="Y60" t="s">
        <v>44</v>
      </c>
      <c r="Z60" t="s">
        <v>206</v>
      </c>
    </row>
    <row r="61" spans="2:26" x14ac:dyDescent="0.2">
      <c r="U61" s="3" t="s">
        <v>85</v>
      </c>
      <c r="V61" s="6" t="s">
        <v>13</v>
      </c>
      <c r="X61" t="s">
        <v>87</v>
      </c>
      <c r="Y61" t="s">
        <v>44</v>
      </c>
      <c r="Z61" t="s">
        <v>206</v>
      </c>
    </row>
    <row r="62" spans="2:26" x14ac:dyDescent="0.2">
      <c r="U62" s="3" t="s">
        <v>1</v>
      </c>
      <c r="V62" s="6"/>
      <c r="X62" t="s">
        <v>207</v>
      </c>
    </row>
    <row r="63" spans="2:26" x14ac:dyDescent="0.2">
      <c r="U63" s="3" t="s">
        <v>0</v>
      </c>
      <c r="V63" s="6"/>
      <c r="Y63" t="s">
        <v>325</v>
      </c>
    </row>
    <row r="64" spans="2:26" ht="35" customHeight="1" x14ac:dyDescent="0.2">
      <c r="I64"/>
      <c r="J64"/>
      <c r="U64" s="8" t="s">
        <v>87</v>
      </c>
      <c r="V64" s="3" t="s">
        <v>411</v>
      </c>
    </row>
    <row r="65" spans="2:26" ht="17" thickBot="1" x14ac:dyDescent="0.25">
      <c r="U65" s="4" t="s">
        <v>1</v>
      </c>
      <c r="V65" s="7"/>
    </row>
    <row r="67" spans="2:26" ht="19" x14ac:dyDescent="0.25">
      <c r="C67" t="s">
        <v>428</v>
      </c>
      <c r="I67" s="49" t="s">
        <v>303</v>
      </c>
      <c r="J67" s="64"/>
    </row>
    <row r="68" spans="2:26" x14ac:dyDescent="0.2">
      <c r="B68" t="s">
        <v>305</v>
      </c>
      <c r="I68" s="43" t="s">
        <v>348</v>
      </c>
      <c r="J68" s="65"/>
      <c r="K68" s="38" t="s">
        <v>436</v>
      </c>
      <c r="L68" s="25"/>
      <c r="M68" s="25"/>
      <c r="N68" s="25"/>
      <c r="O68" s="25"/>
      <c r="P68" s="25"/>
    </row>
    <row r="69" spans="2:26" ht="19" x14ac:dyDescent="0.25">
      <c r="B69" t="s">
        <v>208</v>
      </c>
      <c r="C69" t="s">
        <v>439</v>
      </c>
      <c r="D69" t="s">
        <v>206</v>
      </c>
      <c r="I69" s="50" t="s">
        <v>189</v>
      </c>
      <c r="J69" s="66"/>
      <c r="K69" s="39" t="s">
        <v>359</v>
      </c>
      <c r="L69" s="63"/>
      <c r="M69" s="63"/>
      <c r="N69" s="63"/>
      <c r="O69" s="63"/>
      <c r="P69" s="63"/>
      <c r="U69" s="20" t="s">
        <v>299</v>
      </c>
      <c r="Y69" t="s">
        <v>423</v>
      </c>
    </row>
    <row r="70" spans="2:26" x14ac:dyDescent="0.2">
      <c r="B70" t="s">
        <v>208</v>
      </c>
      <c r="C70" t="s">
        <v>440</v>
      </c>
      <c r="D70" t="s">
        <v>206</v>
      </c>
      <c r="I70" s="50" t="s">
        <v>47</v>
      </c>
      <c r="J70" s="66"/>
      <c r="K70" s="39" t="s">
        <v>360</v>
      </c>
      <c r="L70" s="63"/>
      <c r="M70" s="63"/>
      <c r="N70" s="63"/>
      <c r="O70" s="63"/>
      <c r="P70" s="63"/>
      <c r="U70" s="25" t="s">
        <v>385</v>
      </c>
      <c r="V70" s="25" t="s">
        <v>393</v>
      </c>
      <c r="X70" t="s">
        <v>415</v>
      </c>
    </row>
    <row r="71" spans="2:26" x14ac:dyDescent="0.2">
      <c r="B71" t="s">
        <v>208</v>
      </c>
      <c r="C71" t="s">
        <v>441</v>
      </c>
      <c r="D71" t="s">
        <v>206</v>
      </c>
      <c r="I71" s="50" t="s">
        <v>48</v>
      </c>
      <c r="J71" s="66"/>
      <c r="K71" s="39" t="s">
        <v>361</v>
      </c>
      <c r="L71" s="63"/>
      <c r="M71" s="63"/>
      <c r="N71" s="63"/>
      <c r="O71" s="63"/>
      <c r="P71" s="63"/>
      <c r="U71" s="3" t="s">
        <v>86</v>
      </c>
      <c r="V71" s="6" t="s">
        <v>376</v>
      </c>
      <c r="X71" t="s">
        <v>87</v>
      </c>
      <c r="Y71" t="s">
        <v>398</v>
      </c>
      <c r="Z71" t="s">
        <v>206</v>
      </c>
    </row>
    <row r="72" spans="2:26" x14ac:dyDescent="0.2">
      <c r="B72" t="s">
        <v>208</v>
      </c>
      <c r="C72" t="s">
        <v>442</v>
      </c>
      <c r="D72" t="s">
        <v>206</v>
      </c>
      <c r="I72" s="50" t="s">
        <v>49</v>
      </c>
      <c r="J72" s="66"/>
      <c r="K72" s="39" t="s">
        <v>362</v>
      </c>
      <c r="L72" s="63"/>
      <c r="M72" s="63"/>
      <c r="N72" s="63"/>
      <c r="O72" s="63"/>
      <c r="P72" s="63"/>
      <c r="U72" s="3" t="s">
        <v>88</v>
      </c>
      <c r="V72" s="6" t="s">
        <v>377</v>
      </c>
      <c r="X72" t="s">
        <v>87</v>
      </c>
      <c r="Y72" t="s">
        <v>399</v>
      </c>
      <c r="Z72" t="s">
        <v>206</v>
      </c>
    </row>
    <row r="73" spans="2:26" x14ac:dyDescent="0.2">
      <c r="B73" t="s">
        <v>208</v>
      </c>
      <c r="C73" t="s">
        <v>295</v>
      </c>
      <c r="D73" t="s">
        <v>206</v>
      </c>
      <c r="I73" s="50" t="s">
        <v>50</v>
      </c>
      <c r="J73" s="66"/>
      <c r="K73" s="39" t="s">
        <v>44</v>
      </c>
      <c r="L73" s="63"/>
      <c r="M73" s="63"/>
      <c r="N73" s="63"/>
      <c r="O73" s="63"/>
      <c r="P73" s="63"/>
      <c r="U73" s="3" t="s">
        <v>67</v>
      </c>
      <c r="V73" s="6" t="s">
        <v>378</v>
      </c>
      <c r="X73" t="s">
        <v>87</v>
      </c>
      <c r="Y73" t="s">
        <v>400</v>
      </c>
      <c r="Z73" t="s">
        <v>206</v>
      </c>
    </row>
    <row r="74" spans="2:26" x14ac:dyDescent="0.2">
      <c r="B74" t="s">
        <v>208</v>
      </c>
      <c r="C74" t="s">
        <v>438</v>
      </c>
      <c r="D74" t="s">
        <v>206</v>
      </c>
      <c r="I74" s="50" t="s">
        <v>51</v>
      </c>
      <c r="J74" s="66"/>
      <c r="K74" s="39" t="s">
        <v>364</v>
      </c>
      <c r="L74" s="63"/>
      <c r="M74" s="63"/>
      <c r="N74" s="63"/>
      <c r="O74" s="63"/>
      <c r="P74" s="63"/>
      <c r="U74" s="3" t="s">
        <v>68</v>
      </c>
      <c r="V74" s="6" t="s">
        <v>379</v>
      </c>
      <c r="X74" t="s">
        <v>87</v>
      </c>
      <c r="Y74" t="s">
        <v>401</v>
      </c>
      <c r="Z74" t="s">
        <v>206</v>
      </c>
    </row>
    <row r="75" spans="2:26" x14ac:dyDescent="0.2">
      <c r="B75" t="s">
        <v>208</v>
      </c>
      <c r="C75" t="s">
        <v>403</v>
      </c>
      <c r="D75" t="s">
        <v>206</v>
      </c>
      <c r="I75" s="50" t="s">
        <v>52</v>
      </c>
      <c r="J75" s="66"/>
      <c r="K75" s="39" t="s">
        <v>365</v>
      </c>
      <c r="L75" s="63"/>
      <c r="M75" s="63"/>
      <c r="N75" s="63"/>
      <c r="O75" s="63"/>
      <c r="P75" s="63"/>
      <c r="U75" s="3" t="s">
        <v>69</v>
      </c>
      <c r="V75" s="6" t="s">
        <v>380</v>
      </c>
      <c r="X75" t="s">
        <v>87</v>
      </c>
      <c r="Y75" t="s">
        <v>295</v>
      </c>
      <c r="Z75" t="s">
        <v>206</v>
      </c>
    </row>
    <row r="76" spans="2:26" x14ac:dyDescent="0.2">
      <c r="B76" t="s">
        <v>208</v>
      </c>
      <c r="C76" t="s">
        <v>296</v>
      </c>
      <c r="D76" t="s">
        <v>206</v>
      </c>
      <c r="I76" s="50" t="s">
        <v>53</v>
      </c>
      <c r="J76" s="66"/>
      <c r="K76" s="39" t="s">
        <v>13</v>
      </c>
      <c r="L76" s="63"/>
      <c r="M76" s="63"/>
      <c r="N76" s="63"/>
      <c r="O76" s="63"/>
      <c r="P76" s="63"/>
      <c r="U76" s="3" t="s">
        <v>70</v>
      </c>
      <c r="V76" s="6" t="s">
        <v>381</v>
      </c>
      <c r="X76" t="s">
        <v>87</v>
      </c>
      <c r="Y76" t="s">
        <v>402</v>
      </c>
      <c r="Z76" t="s">
        <v>206</v>
      </c>
    </row>
    <row r="77" spans="2:26" x14ac:dyDescent="0.2">
      <c r="B77" t="s">
        <v>208</v>
      </c>
      <c r="C77" t="s">
        <v>297</v>
      </c>
      <c r="D77" t="s">
        <v>206</v>
      </c>
      <c r="I77" s="50" t="s">
        <v>54</v>
      </c>
      <c r="J77" s="66"/>
      <c r="K77" s="39" t="s">
        <v>13</v>
      </c>
      <c r="L77" s="63"/>
      <c r="M77" s="63"/>
      <c r="N77" s="63"/>
      <c r="O77" s="63"/>
      <c r="P77" s="63"/>
      <c r="U77" s="3" t="s">
        <v>71</v>
      </c>
      <c r="V77" s="6" t="s">
        <v>382</v>
      </c>
      <c r="X77" t="s">
        <v>87</v>
      </c>
      <c r="Y77" t="s">
        <v>403</v>
      </c>
      <c r="Z77" t="s">
        <v>206</v>
      </c>
    </row>
    <row r="78" spans="2:26" x14ac:dyDescent="0.2">
      <c r="B78" t="s">
        <v>208</v>
      </c>
      <c r="C78" t="s">
        <v>317</v>
      </c>
      <c r="D78" t="s">
        <v>206</v>
      </c>
      <c r="I78" s="50" t="s">
        <v>55</v>
      </c>
      <c r="J78" s="66"/>
      <c r="K78" s="39" t="s">
        <v>13</v>
      </c>
      <c r="L78" s="63"/>
      <c r="M78" s="63"/>
      <c r="N78" s="63"/>
      <c r="O78" s="63"/>
      <c r="P78" s="63"/>
      <c r="U78" s="3" t="s">
        <v>72</v>
      </c>
      <c r="V78" s="6" t="s">
        <v>44</v>
      </c>
      <c r="X78" t="s">
        <v>87</v>
      </c>
      <c r="Y78" t="s">
        <v>215</v>
      </c>
      <c r="Z78" t="s">
        <v>206</v>
      </c>
    </row>
    <row r="79" spans="2:26" x14ac:dyDescent="0.2">
      <c r="B79" t="s">
        <v>208</v>
      </c>
      <c r="C79" t="s">
        <v>314</v>
      </c>
      <c r="D79" t="s">
        <v>206</v>
      </c>
      <c r="I79" s="50" t="s">
        <v>56</v>
      </c>
      <c r="J79" s="66"/>
      <c r="K79" s="39" t="s">
        <v>7</v>
      </c>
      <c r="L79" s="63"/>
      <c r="M79" s="63"/>
      <c r="N79" s="63"/>
      <c r="O79" s="63"/>
      <c r="P79" s="63"/>
      <c r="U79" s="3" t="s">
        <v>73</v>
      </c>
      <c r="V79" s="6" t="s">
        <v>44</v>
      </c>
      <c r="X79" t="s">
        <v>87</v>
      </c>
      <c r="Y79" t="s">
        <v>216</v>
      </c>
      <c r="Z79" t="s">
        <v>206</v>
      </c>
    </row>
    <row r="80" spans="2:26" x14ac:dyDescent="0.2">
      <c r="B80" t="s">
        <v>208</v>
      </c>
      <c r="C80" t="s">
        <v>44</v>
      </c>
      <c r="D80" t="s">
        <v>206</v>
      </c>
      <c r="I80" s="50" t="s">
        <v>57</v>
      </c>
      <c r="J80" s="66"/>
      <c r="K80" s="39" t="s">
        <v>13</v>
      </c>
      <c r="L80" s="63"/>
      <c r="M80" s="63"/>
      <c r="N80" s="63"/>
      <c r="O80" s="63"/>
      <c r="P80" s="63"/>
      <c r="U80" s="3" t="s">
        <v>74</v>
      </c>
      <c r="V80" s="6" t="s">
        <v>44</v>
      </c>
      <c r="X80" t="s">
        <v>87</v>
      </c>
      <c r="Y80" t="s">
        <v>217</v>
      </c>
      <c r="Z80" t="s">
        <v>206</v>
      </c>
    </row>
    <row r="81" spans="2:26" x14ac:dyDescent="0.2">
      <c r="B81" t="s">
        <v>208</v>
      </c>
      <c r="C81" t="s">
        <v>290</v>
      </c>
      <c r="D81" t="s">
        <v>206</v>
      </c>
      <c r="I81" s="50" t="s">
        <v>58</v>
      </c>
      <c r="J81" s="66"/>
      <c r="K81" s="39" t="s">
        <v>445</v>
      </c>
      <c r="L81" s="63"/>
      <c r="M81" s="63"/>
      <c r="N81" s="63"/>
      <c r="O81" s="63"/>
      <c r="P81" s="63"/>
      <c r="U81" s="3" t="s">
        <v>75</v>
      </c>
      <c r="V81" s="6" t="s">
        <v>383</v>
      </c>
      <c r="X81" t="s">
        <v>87</v>
      </c>
      <c r="Y81" t="s">
        <v>357</v>
      </c>
      <c r="Z81" t="s">
        <v>206</v>
      </c>
    </row>
    <row r="82" spans="2:26" x14ac:dyDescent="0.2">
      <c r="B82" t="s">
        <v>208</v>
      </c>
      <c r="C82" t="s">
        <v>318</v>
      </c>
      <c r="D82" t="s">
        <v>206</v>
      </c>
      <c r="I82" s="50" t="s">
        <v>59</v>
      </c>
      <c r="J82" s="66"/>
      <c r="K82" s="39" t="s">
        <v>13</v>
      </c>
      <c r="L82" s="63"/>
      <c r="M82" s="63"/>
      <c r="N82" s="63"/>
      <c r="O82" s="63"/>
      <c r="P82" s="63"/>
      <c r="U82" s="3" t="s">
        <v>76</v>
      </c>
      <c r="V82" s="6" t="s">
        <v>44</v>
      </c>
      <c r="X82" t="s">
        <v>87</v>
      </c>
      <c r="Y82" t="s">
        <v>219</v>
      </c>
      <c r="Z82" t="s">
        <v>206</v>
      </c>
    </row>
    <row r="83" spans="2:26" x14ac:dyDescent="0.2">
      <c r="B83" t="s">
        <v>208</v>
      </c>
      <c r="C83" t="s">
        <v>319</v>
      </c>
      <c r="D83" t="s">
        <v>206</v>
      </c>
      <c r="I83" s="50" t="s">
        <v>60</v>
      </c>
      <c r="J83" s="66"/>
      <c r="K83" s="39" t="s">
        <v>13</v>
      </c>
      <c r="L83" s="63"/>
      <c r="M83" s="63"/>
      <c r="N83" s="63"/>
      <c r="O83" s="63"/>
      <c r="P83" s="63"/>
      <c r="U83" s="3" t="s">
        <v>77</v>
      </c>
      <c r="V83" s="6" t="s">
        <v>29</v>
      </c>
      <c r="X83" t="s">
        <v>87</v>
      </c>
      <c r="Y83" t="s">
        <v>290</v>
      </c>
      <c r="Z83" t="s">
        <v>206</v>
      </c>
    </row>
    <row r="84" spans="2:26" x14ac:dyDescent="0.2">
      <c r="B84" t="s">
        <v>208</v>
      </c>
      <c r="C84" t="s">
        <v>332</v>
      </c>
      <c r="D84" t="s">
        <v>206</v>
      </c>
      <c r="I84" s="50" t="s">
        <v>61</v>
      </c>
      <c r="J84" s="66"/>
      <c r="K84" s="39" t="s">
        <v>13</v>
      </c>
      <c r="L84" s="63"/>
      <c r="M84" s="63"/>
      <c r="N84" s="63"/>
      <c r="O84" s="63"/>
      <c r="P84" s="63"/>
      <c r="U84" s="3" t="s">
        <v>78</v>
      </c>
      <c r="V84" s="6" t="s">
        <v>44</v>
      </c>
      <c r="X84" t="s">
        <v>87</v>
      </c>
      <c r="Y84" t="s">
        <v>221</v>
      </c>
      <c r="Z84" t="s">
        <v>206</v>
      </c>
    </row>
    <row r="85" spans="2:26" x14ac:dyDescent="0.2">
      <c r="B85" t="s">
        <v>208</v>
      </c>
      <c r="C85" t="s">
        <v>333</v>
      </c>
      <c r="D85" t="s">
        <v>206</v>
      </c>
      <c r="I85" s="50" t="s">
        <v>62</v>
      </c>
      <c r="J85" s="66"/>
      <c r="K85" s="39" t="s">
        <v>13</v>
      </c>
      <c r="L85" s="63"/>
      <c r="M85" s="63"/>
      <c r="N85" s="63"/>
      <c r="O85" s="63"/>
      <c r="P85" s="63"/>
      <c r="U85" s="3" t="s">
        <v>79</v>
      </c>
      <c r="V85" s="6" t="s">
        <v>44</v>
      </c>
      <c r="X85" t="s">
        <v>87</v>
      </c>
      <c r="Y85" t="s">
        <v>222</v>
      </c>
      <c r="Z85" t="s">
        <v>206</v>
      </c>
    </row>
    <row r="86" spans="2:26" x14ac:dyDescent="0.2">
      <c r="B86" t="s">
        <v>208</v>
      </c>
      <c r="C86" t="s">
        <v>334</v>
      </c>
      <c r="D86" t="s">
        <v>206</v>
      </c>
      <c r="I86" s="50" t="s">
        <v>63</v>
      </c>
      <c r="J86" s="66"/>
      <c r="K86" s="39" t="s">
        <v>13</v>
      </c>
      <c r="L86" s="63"/>
      <c r="M86" s="63"/>
      <c r="N86" s="63"/>
      <c r="O86" s="63"/>
      <c r="P86" s="63"/>
      <c r="U86" s="3" t="s">
        <v>80</v>
      </c>
      <c r="V86" s="6" t="s">
        <v>44</v>
      </c>
      <c r="X86" t="s">
        <v>87</v>
      </c>
      <c r="Y86" t="s">
        <v>223</v>
      </c>
      <c r="Z86" t="s">
        <v>206</v>
      </c>
    </row>
    <row r="87" spans="2:26" x14ac:dyDescent="0.2">
      <c r="B87" t="s">
        <v>208</v>
      </c>
      <c r="C87" t="s">
        <v>335</v>
      </c>
      <c r="D87" t="s">
        <v>206</v>
      </c>
      <c r="I87" s="50" t="s">
        <v>64</v>
      </c>
      <c r="J87" s="66"/>
      <c r="K87" s="39" t="s">
        <v>13</v>
      </c>
      <c r="L87" s="63"/>
      <c r="M87" s="63"/>
      <c r="N87" s="63"/>
      <c r="O87" s="63"/>
      <c r="P87" s="63"/>
      <c r="U87" s="3" t="s">
        <v>81</v>
      </c>
      <c r="V87" s="6" t="s">
        <v>44</v>
      </c>
      <c r="X87" t="s">
        <v>87</v>
      </c>
      <c r="Y87" t="s">
        <v>224</v>
      </c>
      <c r="Z87" t="s">
        <v>206</v>
      </c>
    </row>
    <row r="88" spans="2:26" x14ac:dyDescent="0.2">
      <c r="B88" t="s">
        <v>208</v>
      </c>
      <c r="C88" t="s">
        <v>336</v>
      </c>
      <c r="D88" t="s">
        <v>206</v>
      </c>
      <c r="I88" s="50" t="s">
        <v>65</v>
      </c>
      <c r="J88" s="66"/>
      <c r="K88" s="39" t="s">
        <v>13</v>
      </c>
      <c r="L88" s="63"/>
      <c r="M88" s="63"/>
      <c r="N88" s="63"/>
      <c r="O88" s="63"/>
      <c r="P88" s="63"/>
      <c r="U88" s="3" t="s">
        <v>82</v>
      </c>
      <c r="V88" s="6" t="s">
        <v>44</v>
      </c>
      <c r="X88" t="s">
        <v>87</v>
      </c>
      <c r="Y88" t="s">
        <v>225</v>
      </c>
      <c r="Z88" t="s">
        <v>206</v>
      </c>
    </row>
    <row r="89" spans="2:26" x14ac:dyDescent="0.2">
      <c r="B89" t="s">
        <v>208</v>
      </c>
      <c r="C89" t="s">
        <v>324</v>
      </c>
      <c r="D89" t="s">
        <v>206</v>
      </c>
      <c r="I89" s="50" t="s">
        <v>66</v>
      </c>
      <c r="J89" s="66"/>
      <c r="K89" s="39" t="s">
        <v>18</v>
      </c>
      <c r="L89" s="63"/>
      <c r="M89" s="63"/>
      <c r="N89" s="63"/>
      <c r="O89" s="63"/>
      <c r="P89" s="63"/>
      <c r="U89" s="3" t="s">
        <v>83</v>
      </c>
      <c r="V89" s="6" t="s">
        <v>44</v>
      </c>
      <c r="X89" t="s">
        <v>87</v>
      </c>
      <c r="Y89" t="s">
        <v>226</v>
      </c>
      <c r="Z89" t="s">
        <v>206</v>
      </c>
    </row>
    <row r="90" spans="2:26" x14ac:dyDescent="0.2">
      <c r="B90" t="s">
        <v>325</v>
      </c>
      <c r="D90" t="s">
        <v>206</v>
      </c>
      <c r="I90" s="50" t="s">
        <v>1</v>
      </c>
      <c r="J90" s="66"/>
      <c r="K90" s="39"/>
      <c r="L90" s="63"/>
      <c r="M90" s="63"/>
      <c r="N90" s="63"/>
      <c r="O90" s="63"/>
      <c r="P90" s="63"/>
      <c r="U90" s="3" t="s">
        <v>84</v>
      </c>
      <c r="V90" s="6" t="s">
        <v>44</v>
      </c>
      <c r="X90" t="s">
        <v>87</v>
      </c>
      <c r="Y90" t="s">
        <v>227</v>
      </c>
      <c r="Z90" t="s">
        <v>206</v>
      </c>
    </row>
    <row r="91" spans="2:26" x14ac:dyDescent="0.2">
      <c r="I91" s="50" t="s">
        <v>0</v>
      </c>
      <c r="J91" s="66"/>
      <c r="K91" s="39"/>
      <c r="L91" s="63"/>
      <c r="M91" s="63"/>
      <c r="N91" s="63"/>
      <c r="O91" s="63"/>
      <c r="P91" s="63"/>
      <c r="U91" s="3" t="s">
        <v>85</v>
      </c>
      <c r="V91" s="6" t="s">
        <v>44</v>
      </c>
      <c r="X91" t="s">
        <v>87</v>
      </c>
      <c r="Y91" t="s">
        <v>228</v>
      </c>
      <c r="Z91" t="s">
        <v>206</v>
      </c>
    </row>
    <row r="92" spans="2:26" x14ac:dyDescent="0.2">
      <c r="I92" s="51" t="s">
        <v>208</v>
      </c>
      <c r="J92" s="67"/>
      <c r="K92" s="39" t="s">
        <v>202</v>
      </c>
      <c r="L92" s="63"/>
      <c r="M92" s="63"/>
      <c r="N92" s="63"/>
      <c r="O92" s="63"/>
      <c r="P92" s="63"/>
      <c r="U92" s="3" t="s">
        <v>1</v>
      </c>
      <c r="V92" s="6"/>
      <c r="X92" t="s">
        <v>207</v>
      </c>
    </row>
    <row r="93" spans="2:26" x14ac:dyDescent="0.2">
      <c r="I93" s="52" t="s">
        <v>2</v>
      </c>
      <c r="J93" s="68"/>
      <c r="K93" s="40"/>
      <c r="L93" s="63"/>
      <c r="M93" s="63"/>
      <c r="N93" s="63"/>
      <c r="O93" s="63"/>
      <c r="P93" s="63"/>
      <c r="U93" s="3" t="s">
        <v>0</v>
      </c>
      <c r="V93" s="6"/>
    </row>
    <row r="94" spans="2:26" ht="29" customHeight="1" x14ac:dyDescent="0.2">
      <c r="U94" s="8" t="s">
        <v>87</v>
      </c>
      <c r="V94" s="3" t="s">
        <v>412</v>
      </c>
    </row>
    <row r="95" spans="2:26" ht="17" thickBot="1" x14ac:dyDescent="0.25">
      <c r="U95" s="4" t="s">
        <v>1</v>
      </c>
      <c r="V95" s="7"/>
    </row>
    <row r="98" spans="3:26" x14ac:dyDescent="0.2">
      <c r="C98" s="12" t="s">
        <v>188</v>
      </c>
      <c r="D98" s="12">
        <v>0</v>
      </c>
      <c r="E98" s="12"/>
      <c r="F98" s="12"/>
      <c r="G98" s="12"/>
      <c r="H98" s="12"/>
      <c r="I98" s="12" t="s">
        <v>138</v>
      </c>
      <c r="J98" s="12"/>
      <c r="K98" s="12" t="s">
        <v>187</v>
      </c>
      <c r="L98" s="12"/>
      <c r="M98" s="12"/>
      <c r="N98" s="12"/>
      <c r="O98" s="12"/>
      <c r="P98" s="12"/>
    </row>
    <row r="99" spans="3:26" x14ac:dyDescent="0.2">
      <c r="C99" s="12" t="s">
        <v>169</v>
      </c>
      <c r="D99" s="12">
        <v>1</v>
      </c>
      <c r="E99" s="12"/>
      <c r="F99" s="12"/>
      <c r="G99" s="12"/>
      <c r="H99" s="12"/>
      <c r="I99" s="12" t="s">
        <v>139</v>
      </c>
      <c r="J99" s="12"/>
      <c r="K99" s="12" t="s">
        <v>126</v>
      </c>
      <c r="L99" s="12"/>
      <c r="M99" s="12"/>
      <c r="N99" s="12"/>
      <c r="O99" s="12"/>
      <c r="P99" s="12"/>
    </row>
    <row r="100" spans="3:26" x14ac:dyDescent="0.2">
      <c r="C100" s="12" t="s">
        <v>169</v>
      </c>
      <c r="D100" s="12">
        <v>2</v>
      </c>
      <c r="E100" s="12"/>
      <c r="F100" s="12"/>
      <c r="G100" s="12"/>
      <c r="H100" s="12"/>
      <c r="I100" s="12" t="s">
        <v>140</v>
      </c>
      <c r="J100" s="12"/>
      <c r="K100" s="12" t="s">
        <v>127</v>
      </c>
      <c r="L100" s="12"/>
      <c r="M100" s="12"/>
      <c r="N100" s="12"/>
      <c r="O100" s="12"/>
      <c r="P100" s="12"/>
    </row>
    <row r="101" spans="3:26" ht="19" x14ac:dyDescent="0.25">
      <c r="C101" s="12" t="s">
        <v>169</v>
      </c>
      <c r="D101" s="12">
        <v>3</v>
      </c>
      <c r="E101" s="12"/>
      <c r="F101" s="12"/>
      <c r="G101" s="12"/>
      <c r="H101" s="12"/>
      <c r="I101" s="12" t="s">
        <v>141</v>
      </c>
      <c r="J101" s="12"/>
      <c r="K101" s="12" t="s">
        <v>128</v>
      </c>
      <c r="L101" s="12"/>
      <c r="M101" s="12"/>
      <c r="N101" s="12"/>
      <c r="O101" s="12"/>
      <c r="P101" s="12"/>
      <c r="U101" s="20" t="s">
        <v>300</v>
      </c>
      <c r="Y101" s="26" t="s">
        <v>424</v>
      </c>
    </row>
    <row r="102" spans="3:26" x14ac:dyDescent="0.2">
      <c r="C102" s="12" t="s">
        <v>169</v>
      </c>
      <c r="D102" s="12">
        <v>4</v>
      </c>
      <c r="E102" s="12"/>
      <c r="F102" s="12"/>
      <c r="G102" s="12"/>
      <c r="H102" s="12"/>
      <c r="I102" s="12" t="s">
        <v>142</v>
      </c>
      <c r="J102" s="12"/>
      <c r="K102" s="12" t="s">
        <v>137</v>
      </c>
      <c r="L102" s="12"/>
      <c r="M102" s="12"/>
      <c r="N102" s="12"/>
      <c r="O102" s="12"/>
      <c r="P102" s="12"/>
      <c r="U102" s="25" t="s">
        <v>443</v>
      </c>
      <c r="V102" s="25" t="s">
        <v>394</v>
      </c>
      <c r="X102" t="s">
        <v>416</v>
      </c>
    </row>
    <row r="103" spans="3:26" x14ac:dyDescent="0.2">
      <c r="C103" s="12" t="s">
        <v>169</v>
      </c>
      <c r="D103" s="12">
        <v>5</v>
      </c>
      <c r="E103" s="12"/>
      <c r="F103" s="12"/>
      <c r="G103" s="12"/>
      <c r="H103" s="12"/>
      <c r="I103" s="12" t="s">
        <v>143</v>
      </c>
      <c r="J103" s="12"/>
      <c r="K103" s="12" t="s">
        <v>183</v>
      </c>
      <c r="L103" s="12"/>
      <c r="M103" s="12"/>
      <c r="N103" s="12"/>
      <c r="O103" s="12"/>
      <c r="P103" s="12"/>
      <c r="U103" s="3" t="s">
        <v>86</v>
      </c>
      <c r="V103" s="6" t="s">
        <v>113</v>
      </c>
      <c r="X103" t="s">
        <v>87</v>
      </c>
      <c r="Y103" t="s">
        <v>430</v>
      </c>
      <c r="Z103" t="s">
        <v>206</v>
      </c>
    </row>
    <row r="104" spans="3:26" x14ac:dyDescent="0.2">
      <c r="C104" s="12" t="s">
        <v>169</v>
      </c>
      <c r="D104" s="12">
        <v>6</v>
      </c>
      <c r="E104" s="12"/>
      <c r="F104" s="12"/>
      <c r="G104" s="12"/>
      <c r="H104" s="12"/>
      <c r="I104" s="12" t="s">
        <v>144</v>
      </c>
      <c r="J104" s="12"/>
      <c r="K104" s="12" t="s">
        <v>184</v>
      </c>
      <c r="L104" s="12"/>
      <c r="M104" s="12"/>
      <c r="N104" s="12"/>
      <c r="O104" s="12"/>
      <c r="P104" s="12"/>
      <c r="U104" s="3" t="s">
        <v>88</v>
      </c>
      <c r="V104" s="6" t="s">
        <v>114</v>
      </c>
      <c r="X104" t="s">
        <v>87</v>
      </c>
      <c r="Y104" t="s">
        <v>431</v>
      </c>
      <c r="Z104" t="s">
        <v>206</v>
      </c>
    </row>
    <row r="105" spans="3:26" x14ac:dyDescent="0.2">
      <c r="C105" s="12" t="s">
        <v>169</v>
      </c>
      <c r="D105" s="12">
        <v>7</v>
      </c>
      <c r="E105" s="12"/>
      <c r="F105" s="12"/>
      <c r="G105" s="12"/>
      <c r="H105" s="12"/>
      <c r="I105" s="12" t="s">
        <v>145</v>
      </c>
      <c r="J105" s="12"/>
      <c r="K105" s="12" t="s">
        <v>185</v>
      </c>
      <c r="L105" s="12"/>
      <c r="M105" s="12"/>
      <c r="N105" s="12"/>
      <c r="O105" s="12"/>
      <c r="P105" s="12"/>
      <c r="U105" s="3" t="s">
        <v>67</v>
      </c>
      <c r="V105" s="6" t="s">
        <v>115</v>
      </c>
      <c r="X105" t="s">
        <v>87</v>
      </c>
      <c r="Y105" t="s">
        <v>432</v>
      </c>
      <c r="Z105" t="s">
        <v>206</v>
      </c>
    </row>
    <row r="106" spans="3:26" x14ac:dyDescent="0.2">
      <c r="C106" s="12" t="s">
        <v>169</v>
      </c>
      <c r="D106" s="12">
        <v>8</v>
      </c>
      <c r="E106" s="12"/>
      <c r="F106" s="12"/>
      <c r="G106" s="12"/>
      <c r="H106" s="12"/>
      <c r="I106" s="12" t="s">
        <v>146</v>
      </c>
      <c r="J106" s="12"/>
      <c r="K106" s="12" t="s">
        <v>136</v>
      </c>
      <c r="L106" s="12"/>
      <c r="M106" s="12"/>
      <c r="N106" s="12"/>
      <c r="O106" s="12"/>
      <c r="P106" s="12"/>
      <c r="U106" s="3" t="s">
        <v>68</v>
      </c>
      <c r="V106" s="6" t="s">
        <v>116</v>
      </c>
      <c r="X106" t="s">
        <v>87</v>
      </c>
      <c r="Y106" t="s">
        <v>433</v>
      </c>
      <c r="Z106" t="s">
        <v>206</v>
      </c>
    </row>
    <row r="107" spans="3:26" x14ac:dyDescent="0.2">
      <c r="C107" s="12" t="s">
        <v>169</v>
      </c>
      <c r="D107" s="12">
        <v>9</v>
      </c>
      <c r="E107" s="12"/>
      <c r="F107" s="12"/>
      <c r="G107" s="12"/>
      <c r="H107" s="12"/>
      <c r="I107" s="12" t="s">
        <v>147</v>
      </c>
      <c r="J107" s="12"/>
      <c r="K107" s="12" t="s">
        <v>129</v>
      </c>
      <c r="L107" s="12"/>
      <c r="M107" s="12"/>
      <c r="N107" s="12"/>
      <c r="O107" s="12"/>
      <c r="P107" s="12"/>
      <c r="U107" s="3" t="s">
        <v>69</v>
      </c>
      <c r="V107" s="6" t="s">
        <v>671</v>
      </c>
      <c r="X107" t="s">
        <v>87</v>
      </c>
      <c r="Y107" t="s">
        <v>673</v>
      </c>
      <c r="Z107" t="s">
        <v>206</v>
      </c>
    </row>
    <row r="108" spans="3:26" x14ac:dyDescent="0.2">
      <c r="C108" s="12" t="s">
        <v>169</v>
      </c>
      <c r="D108" s="12">
        <v>10</v>
      </c>
      <c r="E108" s="12"/>
      <c r="F108" s="12"/>
      <c r="G108" s="12"/>
      <c r="H108" s="12"/>
      <c r="I108" s="12" t="s">
        <v>148</v>
      </c>
      <c r="J108" s="12"/>
      <c r="K108" s="12" t="s">
        <v>130</v>
      </c>
      <c r="L108" s="12"/>
      <c r="M108" s="12"/>
      <c r="N108" s="12"/>
      <c r="O108" s="12"/>
      <c r="P108" s="12"/>
      <c r="U108" s="3" t="s">
        <v>70</v>
      </c>
      <c r="V108" s="6" t="s">
        <v>672</v>
      </c>
      <c r="X108" t="s">
        <v>87</v>
      </c>
      <c r="Y108" t="s">
        <v>674</v>
      </c>
      <c r="Z108" t="s">
        <v>206</v>
      </c>
    </row>
    <row r="109" spans="3:26" x14ac:dyDescent="0.2">
      <c r="C109" s="12" t="s">
        <v>169</v>
      </c>
      <c r="D109" s="12">
        <v>11</v>
      </c>
      <c r="E109" s="12"/>
      <c r="F109" s="12"/>
      <c r="G109" s="12"/>
      <c r="H109" s="12"/>
      <c r="I109" s="12" t="s">
        <v>149</v>
      </c>
      <c r="J109" s="12"/>
      <c r="K109" s="12" t="s">
        <v>186</v>
      </c>
      <c r="L109" s="12"/>
      <c r="M109" s="12"/>
      <c r="N109" s="12"/>
      <c r="O109" s="12"/>
      <c r="P109" s="12"/>
      <c r="U109" s="3" t="s">
        <v>71</v>
      </c>
      <c r="V109" s="6" t="s">
        <v>44</v>
      </c>
      <c r="X109" t="s">
        <v>87</v>
      </c>
      <c r="Y109" t="s">
        <v>214</v>
      </c>
      <c r="Z109" t="s">
        <v>206</v>
      </c>
    </row>
    <row r="110" spans="3:26" x14ac:dyDescent="0.2">
      <c r="C110" s="12" t="s">
        <v>169</v>
      </c>
      <c r="D110" s="12">
        <v>12</v>
      </c>
      <c r="E110" s="12"/>
      <c r="F110" s="12"/>
      <c r="G110" s="12"/>
      <c r="H110" s="12"/>
      <c r="I110" s="12" t="s">
        <v>150</v>
      </c>
      <c r="J110" s="12"/>
      <c r="K110" s="12" t="s">
        <v>131</v>
      </c>
      <c r="L110" s="12"/>
      <c r="M110" s="12"/>
      <c r="N110" s="12"/>
      <c r="O110" s="12"/>
      <c r="P110" s="12"/>
      <c r="U110" s="3" t="s">
        <v>72</v>
      </c>
      <c r="V110" s="6" t="s">
        <v>44</v>
      </c>
      <c r="X110" t="s">
        <v>87</v>
      </c>
      <c r="Y110" t="s">
        <v>215</v>
      </c>
      <c r="Z110" t="s">
        <v>206</v>
      </c>
    </row>
    <row r="111" spans="3:26" x14ac:dyDescent="0.2">
      <c r="C111" s="12" t="s">
        <v>169</v>
      </c>
      <c r="D111" s="12">
        <v>13</v>
      </c>
      <c r="E111" s="12"/>
      <c r="F111" s="12"/>
      <c r="G111" s="12"/>
      <c r="H111" s="12"/>
      <c r="I111" s="12" t="s">
        <v>151</v>
      </c>
      <c r="J111" s="12"/>
      <c r="K111" s="12" t="s">
        <v>132</v>
      </c>
      <c r="L111" s="12"/>
      <c r="M111" s="12"/>
      <c r="N111" s="12"/>
      <c r="O111" s="12"/>
      <c r="P111" s="12"/>
      <c r="U111" s="3" t="s">
        <v>73</v>
      </c>
      <c r="V111" s="6" t="s">
        <v>44</v>
      </c>
      <c r="X111" t="s">
        <v>87</v>
      </c>
      <c r="Y111" t="s">
        <v>216</v>
      </c>
      <c r="Z111" t="s">
        <v>206</v>
      </c>
    </row>
    <row r="112" spans="3:26" x14ac:dyDescent="0.2">
      <c r="C112" s="12" t="s">
        <v>169</v>
      </c>
      <c r="D112" s="12">
        <v>14</v>
      </c>
      <c r="E112" s="12"/>
      <c r="F112" s="12"/>
      <c r="G112" s="12"/>
      <c r="H112" s="12"/>
      <c r="I112" s="12" t="s">
        <v>152</v>
      </c>
      <c r="J112" s="12"/>
      <c r="K112" s="12" t="s">
        <v>133</v>
      </c>
      <c r="L112" s="12"/>
      <c r="M112" s="12"/>
      <c r="N112" s="12"/>
      <c r="O112" s="12"/>
      <c r="P112" s="12"/>
      <c r="U112" s="3" t="s">
        <v>74</v>
      </c>
      <c r="V112" s="6" t="s">
        <v>44</v>
      </c>
      <c r="X112" t="s">
        <v>87</v>
      </c>
      <c r="Y112" t="s">
        <v>217</v>
      </c>
      <c r="Z112" t="s">
        <v>206</v>
      </c>
    </row>
    <row r="113" spans="3:26" x14ac:dyDescent="0.2">
      <c r="C113" s="12" t="s">
        <v>169</v>
      </c>
      <c r="D113" s="12">
        <v>15</v>
      </c>
      <c r="E113" s="12"/>
      <c r="F113" s="12"/>
      <c r="G113" s="12"/>
      <c r="H113" s="12"/>
      <c r="I113" s="12" t="s">
        <v>153</v>
      </c>
      <c r="J113" s="12"/>
      <c r="K113" s="12" t="s">
        <v>134</v>
      </c>
      <c r="L113" s="12"/>
      <c r="M113" s="12"/>
      <c r="N113" s="12"/>
      <c r="O113" s="12"/>
      <c r="P113" s="12"/>
      <c r="U113" s="3" t="s">
        <v>75</v>
      </c>
      <c r="V113" s="6" t="s">
        <v>29</v>
      </c>
      <c r="X113" t="s">
        <v>87</v>
      </c>
      <c r="Y113" t="s">
        <v>434</v>
      </c>
      <c r="Z113" t="s">
        <v>206</v>
      </c>
    </row>
    <row r="114" spans="3:26" x14ac:dyDescent="0.2">
      <c r="C114" s="12" t="s">
        <v>169</v>
      </c>
      <c r="D114" s="12">
        <v>16</v>
      </c>
      <c r="E114" s="12"/>
      <c r="F114" s="12"/>
      <c r="G114" s="12"/>
      <c r="H114" s="12"/>
      <c r="I114" s="12" t="s">
        <v>166</v>
      </c>
      <c r="J114" s="12"/>
      <c r="K114" s="12" t="s">
        <v>178</v>
      </c>
      <c r="L114" s="12"/>
      <c r="M114" s="12"/>
      <c r="N114" s="12"/>
      <c r="O114" s="12"/>
      <c r="P114" s="12"/>
      <c r="U114" s="3" t="s">
        <v>76</v>
      </c>
      <c r="V114" s="6" t="s">
        <v>44</v>
      </c>
      <c r="X114" t="s">
        <v>87</v>
      </c>
      <c r="Y114" t="s">
        <v>219</v>
      </c>
      <c r="Z114" t="s">
        <v>206</v>
      </c>
    </row>
    <row r="115" spans="3:26" x14ac:dyDescent="0.2">
      <c r="C115" s="12" t="s">
        <v>169</v>
      </c>
      <c r="D115" s="12">
        <v>17</v>
      </c>
      <c r="E115" s="12"/>
      <c r="F115" s="12"/>
      <c r="G115" s="12"/>
      <c r="H115" s="12"/>
      <c r="I115" s="12" t="s">
        <v>167</v>
      </c>
      <c r="J115" s="12"/>
      <c r="K115" s="12" t="s">
        <v>179</v>
      </c>
      <c r="L115" s="12"/>
      <c r="M115" s="12"/>
      <c r="N115" s="12"/>
      <c r="O115" s="12"/>
      <c r="P115" s="12"/>
      <c r="U115" s="3" t="s">
        <v>77</v>
      </c>
      <c r="V115" s="6" t="s">
        <v>44</v>
      </c>
      <c r="X115" t="s">
        <v>87</v>
      </c>
      <c r="Y115" t="s">
        <v>220</v>
      </c>
      <c r="Z115" t="s">
        <v>206</v>
      </c>
    </row>
    <row r="116" spans="3:26" x14ac:dyDescent="0.2">
      <c r="C116" s="12" t="s">
        <v>169</v>
      </c>
      <c r="D116" s="12">
        <v>18</v>
      </c>
      <c r="E116" s="12"/>
      <c r="F116" s="12"/>
      <c r="G116" s="12"/>
      <c r="H116" s="12"/>
      <c r="I116" s="12" t="s">
        <v>168</v>
      </c>
      <c r="J116" s="12"/>
      <c r="K116" s="12" t="s">
        <v>180</v>
      </c>
      <c r="L116" s="12"/>
      <c r="M116" s="12"/>
      <c r="N116" s="12"/>
      <c r="O116" s="12"/>
      <c r="P116" s="12"/>
      <c r="U116" s="3" t="s">
        <v>78</v>
      </c>
      <c r="V116" s="6" t="s">
        <v>44</v>
      </c>
      <c r="X116" t="s">
        <v>87</v>
      </c>
      <c r="Y116" t="s">
        <v>221</v>
      </c>
      <c r="Z116" t="s">
        <v>206</v>
      </c>
    </row>
    <row r="117" spans="3:26" x14ac:dyDescent="0.2">
      <c r="C117" s="12" t="s">
        <v>169</v>
      </c>
      <c r="D117" s="12">
        <v>19</v>
      </c>
      <c r="E117" s="12"/>
      <c r="F117" s="12"/>
      <c r="G117" s="12"/>
      <c r="H117" s="12"/>
      <c r="I117" s="12" t="s">
        <v>154</v>
      </c>
      <c r="J117" s="12"/>
      <c r="K117" s="12" t="s">
        <v>135</v>
      </c>
      <c r="L117" s="12"/>
      <c r="M117" s="12"/>
      <c r="N117" s="12"/>
      <c r="O117" s="12"/>
      <c r="P117" s="12"/>
      <c r="U117" s="3" t="s">
        <v>79</v>
      </c>
      <c r="V117" s="6" t="s">
        <v>44</v>
      </c>
      <c r="X117" t="s">
        <v>87</v>
      </c>
      <c r="Y117" t="s">
        <v>222</v>
      </c>
      <c r="Z117" t="s">
        <v>206</v>
      </c>
    </row>
    <row r="118" spans="3:26" x14ac:dyDescent="0.2">
      <c r="C118" s="12" t="s">
        <v>169</v>
      </c>
      <c r="D118" s="12">
        <v>20</v>
      </c>
      <c r="E118" s="12"/>
      <c r="F118" s="12"/>
      <c r="G118" s="12"/>
      <c r="H118" s="12"/>
      <c r="I118" s="12" t="s">
        <v>155</v>
      </c>
      <c r="J118" s="12"/>
      <c r="K118" s="12" t="s">
        <v>182</v>
      </c>
      <c r="L118" s="12"/>
      <c r="M118" s="12"/>
      <c r="N118" s="12"/>
      <c r="O118" s="12"/>
      <c r="P118" s="12"/>
      <c r="U118" s="3" t="s">
        <v>80</v>
      </c>
      <c r="V118" s="6" t="s">
        <v>44</v>
      </c>
      <c r="X118" t="s">
        <v>87</v>
      </c>
      <c r="Y118" t="s">
        <v>223</v>
      </c>
      <c r="Z118" t="s">
        <v>206</v>
      </c>
    </row>
    <row r="119" spans="3:26" x14ac:dyDescent="0.2">
      <c r="C119" s="12" t="s">
        <v>169</v>
      </c>
      <c r="D119" s="12">
        <v>21</v>
      </c>
      <c r="E119" s="12"/>
      <c r="F119" s="12"/>
      <c r="G119" s="12"/>
      <c r="H119" s="12"/>
      <c r="I119" s="12" t="s">
        <v>156</v>
      </c>
      <c r="J119" s="12"/>
      <c r="K119" s="12" t="s">
        <v>181</v>
      </c>
      <c r="L119" s="12"/>
      <c r="M119" s="12"/>
      <c r="N119" s="12"/>
      <c r="O119" s="12"/>
      <c r="P119" s="12"/>
      <c r="U119" s="3" t="s">
        <v>81</v>
      </c>
      <c r="V119" s="6" t="s">
        <v>44</v>
      </c>
      <c r="X119" t="s">
        <v>87</v>
      </c>
      <c r="Y119" t="s">
        <v>224</v>
      </c>
      <c r="Z119" t="s">
        <v>206</v>
      </c>
    </row>
    <row r="120" spans="3:26" x14ac:dyDescent="0.2">
      <c r="C120" s="12" t="s">
        <v>169</v>
      </c>
      <c r="D120" s="12">
        <v>22</v>
      </c>
      <c r="E120" s="12"/>
      <c r="F120" s="12"/>
      <c r="G120" s="12"/>
      <c r="H120" s="12"/>
      <c r="I120" s="12" t="s">
        <v>157</v>
      </c>
      <c r="J120" s="12"/>
      <c r="K120" s="12" t="s">
        <v>174</v>
      </c>
      <c r="L120" s="12"/>
      <c r="M120" s="12"/>
      <c r="N120" s="12"/>
      <c r="O120" s="12"/>
      <c r="P120" s="12"/>
      <c r="U120" s="3" t="s">
        <v>82</v>
      </c>
      <c r="V120" s="6" t="s">
        <v>44</v>
      </c>
      <c r="X120" t="s">
        <v>87</v>
      </c>
      <c r="Y120" t="s">
        <v>225</v>
      </c>
      <c r="Z120" t="s">
        <v>206</v>
      </c>
    </row>
    <row r="121" spans="3:26" x14ac:dyDescent="0.2">
      <c r="C121" s="12" t="s">
        <v>169</v>
      </c>
      <c r="D121" s="12">
        <v>23</v>
      </c>
      <c r="E121" s="12"/>
      <c r="F121" s="12"/>
      <c r="G121" s="12"/>
      <c r="H121" s="12"/>
      <c r="I121" s="12" t="s">
        <v>158</v>
      </c>
      <c r="J121" s="12"/>
      <c r="K121" s="12" t="s">
        <v>175</v>
      </c>
      <c r="L121" s="12"/>
      <c r="M121" s="12"/>
      <c r="N121" s="12"/>
      <c r="O121" s="12"/>
      <c r="P121" s="12"/>
      <c r="U121" s="3" t="s">
        <v>83</v>
      </c>
      <c r="V121" s="6" t="s">
        <v>44</v>
      </c>
      <c r="X121" t="s">
        <v>87</v>
      </c>
      <c r="Y121" t="s">
        <v>226</v>
      </c>
      <c r="Z121" t="s">
        <v>206</v>
      </c>
    </row>
    <row r="122" spans="3:26" x14ac:dyDescent="0.2">
      <c r="C122" s="12" t="s">
        <v>169</v>
      </c>
      <c r="D122" s="12">
        <v>24</v>
      </c>
      <c r="E122" s="12"/>
      <c r="F122" s="12"/>
      <c r="G122" s="12"/>
      <c r="H122" s="12"/>
      <c r="I122" s="12" t="s">
        <v>159</v>
      </c>
      <c r="J122" s="12"/>
      <c r="K122" s="12" t="s">
        <v>176</v>
      </c>
      <c r="L122" s="12"/>
      <c r="M122" s="12"/>
      <c r="N122" s="12"/>
      <c r="O122" s="12"/>
      <c r="P122" s="12"/>
      <c r="U122" s="3" t="s">
        <v>84</v>
      </c>
      <c r="V122" s="6" t="s">
        <v>44</v>
      </c>
      <c r="X122" t="s">
        <v>87</v>
      </c>
      <c r="Y122" t="s">
        <v>227</v>
      </c>
      <c r="Z122" t="s">
        <v>206</v>
      </c>
    </row>
    <row r="123" spans="3:26" x14ac:dyDescent="0.2">
      <c r="C123" s="12" t="s">
        <v>169</v>
      </c>
      <c r="D123" s="12">
        <v>25</v>
      </c>
      <c r="E123" s="12"/>
      <c r="F123" s="12"/>
      <c r="G123" s="12"/>
      <c r="H123" s="12"/>
      <c r="I123" s="12" t="s">
        <v>160</v>
      </c>
      <c r="J123" s="12"/>
      <c r="K123" s="12" t="s">
        <v>177</v>
      </c>
      <c r="L123" s="12"/>
      <c r="M123" s="12"/>
      <c r="N123" s="12"/>
      <c r="O123" s="12"/>
      <c r="P123" s="12"/>
      <c r="U123" s="3" t="s">
        <v>85</v>
      </c>
      <c r="V123" s="6" t="s">
        <v>44</v>
      </c>
      <c r="X123" t="s">
        <v>87</v>
      </c>
      <c r="Y123" t="s">
        <v>228</v>
      </c>
      <c r="Z123" t="s">
        <v>206</v>
      </c>
    </row>
    <row r="124" spans="3:26" x14ac:dyDescent="0.2">
      <c r="C124" s="12" t="s">
        <v>169</v>
      </c>
      <c r="D124" s="12">
        <v>26</v>
      </c>
      <c r="E124" s="12"/>
      <c r="F124" s="12"/>
      <c r="G124" s="12"/>
      <c r="H124" s="12"/>
      <c r="I124" s="12" t="s">
        <v>161</v>
      </c>
      <c r="J124" s="12"/>
      <c r="K124" s="12" t="s">
        <v>170</v>
      </c>
      <c r="L124" s="12"/>
      <c r="M124" s="12"/>
      <c r="N124" s="12"/>
      <c r="O124" s="12"/>
      <c r="P124" s="12"/>
      <c r="U124" s="3" t="s">
        <v>1</v>
      </c>
      <c r="V124" s="6"/>
      <c r="X124" t="s">
        <v>207</v>
      </c>
    </row>
    <row r="125" spans="3:26" x14ac:dyDescent="0.2">
      <c r="C125" s="12" t="s">
        <v>169</v>
      </c>
      <c r="D125" s="12">
        <v>27</v>
      </c>
      <c r="E125" s="12"/>
      <c r="F125" s="12"/>
      <c r="G125" s="12"/>
      <c r="H125" s="12"/>
      <c r="I125" s="12" t="s">
        <v>162</v>
      </c>
      <c r="J125" s="12"/>
      <c r="K125" s="12" t="s">
        <v>171</v>
      </c>
      <c r="L125" s="12"/>
      <c r="M125" s="12"/>
      <c r="N125" s="12"/>
      <c r="O125" s="12"/>
      <c r="P125" s="12"/>
      <c r="U125" s="3" t="s">
        <v>0</v>
      </c>
      <c r="V125" s="6"/>
    </row>
    <row r="126" spans="3:26" x14ac:dyDescent="0.2">
      <c r="C126" s="12" t="s">
        <v>169</v>
      </c>
      <c r="D126" s="12">
        <v>28</v>
      </c>
      <c r="E126" s="12"/>
      <c r="F126" s="12"/>
      <c r="G126" s="12"/>
      <c r="H126" s="12"/>
      <c r="I126" s="12" t="s">
        <v>163</v>
      </c>
      <c r="J126" s="12"/>
      <c r="K126" s="12" t="s">
        <v>172</v>
      </c>
      <c r="L126" s="12"/>
      <c r="M126" s="12"/>
      <c r="N126" s="12"/>
      <c r="O126" s="12"/>
      <c r="P126" s="12"/>
      <c r="U126" s="8" t="s">
        <v>87</v>
      </c>
      <c r="V126" s="3" t="s">
        <v>413</v>
      </c>
    </row>
    <row r="127" spans="3:26" ht="17" thickBot="1" x14ac:dyDescent="0.25">
      <c r="C127" s="12" t="s">
        <v>169</v>
      </c>
      <c r="D127" s="12">
        <v>29</v>
      </c>
      <c r="E127" s="12"/>
      <c r="F127" s="12"/>
      <c r="G127" s="12"/>
      <c r="H127" s="12"/>
      <c r="I127" s="12" t="s">
        <v>164</v>
      </c>
      <c r="J127" s="12"/>
      <c r="K127" s="12" t="s">
        <v>173</v>
      </c>
      <c r="L127" s="12"/>
      <c r="M127" s="12"/>
      <c r="N127" s="12"/>
      <c r="O127" s="12"/>
      <c r="P127" s="12"/>
      <c r="U127" s="4" t="s">
        <v>1</v>
      </c>
      <c r="V127" s="7"/>
    </row>
    <row r="128" spans="3:26" x14ac:dyDescent="0.2">
      <c r="C128" s="12" t="s">
        <v>169</v>
      </c>
      <c r="D128" s="12">
        <v>30</v>
      </c>
      <c r="E128" s="12"/>
      <c r="F128" s="12"/>
      <c r="G128" s="12"/>
      <c r="H128" s="12"/>
      <c r="I128" s="12" t="s">
        <v>165</v>
      </c>
      <c r="J128" s="12"/>
      <c r="K128" s="12" t="s">
        <v>136</v>
      </c>
      <c r="L128" s="12"/>
      <c r="M128" s="12"/>
      <c r="N128" s="12"/>
      <c r="O128" s="12"/>
      <c r="P128" s="12"/>
    </row>
    <row r="132" spans="9:26" x14ac:dyDescent="0.2">
      <c r="I132"/>
      <c r="J132"/>
    </row>
    <row r="133" spans="9:26" x14ac:dyDescent="0.2">
      <c r="I133"/>
      <c r="J133"/>
    </row>
    <row r="134" spans="9:26" ht="19" x14ac:dyDescent="0.25">
      <c r="I134"/>
      <c r="J134"/>
      <c r="U134" s="19" t="s">
        <v>301</v>
      </c>
      <c r="Y134" t="s">
        <v>425</v>
      </c>
    </row>
    <row r="135" spans="9:26" x14ac:dyDescent="0.2">
      <c r="I135"/>
      <c r="J135"/>
      <c r="U135" s="25" t="s">
        <v>388</v>
      </c>
      <c r="V135" s="25" t="s">
        <v>395</v>
      </c>
      <c r="X135" t="s">
        <v>417</v>
      </c>
    </row>
    <row r="136" spans="9:26" x14ac:dyDescent="0.2">
      <c r="I136"/>
      <c r="J136"/>
      <c r="U136" s="3" t="s">
        <v>86</v>
      </c>
      <c r="V136" s="6" t="s">
        <v>35</v>
      </c>
      <c r="X136" t="s">
        <v>208</v>
      </c>
      <c r="Y136" t="s">
        <v>266</v>
      </c>
      <c r="Z136" t="s">
        <v>206</v>
      </c>
    </row>
    <row r="137" spans="9:26" x14ac:dyDescent="0.2">
      <c r="I137"/>
      <c r="J137"/>
      <c r="U137" s="3" t="s">
        <v>88</v>
      </c>
      <c r="V137" s="6" t="s">
        <v>36</v>
      </c>
      <c r="X137" t="s">
        <v>208</v>
      </c>
      <c r="Y137" t="s">
        <v>267</v>
      </c>
      <c r="Z137" t="s">
        <v>206</v>
      </c>
    </row>
    <row r="138" spans="9:26" x14ac:dyDescent="0.2">
      <c r="I138"/>
      <c r="J138"/>
      <c r="U138" s="3" t="s">
        <v>67</v>
      </c>
      <c r="V138" s="6" t="s">
        <v>37</v>
      </c>
      <c r="X138" t="s">
        <v>208</v>
      </c>
      <c r="Y138" t="s">
        <v>268</v>
      </c>
      <c r="Z138" t="s">
        <v>206</v>
      </c>
    </row>
    <row r="139" spans="9:26" x14ac:dyDescent="0.2">
      <c r="I139"/>
      <c r="J139"/>
      <c r="U139" s="3" t="s">
        <v>68</v>
      </c>
      <c r="V139" s="6" t="s">
        <v>41</v>
      </c>
      <c r="X139" t="s">
        <v>208</v>
      </c>
      <c r="Y139" t="s">
        <v>269</v>
      </c>
      <c r="Z139" t="s">
        <v>206</v>
      </c>
    </row>
    <row r="140" spans="9:26" x14ac:dyDescent="0.2">
      <c r="I140"/>
      <c r="J140"/>
      <c r="U140" s="3" t="s">
        <v>69</v>
      </c>
      <c r="V140" s="6" t="s">
        <v>38</v>
      </c>
      <c r="X140" t="s">
        <v>208</v>
      </c>
      <c r="Y140" t="s">
        <v>270</v>
      </c>
      <c r="Z140" t="s">
        <v>206</v>
      </c>
    </row>
    <row r="141" spans="9:26" x14ac:dyDescent="0.2">
      <c r="I141"/>
      <c r="J141"/>
      <c r="U141" s="3" t="s">
        <v>70</v>
      </c>
      <c r="V141" s="6" t="s">
        <v>39</v>
      </c>
      <c r="X141" t="s">
        <v>208</v>
      </c>
      <c r="Y141" t="s">
        <v>271</v>
      </c>
      <c r="Z141" t="s">
        <v>206</v>
      </c>
    </row>
    <row r="142" spans="9:26" x14ac:dyDescent="0.2">
      <c r="I142"/>
      <c r="J142"/>
      <c r="U142" s="3" t="s">
        <v>71</v>
      </c>
      <c r="V142" s="6" t="s">
        <v>40</v>
      </c>
      <c r="X142" t="s">
        <v>208</v>
      </c>
      <c r="Y142" t="s">
        <v>272</v>
      </c>
      <c r="Z142" t="s">
        <v>206</v>
      </c>
    </row>
    <row r="143" spans="9:26" x14ac:dyDescent="0.2">
      <c r="I143"/>
      <c r="J143"/>
      <c r="U143" s="3" t="s">
        <v>72</v>
      </c>
      <c r="V143" s="6" t="s">
        <v>42</v>
      </c>
      <c r="X143" t="s">
        <v>208</v>
      </c>
      <c r="Y143" t="s">
        <v>273</v>
      </c>
      <c r="Z143" t="s">
        <v>206</v>
      </c>
    </row>
    <row r="144" spans="9:26" x14ac:dyDescent="0.2">
      <c r="I144"/>
      <c r="J144"/>
      <c r="U144" s="3" t="s">
        <v>73</v>
      </c>
      <c r="V144" s="6" t="s">
        <v>100</v>
      </c>
      <c r="X144" t="s">
        <v>208</v>
      </c>
      <c r="Y144" t="s">
        <v>274</v>
      </c>
      <c r="Z144" t="s">
        <v>206</v>
      </c>
    </row>
    <row r="145" spans="9:26" x14ac:dyDescent="0.2">
      <c r="I145"/>
      <c r="J145"/>
      <c r="U145" s="3" t="s">
        <v>74</v>
      </c>
      <c r="V145" s="6" t="s">
        <v>101</v>
      </c>
      <c r="X145" t="s">
        <v>208</v>
      </c>
      <c r="Y145" t="s">
        <v>275</v>
      </c>
      <c r="Z145" t="s">
        <v>206</v>
      </c>
    </row>
    <row r="146" spans="9:26" x14ac:dyDescent="0.2">
      <c r="I146"/>
      <c r="J146"/>
      <c r="U146" s="3" t="s">
        <v>75</v>
      </c>
      <c r="V146" s="6" t="s">
        <v>102</v>
      </c>
      <c r="X146" t="s">
        <v>208</v>
      </c>
      <c r="Y146" t="s">
        <v>276</v>
      </c>
      <c r="Z146" t="s">
        <v>206</v>
      </c>
    </row>
    <row r="147" spans="9:26" x14ac:dyDescent="0.2">
      <c r="I147"/>
      <c r="J147"/>
      <c r="U147" s="3" t="s">
        <v>76</v>
      </c>
      <c r="V147" s="6" t="s">
        <v>103</v>
      </c>
      <c r="X147" t="s">
        <v>208</v>
      </c>
      <c r="Y147" t="s">
        <v>277</v>
      </c>
      <c r="Z147" t="s">
        <v>206</v>
      </c>
    </row>
    <row r="148" spans="9:26" x14ac:dyDescent="0.2">
      <c r="I148"/>
      <c r="J148"/>
      <c r="U148" s="3" t="s">
        <v>77</v>
      </c>
      <c r="V148" s="6" t="s">
        <v>104</v>
      </c>
      <c r="X148" t="s">
        <v>208</v>
      </c>
      <c r="Y148" t="s">
        <v>278</v>
      </c>
      <c r="Z148" t="s">
        <v>206</v>
      </c>
    </row>
    <row r="149" spans="9:26" x14ac:dyDescent="0.2">
      <c r="I149"/>
      <c r="J149"/>
      <c r="U149" s="3" t="s">
        <v>78</v>
      </c>
      <c r="V149" s="6" t="s">
        <v>107</v>
      </c>
      <c r="X149" t="s">
        <v>208</v>
      </c>
      <c r="Y149" t="s">
        <v>279</v>
      </c>
      <c r="Z149" t="s">
        <v>206</v>
      </c>
    </row>
    <row r="150" spans="9:26" x14ac:dyDescent="0.2">
      <c r="I150"/>
      <c r="J150"/>
      <c r="U150" s="3" t="s">
        <v>79</v>
      </c>
      <c r="V150" s="6" t="s">
        <v>106</v>
      </c>
      <c r="X150" t="s">
        <v>208</v>
      </c>
      <c r="Y150" t="s">
        <v>280</v>
      </c>
      <c r="Z150" t="s">
        <v>206</v>
      </c>
    </row>
    <row r="151" spans="9:26" x14ac:dyDescent="0.2">
      <c r="U151" s="3" t="s">
        <v>80</v>
      </c>
      <c r="V151" s="6" t="s">
        <v>105</v>
      </c>
      <c r="X151" t="s">
        <v>208</v>
      </c>
      <c r="Y151" t="s">
        <v>281</v>
      </c>
      <c r="Z151" t="s">
        <v>206</v>
      </c>
    </row>
    <row r="152" spans="9:26" x14ac:dyDescent="0.2">
      <c r="U152" s="3" t="s">
        <v>81</v>
      </c>
      <c r="V152" s="6" t="s">
        <v>124</v>
      </c>
      <c r="X152" t="s">
        <v>208</v>
      </c>
      <c r="Y152" t="s">
        <v>282</v>
      </c>
      <c r="Z152" t="s">
        <v>206</v>
      </c>
    </row>
    <row r="153" spans="9:26" x14ac:dyDescent="0.2">
      <c r="U153" s="3" t="s">
        <v>82</v>
      </c>
      <c r="V153" s="6" t="s">
        <v>125</v>
      </c>
      <c r="X153" t="s">
        <v>208</v>
      </c>
      <c r="Y153" t="s">
        <v>283</v>
      </c>
      <c r="Z153" t="s">
        <v>206</v>
      </c>
    </row>
    <row r="154" spans="9:26" x14ac:dyDescent="0.2">
      <c r="U154" s="3" t="s">
        <v>83</v>
      </c>
      <c r="V154" s="6" t="s">
        <v>99</v>
      </c>
      <c r="X154" t="s">
        <v>208</v>
      </c>
      <c r="Y154" t="s">
        <v>284</v>
      </c>
      <c r="Z154" t="s">
        <v>206</v>
      </c>
    </row>
    <row r="155" spans="9:26" x14ac:dyDescent="0.2">
      <c r="U155" s="3" t="s">
        <v>84</v>
      </c>
      <c r="V155" s="6" t="s">
        <v>43</v>
      </c>
      <c r="X155" t="s">
        <v>208</v>
      </c>
      <c r="Y155" t="s">
        <v>285</v>
      </c>
      <c r="Z155" t="s">
        <v>206</v>
      </c>
    </row>
    <row r="156" spans="9:26" x14ac:dyDescent="0.2">
      <c r="U156" s="3" t="s">
        <v>85</v>
      </c>
      <c r="V156" s="6" t="s">
        <v>44</v>
      </c>
      <c r="X156" t="s">
        <v>208</v>
      </c>
      <c r="Y156" t="s">
        <v>44</v>
      </c>
      <c r="Z156" t="s">
        <v>206</v>
      </c>
    </row>
    <row r="157" spans="9:26" x14ac:dyDescent="0.2">
      <c r="U157" s="3" t="s">
        <v>1</v>
      </c>
      <c r="V157" s="6"/>
      <c r="X157" t="s">
        <v>207</v>
      </c>
      <c r="Z157" t="s">
        <v>206</v>
      </c>
    </row>
    <row r="158" spans="9:26" x14ac:dyDescent="0.2">
      <c r="U158" s="3"/>
      <c r="V158" s="6"/>
    </row>
    <row r="159" spans="9:26" x14ac:dyDescent="0.2">
      <c r="U159" s="3" t="s">
        <v>0</v>
      </c>
      <c r="V159" s="6"/>
    </row>
    <row r="160" spans="9:26" x14ac:dyDescent="0.2">
      <c r="U160" s="8" t="s">
        <v>98</v>
      </c>
      <c r="V160" s="3" t="s">
        <v>420</v>
      </c>
    </row>
    <row r="161" spans="21:26" ht="17" thickBot="1" x14ac:dyDescent="0.25">
      <c r="U161" s="4" t="s">
        <v>1</v>
      </c>
      <c r="V161" s="7"/>
    </row>
    <row r="166" spans="21:26" ht="19" x14ac:dyDescent="0.25">
      <c r="U166" s="19" t="s">
        <v>358</v>
      </c>
      <c r="Y166" t="s">
        <v>426</v>
      </c>
    </row>
    <row r="167" spans="21:26" x14ac:dyDescent="0.2">
      <c r="U167" s="25" t="s">
        <v>387</v>
      </c>
      <c r="V167" s="25" t="s">
        <v>396</v>
      </c>
      <c r="X167" t="s">
        <v>418</v>
      </c>
    </row>
    <row r="168" spans="21:26" x14ac:dyDescent="0.2">
      <c r="U168" s="3" t="s">
        <v>86</v>
      </c>
      <c r="V168" s="6" t="s">
        <v>203</v>
      </c>
      <c r="X168" t="s">
        <v>208</v>
      </c>
      <c r="Y168" t="s">
        <v>229</v>
      </c>
      <c r="Z168" t="s">
        <v>206</v>
      </c>
    </row>
    <row r="169" spans="21:26" x14ac:dyDescent="0.2">
      <c r="U169" s="3" t="s">
        <v>88</v>
      </c>
      <c r="V169" s="6" t="s">
        <v>44</v>
      </c>
      <c r="X169" t="s">
        <v>208</v>
      </c>
      <c r="Y169" t="s">
        <v>209</v>
      </c>
      <c r="Z169" t="s">
        <v>206</v>
      </c>
    </row>
    <row r="170" spans="21:26" x14ac:dyDescent="0.2">
      <c r="U170" s="3" t="s">
        <v>67</v>
      </c>
      <c r="V170" s="6" t="s">
        <v>44</v>
      </c>
      <c r="X170" t="s">
        <v>208</v>
      </c>
      <c r="Y170" t="s">
        <v>210</v>
      </c>
      <c r="Z170" t="s">
        <v>206</v>
      </c>
    </row>
    <row r="171" spans="21:26" x14ac:dyDescent="0.2">
      <c r="U171" s="3" t="s">
        <v>68</v>
      </c>
      <c r="V171" s="6" t="s">
        <v>44</v>
      </c>
      <c r="X171" t="s">
        <v>208</v>
      </c>
      <c r="Y171" t="s">
        <v>211</v>
      </c>
      <c r="Z171" t="s">
        <v>206</v>
      </c>
    </row>
    <row r="172" spans="21:26" x14ac:dyDescent="0.2">
      <c r="U172" s="3" t="s">
        <v>69</v>
      </c>
      <c r="V172" s="6" t="s">
        <v>44</v>
      </c>
      <c r="X172" t="s">
        <v>208</v>
      </c>
      <c r="Y172" t="s">
        <v>212</v>
      </c>
      <c r="Z172" t="s">
        <v>206</v>
      </c>
    </row>
    <row r="173" spans="21:26" x14ac:dyDescent="0.2">
      <c r="U173" s="3" t="s">
        <v>70</v>
      </c>
      <c r="V173" s="6" t="s">
        <v>44</v>
      </c>
      <c r="X173" t="s">
        <v>208</v>
      </c>
      <c r="Y173" t="s">
        <v>213</v>
      </c>
      <c r="Z173" t="s">
        <v>206</v>
      </c>
    </row>
    <row r="174" spans="21:26" x14ac:dyDescent="0.2">
      <c r="U174" s="3" t="s">
        <v>71</v>
      </c>
      <c r="V174" s="6" t="s">
        <v>44</v>
      </c>
      <c r="X174" t="s">
        <v>208</v>
      </c>
      <c r="Y174" t="s">
        <v>214</v>
      </c>
      <c r="Z174" t="s">
        <v>206</v>
      </c>
    </row>
    <row r="175" spans="21:26" x14ac:dyDescent="0.2">
      <c r="U175" s="3" t="s">
        <v>72</v>
      </c>
      <c r="V175" s="6" t="s">
        <v>44</v>
      </c>
      <c r="X175" t="s">
        <v>208</v>
      </c>
      <c r="Y175" t="s">
        <v>215</v>
      </c>
      <c r="Z175" t="s">
        <v>206</v>
      </c>
    </row>
    <row r="176" spans="21:26" x14ac:dyDescent="0.2">
      <c r="U176" s="3" t="s">
        <v>73</v>
      </c>
      <c r="V176" s="6" t="s">
        <v>44</v>
      </c>
      <c r="X176" t="s">
        <v>208</v>
      </c>
      <c r="Y176" t="s">
        <v>216</v>
      </c>
      <c r="Z176" t="s">
        <v>206</v>
      </c>
    </row>
    <row r="177" spans="21:26" x14ac:dyDescent="0.2">
      <c r="U177" s="3" t="s">
        <v>74</v>
      </c>
      <c r="V177" s="6" t="s">
        <v>44</v>
      </c>
      <c r="X177" t="s">
        <v>208</v>
      </c>
      <c r="Y177" t="s">
        <v>217</v>
      </c>
      <c r="Z177" t="s">
        <v>206</v>
      </c>
    </row>
    <row r="178" spans="21:26" x14ac:dyDescent="0.2">
      <c r="U178" s="3" t="s">
        <v>75</v>
      </c>
      <c r="V178" s="6" t="s">
        <v>44</v>
      </c>
      <c r="X178" t="s">
        <v>208</v>
      </c>
      <c r="Y178" t="s">
        <v>218</v>
      </c>
      <c r="Z178" t="s">
        <v>206</v>
      </c>
    </row>
    <row r="179" spans="21:26" x14ac:dyDescent="0.2">
      <c r="U179" s="3" t="s">
        <v>76</v>
      </c>
      <c r="V179" s="6" t="s">
        <v>44</v>
      </c>
      <c r="X179" t="s">
        <v>208</v>
      </c>
      <c r="Y179" t="s">
        <v>219</v>
      </c>
      <c r="Z179" t="s">
        <v>206</v>
      </c>
    </row>
    <row r="180" spans="21:26" x14ac:dyDescent="0.2">
      <c r="U180" s="3" t="s">
        <v>77</v>
      </c>
      <c r="V180" s="6" t="s">
        <v>44</v>
      </c>
      <c r="X180" t="s">
        <v>208</v>
      </c>
      <c r="Y180" t="s">
        <v>220</v>
      </c>
      <c r="Z180" t="s">
        <v>206</v>
      </c>
    </row>
    <row r="181" spans="21:26" x14ac:dyDescent="0.2">
      <c r="U181" s="3" t="s">
        <v>78</v>
      </c>
      <c r="V181" s="6" t="s">
        <v>44</v>
      </c>
      <c r="X181" t="s">
        <v>208</v>
      </c>
      <c r="Y181" t="s">
        <v>221</v>
      </c>
      <c r="Z181" t="s">
        <v>206</v>
      </c>
    </row>
    <row r="182" spans="21:26" x14ac:dyDescent="0.2">
      <c r="U182" s="3" t="s">
        <v>79</v>
      </c>
      <c r="V182" s="6" t="s">
        <v>44</v>
      </c>
      <c r="X182" t="s">
        <v>208</v>
      </c>
      <c r="Y182" t="s">
        <v>222</v>
      </c>
      <c r="Z182" t="s">
        <v>206</v>
      </c>
    </row>
    <row r="183" spans="21:26" x14ac:dyDescent="0.2">
      <c r="U183" s="3" t="s">
        <v>80</v>
      </c>
      <c r="V183" s="6" t="s">
        <v>44</v>
      </c>
      <c r="X183" t="s">
        <v>208</v>
      </c>
      <c r="Y183" t="s">
        <v>223</v>
      </c>
      <c r="Z183" t="s">
        <v>206</v>
      </c>
    </row>
    <row r="184" spans="21:26" x14ac:dyDescent="0.2">
      <c r="U184" s="3" t="s">
        <v>81</v>
      </c>
      <c r="V184" s="6" t="s">
        <v>44</v>
      </c>
      <c r="X184" t="s">
        <v>208</v>
      </c>
      <c r="Y184" t="s">
        <v>224</v>
      </c>
      <c r="Z184" t="s">
        <v>206</v>
      </c>
    </row>
    <row r="185" spans="21:26" x14ac:dyDescent="0.2">
      <c r="U185" s="3" t="s">
        <v>82</v>
      </c>
      <c r="V185" s="6" t="s">
        <v>44</v>
      </c>
      <c r="X185" t="s">
        <v>208</v>
      </c>
      <c r="Y185" t="s">
        <v>225</v>
      </c>
      <c r="Z185" t="s">
        <v>206</v>
      </c>
    </row>
    <row r="186" spans="21:26" x14ac:dyDescent="0.2">
      <c r="U186" s="3" t="s">
        <v>83</v>
      </c>
      <c r="V186" s="6" t="s">
        <v>44</v>
      </c>
      <c r="X186" t="s">
        <v>208</v>
      </c>
      <c r="Y186" t="s">
        <v>226</v>
      </c>
      <c r="Z186" t="s">
        <v>206</v>
      </c>
    </row>
    <row r="187" spans="21:26" x14ac:dyDescent="0.2">
      <c r="U187" s="3" t="s">
        <v>84</v>
      </c>
      <c r="V187" s="6" t="s">
        <v>44</v>
      </c>
      <c r="X187" t="s">
        <v>208</v>
      </c>
      <c r="Y187" t="s">
        <v>227</v>
      </c>
      <c r="Z187" t="s">
        <v>206</v>
      </c>
    </row>
    <row r="188" spans="21:26" x14ac:dyDescent="0.2">
      <c r="U188" s="3" t="s">
        <v>85</v>
      </c>
      <c r="V188" s="6" t="s">
        <v>44</v>
      </c>
      <c r="X188" t="s">
        <v>208</v>
      </c>
      <c r="Y188" t="s">
        <v>228</v>
      </c>
      <c r="Z188" t="s">
        <v>206</v>
      </c>
    </row>
    <row r="189" spans="21:26" x14ac:dyDescent="0.2">
      <c r="U189" s="3" t="s">
        <v>204</v>
      </c>
      <c r="V189" s="6" t="s">
        <v>205</v>
      </c>
      <c r="X189" t="s">
        <v>207</v>
      </c>
    </row>
    <row r="190" spans="21:26" x14ac:dyDescent="0.2">
      <c r="U190" s="3" t="s">
        <v>1</v>
      </c>
      <c r="V190" s="6"/>
    </row>
    <row r="191" spans="21:26" x14ac:dyDescent="0.2">
      <c r="U191" s="3" t="s">
        <v>0</v>
      </c>
      <c r="V191" s="6"/>
    </row>
    <row r="192" spans="21:26" x14ac:dyDescent="0.2">
      <c r="U192" s="8" t="s">
        <v>98</v>
      </c>
      <c r="V192" s="3" t="s">
        <v>421</v>
      </c>
    </row>
    <row r="193" spans="21:22" ht="17" thickBot="1" x14ac:dyDescent="0.25">
      <c r="U193" s="4" t="s">
        <v>1</v>
      </c>
      <c r="V193" s="7"/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67DAC-5989-AE44-9AAE-7595DA5DB54F}">
  <sheetPr codeName="Sheet6">
    <tabColor rgb="FFFFFF00"/>
  </sheetPr>
  <dimension ref="A1:AD486"/>
  <sheetViews>
    <sheetView tabSelected="1" topLeftCell="A452" zoomScaleNormal="100" workbookViewId="0">
      <selection activeCell="H486" sqref="H486"/>
    </sheetView>
  </sheetViews>
  <sheetFormatPr baseColWidth="10" defaultRowHeight="16" x14ac:dyDescent="0.2"/>
  <cols>
    <col min="1" max="1" width="16" customWidth="1"/>
    <col min="2" max="2" width="13.1640625" customWidth="1"/>
    <col min="3" max="3" width="30" customWidth="1"/>
    <col min="4" max="4" width="2.5" customWidth="1"/>
    <col min="5" max="5" width="38.33203125" customWidth="1"/>
    <col min="6" max="8" width="9.5" customWidth="1"/>
    <col min="9" max="9" width="39.6640625" style="1" customWidth="1"/>
    <col min="10" max="10" width="38.83203125" customWidth="1"/>
    <col min="11" max="11" width="7.83203125" customWidth="1"/>
    <col min="12" max="12" width="8.6640625" customWidth="1"/>
    <col min="13" max="15" width="9.33203125" customWidth="1"/>
    <col min="20" max="20" width="15.6640625" customWidth="1"/>
    <col min="21" max="21" width="45.33203125" customWidth="1"/>
    <col min="22" max="22" width="9.33203125" customWidth="1"/>
    <col min="23" max="23" width="17.33203125" customWidth="1"/>
    <col min="24" max="24" width="4.33203125" customWidth="1"/>
    <col min="25" max="26" width="3.5" customWidth="1"/>
    <col min="27" max="28" width="2.83203125" customWidth="1"/>
    <col min="29" max="29" width="28" customWidth="1"/>
    <col min="30" max="30" width="39.5" customWidth="1"/>
  </cols>
  <sheetData>
    <row r="1" spans="1:30" x14ac:dyDescent="0.2">
      <c r="A1" s="72" t="s">
        <v>816</v>
      </c>
      <c r="B1" s="91" t="s">
        <v>917</v>
      </c>
      <c r="C1" s="73"/>
      <c r="D1" s="73"/>
      <c r="E1" s="73"/>
      <c r="F1" s="73"/>
      <c r="G1" s="73"/>
      <c r="H1" s="73"/>
      <c r="I1" s="148" t="s">
        <v>923</v>
      </c>
      <c r="W1" s="12" t="s">
        <v>188</v>
      </c>
      <c r="X1" s="12">
        <v>0</v>
      </c>
      <c r="Y1" s="12"/>
      <c r="Z1" s="12"/>
      <c r="AA1" s="12"/>
      <c r="AB1" s="12"/>
      <c r="AC1" s="12" t="s">
        <v>138</v>
      </c>
      <c r="AD1" s="12" t="s">
        <v>187</v>
      </c>
    </row>
    <row r="2" spans="1:30" x14ac:dyDescent="0.2">
      <c r="A2" s="76" t="s">
        <v>817</v>
      </c>
      <c r="B2" s="92" t="s">
        <v>918</v>
      </c>
      <c r="C2" s="8"/>
      <c r="D2" s="8"/>
      <c r="E2" s="8"/>
      <c r="F2" s="8"/>
      <c r="G2" s="8"/>
      <c r="H2" s="8"/>
      <c r="I2" s="149" t="s">
        <v>964</v>
      </c>
      <c r="W2" s="12" t="s">
        <v>169</v>
      </c>
      <c r="X2" s="12">
        <v>1</v>
      </c>
      <c r="Y2" s="12"/>
      <c r="Z2" s="12"/>
      <c r="AA2" s="12"/>
      <c r="AB2" s="12"/>
      <c r="AC2" s="12" t="s">
        <v>139</v>
      </c>
      <c r="AD2" s="12" t="s">
        <v>126</v>
      </c>
    </row>
    <row r="3" spans="1:30" x14ac:dyDescent="0.2">
      <c r="A3" s="76" t="s">
        <v>772</v>
      </c>
      <c r="B3" s="92" t="s">
        <v>919</v>
      </c>
      <c r="C3" s="8"/>
      <c r="D3" s="8"/>
      <c r="E3" s="8"/>
      <c r="F3" s="8"/>
      <c r="G3" s="8"/>
      <c r="H3" s="8"/>
      <c r="I3" s="149" t="s">
        <v>965</v>
      </c>
      <c r="W3" s="12" t="s">
        <v>169</v>
      </c>
      <c r="X3" s="12">
        <v>2</v>
      </c>
      <c r="Y3" s="12"/>
      <c r="Z3" s="12"/>
      <c r="AA3" s="12"/>
      <c r="AB3" s="12"/>
      <c r="AC3" s="12" t="s">
        <v>140</v>
      </c>
      <c r="AD3" s="12" t="s">
        <v>127</v>
      </c>
    </row>
    <row r="4" spans="1:30" x14ac:dyDescent="0.2">
      <c r="A4" s="76" t="s">
        <v>818</v>
      </c>
      <c r="B4" s="92" t="s">
        <v>920</v>
      </c>
      <c r="C4" s="8"/>
      <c r="D4" s="8"/>
      <c r="E4" s="8"/>
      <c r="F4" s="8"/>
      <c r="G4" s="8"/>
      <c r="H4" s="8"/>
      <c r="I4" s="149"/>
      <c r="W4" s="12" t="s">
        <v>169</v>
      </c>
      <c r="X4" s="12">
        <v>3</v>
      </c>
      <c r="Y4" s="12"/>
      <c r="Z4" s="12"/>
      <c r="AA4" s="12"/>
      <c r="AB4" s="12"/>
      <c r="AC4" s="12" t="s">
        <v>141</v>
      </c>
      <c r="AD4" s="12" t="s">
        <v>128</v>
      </c>
    </row>
    <row r="5" spans="1:30" x14ac:dyDescent="0.2">
      <c r="A5" s="76" t="s">
        <v>970</v>
      </c>
      <c r="B5" s="92" t="s">
        <v>971</v>
      </c>
      <c r="C5" s="8"/>
      <c r="D5" s="8"/>
      <c r="E5" s="8"/>
      <c r="F5" s="8"/>
      <c r="G5" s="8"/>
      <c r="H5" s="8"/>
      <c r="I5" s="149"/>
      <c r="W5" s="12" t="s">
        <v>169</v>
      </c>
      <c r="X5" s="12">
        <v>4</v>
      </c>
      <c r="Y5" s="12"/>
      <c r="Z5" s="12"/>
      <c r="AA5" s="12"/>
      <c r="AB5" s="12"/>
      <c r="AC5" s="12" t="s">
        <v>142</v>
      </c>
      <c r="AD5" s="12" t="s">
        <v>137</v>
      </c>
    </row>
    <row r="6" spans="1:30" x14ac:dyDescent="0.2">
      <c r="A6" s="76" t="s">
        <v>940</v>
      </c>
      <c r="B6" s="92" t="s">
        <v>941</v>
      </c>
      <c r="C6" s="8"/>
      <c r="D6" s="8"/>
      <c r="E6" s="8"/>
      <c r="F6" s="8"/>
      <c r="G6" s="8"/>
      <c r="H6" s="8"/>
      <c r="I6" s="149"/>
      <c r="W6" s="12" t="s">
        <v>169</v>
      </c>
      <c r="X6" s="12">
        <v>5</v>
      </c>
      <c r="Y6" s="12"/>
      <c r="Z6" s="12"/>
      <c r="AA6" s="12"/>
      <c r="AB6" s="12"/>
      <c r="AC6" s="12" t="s">
        <v>143</v>
      </c>
      <c r="AD6" s="12" t="s">
        <v>183</v>
      </c>
    </row>
    <row r="7" spans="1:30" x14ac:dyDescent="0.2">
      <c r="A7" s="76" t="s">
        <v>820</v>
      </c>
      <c r="B7" s="92" t="s">
        <v>922</v>
      </c>
      <c r="C7" s="8"/>
      <c r="D7" s="8"/>
      <c r="E7" s="8"/>
      <c r="F7" s="8"/>
      <c r="G7" s="8"/>
      <c r="H7" s="8"/>
      <c r="I7" s="149"/>
      <c r="W7" s="12" t="s">
        <v>169</v>
      </c>
      <c r="X7" s="12">
        <v>6</v>
      </c>
      <c r="Y7" s="12"/>
      <c r="Z7" s="12"/>
      <c r="AA7" s="12"/>
      <c r="AB7" s="12"/>
      <c r="AC7" s="12" t="s">
        <v>144</v>
      </c>
      <c r="AD7" s="12" t="s">
        <v>184</v>
      </c>
    </row>
    <row r="8" spans="1:30" x14ac:dyDescent="0.2">
      <c r="A8" s="76" t="s">
        <v>821</v>
      </c>
      <c r="B8" s="92"/>
      <c r="C8" s="8" t="s">
        <v>967</v>
      </c>
      <c r="D8" s="8"/>
      <c r="E8" s="8"/>
      <c r="F8" s="8"/>
      <c r="G8" s="8"/>
      <c r="H8" s="8"/>
      <c r="I8" s="149"/>
      <c r="W8" s="12" t="s">
        <v>169</v>
      </c>
      <c r="X8" s="12">
        <v>7</v>
      </c>
      <c r="Y8" s="12"/>
      <c r="Z8" s="12"/>
      <c r="AA8" s="12"/>
      <c r="AB8" s="12"/>
      <c r="AC8" s="12" t="s">
        <v>145</v>
      </c>
      <c r="AD8" s="12" t="s">
        <v>185</v>
      </c>
    </row>
    <row r="9" spans="1:30" ht="17" thickBot="1" x14ac:dyDescent="0.25">
      <c r="A9" s="76" t="s">
        <v>793</v>
      </c>
      <c r="B9" s="93">
        <v>10</v>
      </c>
      <c r="C9" s="81"/>
      <c r="D9" s="81"/>
      <c r="E9" s="81"/>
      <c r="F9" s="81"/>
      <c r="G9" s="81"/>
      <c r="H9" s="81"/>
      <c r="I9" s="150"/>
      <c r="W9" s="12" t="s">
        <v>169</v>
      </c>
      <c r="X9" s="12">
        <v>8</v>
      </c>
      <c r="Y9" s="12"/>
      <c r="Z9" s="12"/>
      <c r="AA9" s="12"/>
      <c r="AB9" s="12"/>
      <c r="AC9" s="12" t="s">
        <v>146</v>
      </c>
      <c r="AD9" s="12" t="s">
        <v>136</v>
      </c>
    </row>
    <row r="10" spans="1:30" x14ac:dyDescent="0.2">
      <c r="A10" s="90" t="s">
        <v>784</v>
      </c>
      <c r="B10" s="89" t="s">
        <v>785</v>
      </c>
      <c r="C10" s="89" t="s">
        <v>787</v>
      </c>
      <c r="D10" s="89"/>
      <c r="E10" s="89" t="s">
        <v>788</v>
      </c>
      <c r="F10" s="89" t="s">
        <v>807</v>
      </c>
      <c r="G10" s="89" t="s">
        <v>808</v>
      </c>
      <c r="H10" s="89" t="s">
        <v>811</v>
      </c>
      <c r="I10" s="151" t="s">
        <v>812</v>
      </c>
      <c r="W10" s="12" t="s">
        <v>169</v>
      </c>
      <c r="X10" s="12">
        <v>9</v>
      </c>
      <c r="Y10" s="12"/>
      <c r="Z10" s="12"/>
      <c r="AA10" s="12"/>
      <c r="AB10" s="12"/>
      <c r="AC10" s="12" t="s">
        <v>147</v>
      </c>
      <c r="AD10" s="12" t="s">
        <v>129</v>
      </c>
    </row>
    <row r="11" spans="1:30" x14ac:dyDescent="0.2">
      <c r="A11" s="78">
        <v>0</v>
      </c>
      <c r="B11" s="69" t="s">
        <v>208</v>
      </c>
      <c r="C11" s="69" t="s">
        <v>326</v>
      </c>
      <c r="D11" s="69"/>
      <c r="E11" s="70" t="s">
        <v>109</v>
      </c>
      <c r="F11" s="70">
        <v>0</v>
      </c>
      <c r="G11" s="70">
        <v>5000</v>
      </c>
      <c r="H11" s="70">
        <v>20</v>
      </c>
      <c r="I11" s="79"/>
      <c r="W11" s="12" t="s">
        <v>169</v>
      </c>
      <c r="X11" s="12">
        <v>10</v>
      </c>
      <c r="Y11" s="12"/>
      <c r="Z11" s="12"/>
      <c r="AA11" s="12"/>
      <c r="AB11" s="12"/>
      <c r="AC11" s="12" t="s">
        <v>148</v>
      </c>
      <c r="AD11" s="12" t="s">
        <v>130</v>
      </c>
    </row>
    <row r="12" spans="1:30" x14ac:dyDescent="0.2">
      <c r="A12" s="78">
        <v>1</v>
      </c>
      <c r="B12" s="69" t="s">
        <v>208</v>
      </c>
      <c r="C12" s="69" t="s">
        <v>924</v>
      </c>
      <c r="D12" s="69"/>
      <c r="E12" s="70" t="s">
        <v>108</v>
      </c>
      <c r="F12" s="70">
        <v>0</v>
      </c>
      <c r="G12" s="70">
        <v>10000</v>
      </c>
      <c r="H12" s="70">
        <v>2000</v>
      </c>
      <c r="I12" s="79"/>
      <c r="W12" s="12" t="s">
        <v>169</v>
      </c>
      <c r="X12" s="12">
        <v>11</v>
      </c>
      <c r="Y12" s="12"/>
      <c r="Z12" s="12"/>
      <c r="AA12" s="12"/>
      <c r="AB12" s="12"/>
      <c r="AC12" s="12" t="s">
        <v>149</v>
      </c>
      <c r="AD12" s="12" t="s">
        <v>186</v>
      </c>
    </row>
    <row r="13" spans="1:30" x14ac:dyDescent="0.2">
      <c r="A13" s="78">
        <v>2</v>
      </c>
      <c r="B13" s="69" t="s">
        <v>208</v>
      </c>
      <c r="C13" s="69" t="s">
        <v>328</v>
      </c>
      <c r="D13" s="69"/>
      <c r="E13" s="70" t="s">
        <v>110</v>
      </c>
      <c r="F13" s="70">
        <v>0</v>
      </c>
      <c r="G13" s="70">
        <v>1</v>
      </c>
      <c r="H13" s="70">
        <v>1</v>
      </c>
      <c r="I13" s="79"/>
      <c r="W13" s="12" t="s">
        <v>169</v>
      </c>
      <c r="X13" s="12">
        <v>12</v>
      </c>
      <c r="Y13" s="12"/>
      <c r="Z13" s="12"/>
      <c r="AA13" s="12"/>
      <c r="AB13" s="12"/>
      <c r="AC13" s="12" t="s">
        <v>150</v>
      </c>
      <c r="AD13" s="12" t="s">
        <v>131</v>
      </c>
    </row>
    <row r="14" spans="1:30" x14ac:dyDescent="0.2">
      <c r="A14" s="78">
        <v>3</v>
      </c>
      <c r="B14" s="69" t="s">
        <v>208</v>
      </c>
      <c r="C14" s="69" t="s">
        <v>714</v>
      </c>
      <c r="D14" s="69"/>
      <c r="E14" s="70" t="s">
        <v>810</v>
      </c>
      <c r="F14" s="70">
        <v>0</v>
      </c>
      <c r="G14" s="70">
        <v>1023</v>
      </c>
      <c r="H14" s="70">
        <v>512</v>
      </c>
      <c r="I14" s="79" t="s">
        <v>833</v>
      </c>
      <c r="W14" s="12" t="s">
        <v>169</v>
      </c>
      <c r="X14" s="12">
        <v>13</v>
      </c>
      <c r="Y14" s="12"/>
      <c r="Z14" s="12"/>
      <c r="AA14" s="12"/>
      <c r="AB14" s="12"/>
      <c r="AC14" s="12" t="s">
        <v>151</v>
      </c>
      <c r="AD14" s="12" t="s">
        <v>132</v>
      </c>
    </row>
    <row r="15" spans="1:30" x14ac:dyDescent="0.2">
      <c r="A15" s="78">
        <v>4</v>
      </c>
      <c r="B15" s="69" t="s">
        <v>208</v>
      </c>
      <c r="C15" s="69" t="s">
        <v>715</v>
      </c>
      <c r="D15" s="69"/>
      <c r="E15" s="70" t="s">
        <v>809</v>
      </c>
      <c r="F15" s="70">
        <v>0</v>
      </c>
      <c r="G15" s="70">
        <v>3</v>
      </c>
      <c r="H15" s="70">
        <v>3</v>
      </c>
      <c r="I15" s="79" t="s">
        <v>834</v>
      </c>
      <c r="W15" s="12" t="s">
        <v>169</v>
      </c>
      <c r="X15" s="12">
        <v>14</v>
      </c>
      <c r="Y15" s="12"/>
      <c r="Z15" s="12"/>
      <c r="AA15" s="12"/>
      <c r="AB15" s="12"/>
      <c r="AC15" s="12" t="s">
        <v>152</v>
      </c>
      <c r="AD15" s="12" t="s">
        <v>133</v>
      </c>
    </row>
    <row r="16" spans="1:30" x14ac:dyDescent="0.2">
      <c r="A16" s="78">
        <v>5</v>
      </c>
      <c r="B16" s="69" t="s">
        <v>208</v>
      </c>
      <c r="C16" s="69" t="s">
        <v>709</v>
      </c>
      <c r="D16" s="69"/>
      <c r="E16" s="70" t="s">
        <v>706</v>
      </c>
      <c r="F16" s="70">
        <v>-32</v>
      </c>
      <c r="G16" s="70">
        <v>150</v>
      </c>
      <c r="H16" s="70">
        <v>80</v>
      </c>
      <c r="I16" s="79" t="s">
        <v>835</v>
      </c>
      <c r="W16" s="12" t="s">
        <v>169</v>
      </c>
      <c r="X16" s="12">
        <v>15</v>
      </c>
      <c r="Y16" s="12"/>
      <c r="Z16" s="12"/>
      <c r="AA16" s="12"/>
      <c r="AB16" s="12"/>
      <c r="AC16" s="12" t="s">
        <v>153</v>
      </c>
      <c r="AD16" s="12" t="s">
        <v>134</v>
      </c>
    </row>
    <row r="17" spans="1:30" x14ac:dyDescent="0.2">
      <c r="A17" s="78">
        <v>6</v>
      </c>
      <c r="B17" s="69" t="s">
        <v>208</v>
      </c>
      <c r="C17" s="69" t="s">
        <v>707</v>
      </c>
      <c r="D17" s="69"/>
      <c r="E17" s="70" t="s">
        <v>120</v>
      </c>
      <c r="F17" s="70"/>
      <c r="G17" s="70"/>
      <c r="H17" s="70"/>
      <c r="I17" s="79"/>
      <c r="W17" s="12" t="s">
        <v>169</v>
      </c>
      <c r="X17" s="12">
        <v>16</v>
      </c>
      <c r="Y17" s="12"/>
      <c r="Z17" s="12"/>
      <c r="AA17" s="12"/>
      <c r="AB17" s="12"/>
      <c r="AC17" s="12" t="s">
        <v>166</v>
      </c>
      <c r="AD17" s="12" t="s">
        <v>178</v>
      </c>
    </row>
    <row r="18" spans="1:30" x14ac:dyDescent="0.2">
      <c r="A18" s="78">
        <v>7</v>
      </c>
      <c r="B18" s="69" t="s">
        <v>208</v>
      </c>
      <c r="C18" s="69" t="s">
        <v>708</v>
      </c>
      <c r="D18" s="69"/>
      <c r="E18" s="70" t="s">
        <v>121</v>
      </c>
      <c r="F18" s="70"/>
      <c r="G18" s="70"/>
      <c r="H18" s="70"/>
      <c r="I18" s="79"/>
      <c r="W18" s="12" t="s">
        <v>169</v>
      </c>
      <c r="X18" s="12">
        <v>17</v>
      </c>
      <c r="Y18" s="12"/>
      <c r="Z18" s="12"/>
      <c r="AA18" s="12"/>
      <c r="AB18" s="12"/>
      <c r="AC18" s="12" t="s">
        <v>167</v>
      </c>
      <c r="AD18" s="12" t="s">
        <v>179</v>
      </c>
    </row>
    <row r="19" spans="1:30" x14ac:dyDescent="0.2">
      <c r="A19" s="78">
        <v>8</v>
      </c>
      <c r="B19" s="69" t="s">
        <v>208</v>
      </c>
      <c r="C19" s="69" t="s">
        <v>290</v>
      </c>
      <c r="D19" s="69"/>
      <c r="E19" s="70" t="s">
        <v>445</v>
      </c>
      <c r="F19" s="70">
        <v>0</v>
      </c>
      <c r="G19" s="70">
        <v>28800</v>
      </c>
      <c r="H19" s="70"/>
      <c r="I19" s="79"/>
      <c r="W19" s="12" t="s">
        <v>169</v>
      </c>
      <c r="X19" s="12">
        <v>18</v>
      </c>
      <c r="Y19" s="12"/>
      <c r="Z19" s="12"/>
      <c r="AA19" s="12"/>
      <c r="AB19" s="12"/>
      <c r="AC19" s="12" t="s">
        <v>168</v>
      </c>
      <c r="AD19" s="12" t="s">
        <v>180</v>
      </c>
    </row>
    <row r="20" spans="1:30" ht="17" thickBot="1" x14ac:dyDescent="0.25">
      <c r="A20" s="158">
        <v>9</v>
      </c>
      <c r="B20" s="159" t="s">
        <v>208</v>
      </c>
      <c r="C20" s="159" t="s">
        <v>289</v>
      </c>
      <c r="D20" s="159"/>
      <c r="E20" s="160" t="s">
        <v>18</v>
      </c>
      <c r="F20" s="160"/>
      <c r="G20" s="160"/>
      <c r="H20" s="160"/>
      <c r="I20" s="161"/>
      <c r="W20" s="12" t="s">
        <v>169</v>
      </c>
      <c r="X20" s="12">
        <v>19</v>
      </c>
      <c r="Y20" s="12"/>
      <c r="Z20" s="12"/>
      <c r="AA20" s="12"/>
      <c r="AB20" s="12"/>
      <c r="AC20" s="12" t="s">
        <v>154</v>
      </c>
      <c r="AD20" s="12" t="s">
        <v>135</v>
      </c>
    </row>
    <row r="21" spans="1:30" x14ac:dyDescent="0.2">
      <c r="A21" s="157">
        <v>10</v>
      </c>
      <c r="B21" s="171" t="s">
        <v>208</v>
      </c>
      <c r="C21" s="164" t="s">
        <v>943</v>
      </c>
      <c r="D21" s="164"/>
      <c r="E21" s="165" t="s">
        <v>951</v>
      </c>
      <c r="F21" s="165"/>
      <c r="G21" s="165"/>
      <c r="H21" s="165"/>
      <c r="I21" s="166" t="s">
        <v>963</v>
      </c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78">
        <v>11</v>
      </c>
      <c r="B22" s="69" t="s">
        <v>208</v>
      </c>
      <c r="C22" s="162" t="s">
        <v>944</v>
      </c>
      <c r="D22" s="162"/>
      <c r="E22" s="163" t="s">
        <v>952</v>
      </c>
      <c r="F22" s="163"/>
      <c r="G22" s="163"/>
      <c r="H22" s="163"/>
      <c r="I22" s="167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78">
        <v>12</v>
      </c>
      <c r="B23" s="69" t="s">
        <v>208</v>
      </c>
      <c r="C23" s="162" t="s">
        <v>945</v>
      </c>
      <c r="D23" s="162"/>
      <c r="E23" s="163" t="s">
        <v>953</v>
      </c>
      <c r="F23" s="163"/>
      <c r="G23" s="163"/>
      <c r="H23" s="163"/>
      <c r="I23" s="167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78">
        <v>13</v>
      </c>
      <c r="B24" s="69" t="s">
        <v>208</v>
      </c>
      <c r="C24" s="162" t="s">
        <v>946</v>
      </c>
      <c r="D24" s="162"/>
      <c r="E24" s="163" t="s">
        <v>954</v>
      </c>
      <c r="F24" s="163"/>
      <c r="G24" s="163"/>
      <c r="H24" s="163"/>
      <c r="I24" s="167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78">
        <v>14</v>
      </c>
      <c r="B25" s="69" t="s">
        <v>208</v>
      </c>
      <c r="C25" s="162" t="s">
        <v>947</v>
      </c>
      <c r="D25" s="162"/>
      <c r="E25" s="163" t="s">
        <v>955</v>
      </c>
      <c r="F25" s="163"/>
      <c r="G25" s="163"/>
      <c r="H25" s="163"/>
      <c r="I25" s="167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78">
        <v>15</v>
      </c>
      <c r="B26" s="69" t="s">
        <v>208</v>
      </c>
      <c r="C26" s="162" t="s">
        <v>948</v>
      </c>
      <c r="D26" s="162"/>
      <c r="E26" s="163" t="s">
        <v>956</v>
      </c>
      <c r="F26" s="163"/>
      <c r="G26" s="163"/>
      <c r="H26" s="163"/>
      <c r="I26" s="167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78">
        <v>16</v>
      </c>
      <c r="B27" s="69" t="s">
        <v>208</v>
      </c>
      <c r="C27" s="162" t="s">
        <v>949</v>
      </c>
      <c r="D27" s="162"/>
      <c r="E27" s="163" t="s">
        <v>957</v>
      </c>
      <c r="F27" s="163"/>
      <c r="G27" s="163"/>
      <c r="H27" s="163"/>
      <c r="I27" s="167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78">
        <v>17</v>
      </c>
      <c r="B28" s="69" t="s">
        <v>208</v>
      </c>
      <c r="C28" s="162" t="s">
        <v>950</v>
      </c>
      <c r="D28" s="162"/>
      <c r="E28" s="163" t="s">
        <v>958</v>
      </c>
      <c r="F28" s="163"/>
      <c r="G28" s="163"/>
      <c r="H28" s="163"/>
      <c r="I28" s="167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78">
        <v>18</v>
      </c>
      <c r="B29" s="69" t="s">
        <v>208</v>
      </c>
      <c r="C29" s="162" t="s">
        <v>959</v>
      </c>
      <c r="D29" s="162"/>
      <c r="E29" s="163" t="s">
        <v>961</v>
      </c>
      <c r="F29" s="163"/>
      <c r="G29" s="163"/>
      <c r="H29" s="163"/>
      <c r="I29" s="167"/>
      <c r="W29" s="12"/>
      <c r="X29" s="12"/>
      <c r="Y29" s="12"/>
      <c r="Z29" s="12"/>
      <c r="AA29" s="12"/>
      <c r="AB29" s="12"/>
      <c r="AC29" s="12"/>
      <c r="AD29" s="12"/>
    </row>
    <row r="30" spans="1:30" ht="17" thickBot="1" x14ac:dyDescent="0.25">
      <c r="A30" s="152">
        <v>19</v>
      </c>
      <c r="B30" s="153" t="s">
        <v>208</v>
      </c>
      <c r="C30" s="168" t="s">
        <v>960</v>
      </c>
      <c r="D30" s="168"/>
      <c r="E30" s="169" t="s">
        <v>962</v>
      </c>
      <c r="F30" s="169"/>
      <c r="G30" s="169"/>
      <c r="H30" s="169"/>
      <c r="I30" s="170"/>
      <c r="W30" s="12"/>
      <c r="X30" s="12"/>
      <c r="Y30" s="12"/>
      <c r="Z30" s="12"/>
      <c r="AA30" s="12"/>
      <c r="AB30" s="12"/>
      <c r="AC30" s="12"/>
      <c r="AD30" s="12"/>
    </row>
    <row r="31" spans="1:30" ht="17" thickBot="1" x14ac:dyDescent="0.25">
      <c r="E31" s="146"/>
      <c r="F31" s="146"/>
      <c r="G31" s="146"/>
      <c r="H31" s="146"/>
      <c r="I31" s="146"/>
      <c r="W31" s="12" t="s">
        <v>169</v>
      </c>
      <c r="X31" s="12">
        <v>20</v>
      </c>
      <c r="Y31" s="12"/>
      <c r="Z31" s="12"/>
      <c r="AA31" s="12"/>
      <c r="AB31" s="12"/>
      <c r="AC31" s="12" t="s">
        <v>155</v>
      </c>
      <c r="AD31" s="12" t="s">
        <v>182</v>
      </c>
    </row>
    <row r="32" spans="1:30" x14ac:dyDescent="0.2">
      <c r="A32" s="72" t="s">
        <v>816</v>
      </c>
      <c r="B32" s="91" t="s">
        <v>813</v>
      </c>
      <c r="C32" s="73"/>
      <c r="D32" s="73"/>
      <c r="E32" s="73"/>
      <c r="F32" s="73"/>
      <c r="G32" s="73"/>
      <c r="H32" s="73"/>
      <c r="I32" s="156"/>
      <c r="W32" s="12" t="s">
        <v>169</v>
      </c>
      <c r="X32" s="12">
        <v>21</v>
      </c>
      <c r="Y32" s="12"/>
      <c r="Z32" s="12"/>
      <c r="AA32" s="12"/>
      <c r="AB32" s="12"/>
      <c r="AC32" s="12" t="s">
        <v>156</v>
      </c>
      <c r="AD32" s="12" t="s">
        <v>181</v>
      </c>
    </row>
    <row r="33" spans="1:30" x14ac:dyDescent="0.2">
      <c r="A33" s="76" t="s">
        <v>817</v>
      </c>
      <c r="B33" s="92" t="s">
        <v>916</v>
      </c>
      <c r="C33" s="8"/>
      <c r="D33" s="8"/>
      <c r="E33" s="8"/>
      <c r="F33" s="8"/>
      <c r="G33" s="8"/>
      <c r="H33" s="8"/>
      <c r="I33" s="149"/>
      <c r="W33" s="12" t="s">
        <v>169</v>
      </c>
      <c r="X33" s="12">
        <v>22</v>
      </c>
      <c r="Y33" s="12"/>
      <c r="Z33" s="12"/>
      <c r="AA33" s="12"/>
      <c r="AB33" s="12"/>
      <c r="AC33" s="12" t="s">
        <v>157</v>
      </c>
      <c r="AD33" s="12" t="s">
        <v>174</v>
      </c>
    </row>
    <row r="34" spans="1:30" x14ac:dyDescent="0.2">
      <c r="A34" s="76" t="s">
        <v>772</v>
      </c>
      <c r="B34" s="92" t="s">
        <v>825</v>
      </c>
      <c r="C34" s="8"/>
      <c r="D34" s="8"/>
      <c r="E34" s="8"/>
      <c r="F34" s="8"/>
      <c r="G34" s="8"/>
      <c r="H34" s="8"/>
      <c r="I34" s="149"/>
      <c r="W34" s="12" t="s">
        <v>169</v>
      </c>
      <c r="X34" s="12">
        <v>23</v>
      </c>
      <c r="Y34" s="12"/>
      <c r="Z34" s="12"/>
      <c r="AA34" s="12"/>
      <c r="AB34" s="12"/>
      <c r="AC34" s="12" t="s">
        <v>158</v>
      </c>
      <c r="AD34" s="12" t="s">
        <v>175</v>
      </c>
    </row>
    <row r="35" spans="1:30" x14ac:dyDescent="0.2">
      <c r="A35" s="76" t="s">
        <v>818</v>
      </c>
      <c r="B35" s="92" t="s">
        <v>824</v>
      </c>
      <c r="C35" s="8"/>
      <c r="D35" s="8"/>
      <c r="E35" s="8"/>
      <c r="F35" s="8"/>
      <c r="G35" s="8"/>
      <c r="H35" s="8"/>
      <c r="I35" s="149"/>
      <c r="W35" s="12" t="s">
        <v>169</v>
      </c>
      <c r="X35" s="12">
        <v>24</v>
      </c>
      <c r="Y35" s="12"/>
      <c r="Z35" s="12"/>
      <c r="AA35" s="12"/>
      <c r="AB35" s="12"/>
      <c r="AC35" s="12" t="s">
        <v>159</v>
      </c>
      <c r="AD35" s="12" t="s">
        <v>176</v>
      </c>
    </row>
    <row r="36" spans="1:30" x14ac:dyDescent="0.2">
      <c r="A36" s="76" t="s">
        <v>970</v>
      </c>
      <c r="B36" s="92" t="s">
        <v>971</v>
      </c>
      <c r="C36" s="8"/>
      <c r="D36" s="8"/>
      <c r="E36" s="8"/>
      <c r="F36" s="8"/>
      <c r="G36" s="8"/>
      <c r="H36" s="8"/>
      <c r="I36" s="149"/>
      <c r="W36" s="12" t="s">
        <v>169</v>
      </c>
      <c r="X36" s="12">
        <v>25</v>
      </c>
      <c r="Y36" s="12"/>
      <c r="Z36" s="12"/>
      <c r="AA36" s="12"/>
      <c r="AB36" s="12"/>
      <c r="AC36" s="12" t="s">
        <v>160</v>
      </c>
      <c r="AD36" s="12" t="s">
        <v>177</v>
      </c>
    </row>
    <row r="37" spans="1:30" x14ac:dyDescent="0.2">
      <c r="A37" s="76" t="s">
        <v>940</v>
      </c>
      <c r="B37" s="92" t="s">
        <v>941</v>
      </c>
      <c r="C37" s="8"/>
      <c r="D37" s="8"/>
      <c r="E37" s="8"/>
      <c r="F37" s="8"/>
      <c r="G37" s="8"/>
      <c r="H37" s="8"/>
      <c r="I37" s="149"/>
      <c r="W37" s="12" t="s">
        <v>169</v>
      </c>
      <c r="X37" s="12">
        <v>26</v>
      </c>
      <c r="Y37" s="12"/>
      <c r="Z37" s="12"/>
      <c r="AA37" s="12"/>
      <c r="AB37" s="12"/>
      <c r="AC37" s="12" t="s">
        <v>161</v>
      </c>
      <c r="AD37" s="12" t="s">
        <v>170</v>
      </c>
    </row>
    <row r="38" spans="1:30" x14ac:dyDescent="0.2">
      <c r="A38" s="76" t="s">
        <v>820</v>
      </c>
      <c r="B38" s="92" t="s">
        <v>790</v>
      </c>
      <c r="C38" s="8"/>
      <c r="D38" s="8"/>
      <c r="E38" s="8"/>
      <c r="F38" s="8"/>
      <c r="G38" s="8"/>
      <c r="H38" s="8"/>
      <c r="I38" s="149"/>
      <c r="W38" s="12" t="s">
        <v>169</v>
      </c>
      <c r="X38" s="12">
        <v>27</v>
      </c>
      <c r="Y38" s="12"/>
      <c r="Z38" s="12"/>
      <c r="AA38" s="12"/>
      <c r="AB38" s="12"/>
      <c r="AC38" s="12" t="s">
        <v>162</v>
      </c>
      <c r="AD38" s="12" t="s">
        <v>171</v>
      </c>
    </row>
    <row r="39" spans="1:30" x14ac:dyDescent="0.2">
      <c r="A39" s="76" t="s">
        <v>821</v>
      </c>
      <c r="B39" s="92"/>
      <c r="C39" s="8" t="s">
        <v>966</v>
      </c>
      <c r="D39" s="8"/>
      <c r="E39" s="8"/>
      <c r="F39" s="8"/>
      <c r="G39" s="8"/>
      <c r="H39" s="8"/>
      <c r="I39" s="149"/>
      <c r="W39" s="12" t="s">
        <v>169</v>
      </c>
      <c r="X39" s="12">
        <v>28</v>
      </c>
      <c r="Y39" s="12"/>
      <c r="Z39" s="12"/>
      <c r="AA39" s="12"/>
      <c r="AB39" s="12"/>
      <c r="AC39" s="12" t="s">
        <v>163</v>
      </c>
      <c r="AD39" s="12" t="s">
        <v>172</v>
      </c>
    </row>
    <row r="40" spans="1:30" ht="17" thickBot="1" x14ac:dyDescent="0.25">
      <c r="A40" s="76" t="s">
        <v>793</v>
      </c>
      <c r="B40" s="93">
        <v>10</v>
      </c>
      <c r="C40" s="81"/>
      <c r="D40" s="81"/>
      <c r="E40" s="81"/>
      <c r="F40" s="81"/>
      <c r="G40" s="81"/>
      <c r="H40" s="81"/>
      <c r="I40" s="150"/>
      <c r="W40" s="12" t="s">
        <v>169</v>
      </c>
      <c r="X40" s="12">
        <v>29</v>
      </c>
      <c r="Y40" s="12"/>
      <c r="Z40" s="12"/>
      <c r="AA40" s="12"/>
      <c r="AB40" s="12"/>
      <c r="AC40" s="12" t="s">
        <v>164</v>
      </c>
      <c r="AD40" s="12" t="s">
        <v>173</v>
      </c>
    </row>
    <row r="41" spans="1:30" x14ac:dyDescent="0.2">
      <c r="A41" s="90" t="s">
        <v>784</v>
      </c>
      <c r="B41" s="89" t="s">
        <v>785</v>
      </c>
      <c r="C41" s="89" t="s">
        <v>787</v>
      </c>
      <c r="D41" s="89"/>
      <c r="E41" s="89" t="s">
        <v>788</v>
      </c>
      <c r="F41" s="89" t="s">
        <v>807</v>
      </c>
      <c r="G41" s="89" t="s">
        <v>808</v>
      </c>
      <c r="H41" s="89" t="s">
        <v>811</v>
      </c>
      <c r="I41" s="151" t="s">
        <v>812</v>
      </c>
      <c r="W41" s="12" t="s">
        <v>169</v>
      </c>
      <c r="X41" s="12">
        <v>30</v>
      </c>
      <c r="Y41" s="12"/>
      <c r="Z41" s="12"/>
      <c r="AA41" s="12"/>
      <c r="AB41" s="12"/>
      <c r="AC41" s="12" t="s">
        <v>165</v>
      </c>
      <c r="AD41" s="12" t="s">
        <v>136</v>
      </c>
    </row>
    <row r="42" spans="1:30" x14ac:dyDescent="0.2">
      <c r="A42" s="78">
        <v>0</v>
      </c>
      <c r="B42" s="69" t="s">
        <v>208</v>
      </c>
      <c r="C42" s="69" t="s">
        <v>326</v>
      </c>
      <c r="D42" s="69"/>
      <c r="E42" s="70" t="s">
        <v>109</v>
      </c>
      <c r="F42" s="70">
        <v>0</v>
      </c>
      <c r="G42" s="70">
        <v>5000</v>
      </c>
      <c r="H42" s="70">
        <v>20</v>
      </c>
      <c r="I42" s="79"/>
    </row>
    <row r="43" spans="1:30" x14ac:dyDescent="0.2">
      <c r="A43" s="78">
        <v>1</v>
      </c>
      <c r="B43" s="69" t="s">
        <v>208</v>
      </c>
      <c r="C43" s="69" t="s">
        <v>924</v>
      </c>
      <c r="D43" s="69"/>
      <c r="E43" s="70" t="s">
        <v>108</v>
      </c>
      <c r="F43" s="70">
        <v>0</v>
      </c>
      <c r="G43" s="70">
        <v>10000</v>
      </c>
      <c r="H43" s="70">
        <v>2000</v>
      </c>
      <c r="I43" s="79"/>
    </row>
    <row r="44" spans="1:30" x14ac:dyDescent="0.2">
      <c r="A44" s="78">
        <v>2</v>
      </c>
      <c r="B44" s="69" t="s">
        <v>208</v>
      </c>
      <c r="C44" s="69" t="s">
        <v>328</v>
      </c>
      <c r="D44" s="69"/>
      <c r="E44" s="70" t="s">
        <v>110</v>
      </c>
      <c r="F44" s="70">
        <v>0</v>
      </c>
      <c r="G44" s="70">
        <v>1</v>
      </c>
      <c r="H44" s="70">
        <v>1</v>
      </c>
      <c r="I44" s="79"/>
    </row>
    <row r="45" spans="1:30" x14ac:dyDescent="0.2">
      <c r="A45" s="78">
        <v>3</v>
      </c>
      <c r="B45" s="69" t="s">
        <v>208</v>
      </c>
      <c r="C45" s="69" t="s">
        <v>714</v>
      </c>
      <c r="D45" s="69"/>
      <c r="E45" s="70" t="s">
        <v>810</v>
      </c>
      <c r="F45" s="70">
        <v>0</v>
      </c>
      <c r="G45" s="70">
        <v>1023</v>
      </c>
      <c r="H45" s="70">
        <v>512</v>
      </c>
      <c r="I45" s="79" t="s">
        <v>833</v>
      </c>
    </row>
    <row r="46" spans="1:30" x14ac:dyDescent="0.2">
      <c r="A46" s="78">
        <v>4</v>
      </c>
      <c r="B46" s="69" t="s">
        <v>208</v>
      </c>
      <c r="C46" s="69" t="s">
        <v>715</v>
      </c>
      <c r="D46" s="69"/>
      <c r="E46" s="70" t="s">
        <v>809</v>
      </c>
      <c r="F46" s="70">
        <v>0</v>
      </c>
      <c r="G46" s="70">
        <v>3</v>
      </c>
      <c r="H46" s="70">
        <v>3</v>
      </c>
      <c r="I46" s="79" t="s">
        <v>834</v>
      </c>
    </row>
    <row r="47" spans="1:30" x14ac:dyDescent="0.2">
      <c r="A47" s="78">
        <v>5</v>
      </c>
      <c r="B47" s="69" t="s">
        <v>208</v>
      </c>
      <c r="C47" s="69" t="s">
        <v>709</v>
      </c>
      <c r="D47" s="69"/>
      <c r="E47" s="70" t="s">
        <v>706</v>
      </c>
      <c r="F47" s="70">
        <v>-32</v>
      </c>
      <c r="G47" s="70">
        <v>150</v>
      </c>
      <c r="H47" s="70">
        <v>80</v>
      </c>
      <c r="I47" s="79" t="s">
        <v>835</v>
      </c>
    </row>
    <row r="48" spans="1:30" x14ac:dyDescent="0.2">
      <c r="A48" s="78">
        <v>6</v>
      </c>
      <c r="B48" s="69" t="s">
        <v>208</v>
      </c>
      <c r="C48" s="69" t="s">
        <v>707</v>
      </c>
      <c r="D48" s="69"/>
      <c r="E48" s="70" t="s">
        <v>120</v>
      </c>
      <c r="F48" s="70"/>
      <c r="G48" s="70"/>
      <c r="H48" s="70"/>
      <c r="I48" s="79"/>
    </row>
    <row r="49" spans="1:9" x14ac:dyDescent="0.2">
      <c r="A49" s="78">
        <v>7</v>
      </c>
      <c r="B49" s="69" t="s">
        <v>208</v>
      </c>
      <c r="C49" s="69" t="s">
        <v>708</v>
      </c>
      <c r="D49" s="69"/>
      <c r="E49" s="70" t="s">
        <v>121</v>
      </c>
      <c r="F49" s="70"/>
      <c r="G49" s="70"/>
      <c r="H49" s="70"/>
      <c r="I49" s="79"/>
    </row>
    <row r="50" spans="1:9" x14ac:dyDescent="0.2">
      <c r="A50" s="78">
        <v>8</v>
      </c>
      <c r="B50" s="69" t="s">
        <v>208</v>
      </c>
      <c r="C50" s="69" t="s">
        <v>290</v>
      </c>
      <c r="D50" s="69"/>
      <c r="E50" s="70" t="s">
        <v>445</v>
      </c>
      <c r="F50" s="70">
        <v>0</v>
      </c>
      <c r="G50" s="70">
        <v>28800</v>
      </c>
      <c r="H50" s="70"/>
      <c r="I50" s="79"/>
    </row>
    <row r="51" spans="1:9" ht="17" thickBot="1" x14ac:dyDescent="0.25">
      <c r="A51" s="152">
        <v>9</v>
      </c>
      <c r="B51" s="153" t="s">
        <v>208</v>
      </c>
      <c r="C51" s="153" t="s">
        <v>289</v>
      </c>
      <c r="D51" s="153"/>
      <c r="E51" s="154" t="s">
        <v>18</v>
      </c>
      <c r="F51" s="154"/>
      <c r="G51" s="154"/>
      <c r="H51" s="154"/>
      <c r="I51" s="155"/>
    </row>
    <row r="52" spans="1:9" ht="17" thickBot="1" x14ac:dyDescent="0.25">
      <c r="A52" s="147"/>
      <c r="E52" s="146"/>
      <c r="F52" s="146"/>
      <c r="G52" s="146"/>
      <c r="H52" s="146"/>
      <c r="I52" s="146"/>
    </row>
    <row r="53" spans="1:9" x14ac:dyDescent="0.2">
      <c r="A53" s="72" t="s">
        <v>816</v>
      </c>
      <c r="B53" s="91" t="s">
        <v>822</v>
      </c>
      <c r="C53" s="73"/>
      <c r="D53" s="73"/>
      <c r="E53" s="73"/>
      <c r="F53" s="73"/>
      <c r="G53" s="73"/>
      <c r="H53" s="73"/>
      <c r="I53" s="156"/>
    </row>
    <row r="54" spans="1:9" x14ac:dyDescent="0.2">
      <c r="A54" s="76" t="s">
        <v>817</v>
      </c>
      <c r="B54" s="92" t="s">
        <v>911</v>
      </c>
      <c r="C54" s="8"/>
      <c r="D54" s="8"/>
      <c r="E54" s="8"/>
      <c r="F54" s="8"/>
      <c r="G54" s="8"/>
      <c r="H54" s="8"/>
      <c r="I54" s="149"/>
    </row>
    <row r="55" spans="1:9" x14ac:dyDescent="0.2">
      <c r="A55" s="76" t="s">
        <v>772</v>
      </c>
      <c r="B55" s="92" t="s">
        <v>827</v>
      </c>
      <c r="C55" s="8"/>
      <c r="D55" s="8"/>
      <c r="E55" s="8"/>
      <c r="F55" s="8"/>
      <c r="G55" s="8"/>
      <c r="H55" s="8"/>
      <c r="I55" s="149"/>
    </row>
    <row r="56" spans="1:9" x14ac:dyDescent="0.2">
      <c r="A56" s="76" t="s">
        <v>818</v>
      </c>
      <c r="B56" s="92" t="s">
        <v>826</v>
      </c>
      <c r="C56" s="8"/>
      <c r="D56" s="8"/>
      <c r="E56" s="8"/>
      <c r="F56" s="8"/>
      <c r="G56" s="8"/>
      <c r="H56" s="8"/>
      <c r="I56" s="149"/>
    </row>
    <row r="57" spans="1:9" x14ac:dyDescent="0.2">
      <c r="A57" s="76" t="s">
        <v>970</v>
      </c>
      <c r="B57" s="92" t="s">
        <v>971</v>
      </c>
      <c r="C57" s="8"/>
      <c r="D57" s="8"/>
      <c r="E57" s="8"/>
      <c r="F57" s="8"/>
      <c r="G57" s="8"/>
      <c r="H57" s="8"/>
      <c r="I57" s="149"/>
    </row>
    <row r="58" spans="1:9" x14ac:dyDescent="0.2">
      <c r="A58" s="76" t="s">
        <v>940</v>
      </c>
      <c r="B58" s="92" t="s">
        <v>941</v>
      </c>
      <c r="C58" s="8"/>
      <c r="D58" s="8"/>
      <c r="E58" s="8"/>
      <c r="F58" s="8"/>
      <c r="G58" s="8"/>
      <c r="H58" s="8"/>
      <c r="I58" s="149"/>
    </row>
    <row r="59" spans="1:9" x14ac:dyDescent="0.2">
      <c r="A59" s="76" t="s">
        <v>820</v>
      </c>
      <c r="B59" s="92" t="s">
        <v>823</v>
      </c>
      <c r="C59" s="8"/>
      <c r="D59" s="8"/>
      <c r="E59" s="8"/>
      <c r="F59" s="8"/>
      <c r="G59" s="8"/>
      <c r="H59" s="8"/>
      <c r="I59" s="149"/>
    </row>
    <row r="60" spans="1:9" x14ac:dyDescent="0.2">
      <c r="A60" s="76" t="s">
        <v>821</v>
      </c>
      <c r="B60" s="92"/>
      <c r="C60" s="8" t="s">
        <v>966</v>
      </c>
      <c r="D60" s="8"/>
      <c r="E60" s="8"/>
      <c r="F60" s="8"/>
      <c r="G60" s="8"/>
      <c r="H60" s="8"/>
      <c r="I60" s="149"/>
    </row>
    <row r="61" spans="1:9" ht="17" thickBot="1" x14ac:dyDescent="0.25">
      <c r="A61" s="76" t="s">
        <v>793</v>
      </c>
      <c r="B61" s="93">
        <v>10</v>
      </c>
      <c r="C61" s="81"/>
      <c r="D61" s="81"/>
      <c r="E61" s="81"/>
      <c r="F61" s="81"/>
      <c r="G61" s="81"/>
      <c r="H61" s="81"/>
      <c r="I61" s="150"/>
    </row>
    <row r="62" spans="1:9" x14ac:dyDescent="0.2">
      <c r="A62" s="90" t="s">
        <v>784</v>
      </c>
      <c r="B62" s="89" t="s">
        <v>785</v>
      </c>
      <c r="C62" s="89" t="s">
        <v>787</v>
      </c>
      <c r="D62" s="89"/>
      <c r="E62" s="89" t="s">
        <v>788</v>
      </c>
      <c r="F62" s="89" t="s">
        <v>807</v>
      </c>
      <c r="G62" s="89" t="s">
        <v>808</v>
      </c>
      <c r="H62" s="89" t="s">
        <v>811</v>
      </c>
      <c r="I62" s="151" t="s">
        <v>812</v>
      </c>
    </row>
    <row r="63" spans="1:9" x14ac:dyDescent="0.2">
      <c r="A63" s="78">
        <v>0</v>
      </c>
      <c r="B63" s="69" t="s">
        <v>208</v>
      </c>
      <c r="C63" s="69" t="s">
        <v>326</v>
      </c>
      <c r="D63" s="69"/>
      <c r="E63" s="70" t="s">
        <v>109</v>
      </c>
      <c r="F63" s="70">
        <v>0</v>
      </c>
      <c r="G63" s="70">
        <v>5000</v>
      </c>
      <c r="H63" s="70">
        <v>20</v>
      </c>
      <c r="I63" s="79"/>
    </row>
    <row r="64" spans="1:9" x14ac:dyDescent="0.2">
      <c r="A64" s="78">
        <v>1</v>
      </c>
      <c r="B64" s="69" t="s">
        <v>208</v>
      </c>
      <c r="C64" s="69" t="s">
        <v>924</v>
      </c>
      <c r="D64" s="69"/>
      <c r="E64" s="70" t="s">
        <v>108</v>
      </c>
      <c r="F64" s="70">
        <v>0</v>
      </c>
      <c r="G64" s="70">
        <v>10000</v>
      </c>
      <c r="H64" s="70">
        <v>2000</v>
      </c>
      <c r="I64" s="79"/>
    </row>
    <row r="65" spans="1:9" x14ac:dyDescent="0.2">
      <c r="A65" s="78">
        <v>2</v>
      </c>
      <c r="B65" s="69" t="s">
        <v>208</v>
      </c>
      <c r="C65" s="69" t="s">
        <v>328</v>
      </c>
      <c r="D65" s="69"/>
      <c r="E65" s="70" t="s">
        <v>110</v>
      </c>
      <c r="F65" s="70">
        <v>0</v>
      </c>
      <c r="G65" s="70">
        <v>1</v>
      </c>
      <c r="H65" s="70">
        <v>1</v>
      </c>
      <c r="I65" s="79"/>
    </row>
    <row r="66" spans="1:9" x14ac:dyDescent="0.2">
      <c r="A66" s="78">
        <v>3</v>
      </c>
      <c r="B66" s="69" t="s">
        <v>208</v>
      </c>
      <c r="C66" s="69" t="s">
        <v>714</v>
      </c>
      <c r="D66" s="69"/>
      <c r="E66" s="70" t="s">
        <v>810</v>
      </c>
      <c r="F66" s="70">
        <v>0</v>
      </c>
      <c r="G66" s="70">
        <v>1023</v>
      </c>
      <c r="H66" s="70">
        <v>512</v>
      </c>
      <c r="I66" s="79" t="s">
        <v>832</v>
      </c>
    </row>
    <row r="67" spans="1:9" x14ac:dyDescent="0.2">
      <c r="A67" s="78">
        <v>4</v>
      </c>
      <c r="B67" s="69" t="s">
        <v>208</v>
      </c>
      <c r="C67" s="69" t="s">
        <v>715</v>
      </c>
      <c r="D67" s="69"/>
      <c r="E67" s="70" t="s">
        <v>809</v>
      </c>
      <c r="F67" s="70">
        <v>0</v>
      </c>
      <c r="G67" s="70">
        <v>3</v>
      </c>
      <c r="H67" s="70">
        <v>3</v>
      </c>
      <c r="I67" s="79" t="s">
        <v>815</v>
      </c>
    </row>
    <row r="68" spans="1:9" x14ac:dyDescent="0.2">
      <c r="A68" s="78">
        <v>5</v>
      </c>
      <c r="B68" s="69" t="s">
        <v>208</v>
      </c>
      <c r="C68" s="69" t="s">
        <v>709</v>
      </c>
      <c r="D68" s="69"/>
      <c r="E68" s="70" t="s">
        <v>706</v>
      </c>
      <c r="F68" s="70">
        <v>-32</v>
      </c>
      <c r="G68" s="70">
        <v>150</v>
      </c>
      <c r="H68" s="70">
        <v>80</v>
      </c>
      <c r="I68" s="79" t="s">
        <v>836</v>
      </c>
    </row>
    <row r="69" spans="1:9" x14ac:dyDescent="0.2">
      <c r="A69" s="78">
        <v>6</v>
      </c>
      <c r="B69" s="69" t="s">
        <v>208</v>
      </c>
      <c r="C69" s="69" t="s">
        <v>707</v>
      </c>
      <c r="D69" s="69"/>
      <c r="E69" s="70" t="s">
        <v>120</v>
      </c>
      <c r="F69" s="70"/>
      <c r="G69" s="70"/>
      <c r="H69" s="70"/>
      <c r="I69" s="79"/>
    </row>
    <row r="70" spans="1:9" x14ac:dyDescent="0.2">
      <c r="A70" s="78">
        <v>7</v>
      </c>
      <c r="B70" s="69" t="s">
        <v>208</v>
      </c>
      <c r="C70" s="69" t="s">
        <v>708</v>
      </c>
      <c r="D70" s="69"/>
      <c r="E70" s="70" t="s">
        <v>121</v>
      </c>
      <c r="F70" s="70"/>
      <c r="G70" s="70"/>
      <c r="H70" s="70"/>
      <c r="I70" s="79"/>
    </row>
    <row r="71" spans="1:9" x14ac:dyDescent="0.2">
      <c r="A71" s="78">
        <v>8</v>
      </c>
      <c r="B71" s="69" t="s">
        <v>208</v>
      </c>
      <c r="C71" s="69" t="s">
        <v>290</v>
      </c>
      <c r="D71" s="69"/>
      <c r="E71" s="70" t="s">
        <v>445</v>
      </c>
      <c r="F71" s="70">
        <v>0</v>
      </c>
      <c r="G71" s="70">
        <v>28800</v>
      </c>
      <c r="H71" s="70"/>
      <c r="I71" s="79"/>
    </row>
    <row r="72" spans="1:9" ht="17" thickBot="1" x14ac:dyDescent="0.25">
      <c r="A72" s="152">
        <v>9</v>
      </c>
      <c r="B72" s="153" t="s">
        <v>208</v>
      </c>
      <c r="C72" s="153" t="s">
        <v>289</v>
      </c>
      <c r="D72" s="153"/>
      <c r="E72" s="154" t="s">
        <v>18</v>
      </c>
      <c r="F72" s="154"/>
      <c r="G72" s="154"/>
      <c r="H72" s="154"/>
      <c r="I72" s="155"/>
    </row>
    <row r="73" spans="1:9" ht="17" thickBot="1" x14ac:dyDescent="0.25"/>
    <row r="74" spans="1:9" x14ac:dyDescent="0.2">
      <c r="A74" s="72" t="s">
        <v>816</v>
      </c>
      <c r="B74" s="91" t="s">
        <v>828</v>
      </c>
      <c r="C74" s="73"/>
      <c r="D74" s="73"/>
      <c r="E74" s="73"/>
      <c r="F74" s="73"/>
      <c r="G74" s="73"/>
      <c r="H74" s="73"/>
      <c r="I74" s="73"/>
    </row>
    <row r="75" spans="1:9" x14ac:dyDescent="0.2">
      <c r="A75" s="76" t="s">
        <v>817</v>
      </c>
      <c r="B75" s="92" t="s">
        <v>914</v>
      </c>
      <c r="C75" s="8"/>
      <c r="D75" s="8"/>
      <c r="E75" s="8"/>
      <c r="F75" s="8"/>
      <c r="G75" s="8"/>
      <c r="H75" s="8"/>
      <c r="I75" s="8"/>
    </row>
    <row r="76" spans="1:9" x14ac:dyDescent="0.2">
      <c r="A76" s="76" t="s">
        <v>772</v>
      </c>
      <c r="B76" s="92" t="s">
        <v>830</v>
      </c>
      <c r="C76" s="8"/>
      <c r="D76" s="8"/>
      <c r="E76" s="8"/>
      <c r="F76" s="8"/>
      <c r="G76" s="8"/>
      <c r="H76" s="8"/>
      <c r="I76" s="8"/>
    </row>
    <row r="77" spans="1:9" x14ac:dyDescent="0.2">
      <c r="A77" s="76" t="s">
        <v>818</v>
      </c>
      <c r="B77" s="92" t="s">
        <v>829</v>
      </c>
      <c r="C77" s="8"/>
      <c r="D77" s="8"/>
      <c r="E77" s="8"/>
      <c r="F77" s="8"/>
      <c r="G77" s="8"/>
      <c r="H77" s="8"/>
      <c r="I77" s="8"/>
    </row>
    <row r="78" spans="1:9" x14ac:dyDescent="0.2">
      <c r="A78" s="76" t="s">
        <v>970</v>
      </c>
      <c r="B78" s="92" t="s">
        <v>971</v>
      </c>
      <c r="C78" s="8"/>
      <c r="D78" s="8"/>
      <c r="E78" s="8"/>
      <c r="F78" s="8"/>
      <c r="G78" s="8"/>
      <c r="H78" s="8"/>
      <c r="I78" s="8"/>
    </row>
    <row r="79" spans="1:9" x14ac:dyDescent="0.2">
      <c r="A79" s="76" t="s">
        <v>940</v>
      </c>
      <c r="B79" s="92" t="s">
        <v>941</v>
      </c>
      <c r="C79" s="8"/>
      <c r="D79" s="8"/>
      <c r="E79" s="8"/>
      <c r="F79" s="8"/>
      <c r="G79" s="8"/>
      <c r="H79" s="8"/>
      <c r="I79" s="8"/>
    </row>
    <row r="80" spans="1:9" x14ac:dyDescent="0.2">
      <c r="A80" s="76" t="s">
        <v>820</v>
      </c>
      <c r="B80" s="92" t="s">
        <v>848</v>
      </c>
      <c r="C80" s="8"/>
      <c r="D80" s="8"/>
      <c r="E80" s="8"/>
      <c r="F80" s="8"/>
      <c r="G80" s="8"/>
      <c r="H80" s="8"/>
      <c r="I80" s="8"/>
    </row>
    <row r="81" spans="1:9" x14ac:dyDescent="0.2">
      <c r="A81" s="76" t="s">
        <v>821</v>
      </c>
      <c r="B81" s="92"/>
      <c r="C81" s="8" t="s">
        <v>966</v>
      </c>
      <c r="D81" s="8"/>
      <c r="E81" s="8"/>
      <c r="F81" s="8"/>
      <c r="G81" s="8"/>
      <c r="H81" s="8"/>
      <c r="I81" s="8"/>
    </row>
    <row r="82" spans="1:9" ht="17" thickBot="1" x14ac:dyDescent="0.25">
      <c r="A82" s="76" t="s">
        <v>793</v>
      </c>
      <c r="B82" s="93">
        <v>10</v>
      </c>
      <c r="C82" s="81"/>
      <c r="D82" s="81"/>
      <c r="E82" s="81"/>
      <c r="F82" s="81"/>
      <c r="G82" s="81"/>
      <c r="H82" s="81"/>
      <c r="I82" s="81"/>
    </row>
    <row r="83" spans="1:9" x14ac:dyDescent="0.2">
      <c r="A83" s="90" t="s">
        <v>784</v>
      </c>
      <c r="B83" s="89" t="s">
        <v>785</v>
      </c>
      <c r="C83" s="89" t="s">
        <v>787</v>
      </c>
      <c r="D83" s="89"/>
      <c r="E83" s="89" t="s">
        <v>788</v>
      </c>
      <c r="F83" s="89" t="s">
        <v>807</v>
      </c>
      <c r="G83" s="89" t="s">
        <v>808</v>
      </c>
      <c r="H83" s="89" t="s">
        <v>811</v>
      </c>
      <c r="I83" s="89" t="s">
        <v>812</v>
      </c>
    </row>
    <row r="84" spans="1:9" x14ac:dyDescent="0.2">
      <c r="A84" s="78">
        <v>0</v>
      </c>
      <c r="B84" s="69" t="s">
        <v>208</v>
      </c>
      <c r="C84" s="69" t="s">
        <v>326</v>
      </c>
      <c r="D84" s="69"/>
      <c r="E84" s="70" t="s">
        <v>109</v>
      </c>
      <c r="F84" s="70">
        <v>0</v>
      </c>
      <c r="G84" s="70">
        <v>5000</v>
      </c>
      <c r="H84" s="70">
        <v>20</v>
      </c>
      <c r="I84" s="70"/>
    </row>
    <row r="85" spans="1:9" x14ac:dyDescent="0.2">
      <c r="A85" s="78">
        <v>1</v>
      </c>
      <c r="B85" s="69" t="s">
        <v>208</v>
      </c>
      <c r="C85" s="69" t="s">
        <v>924</v>
      </c>
      <c r="D85" s="69"/>
      <c r="E85" s="70" t="s">
        <v>108</v>
      </c>
      <c r="F85" s="70">
        <v>0</v>
      </c>
      <c r="G85" s="70">
        <v>10000</v>
      </c>
      <c r="H85" s="70">
        <v>2000</v>
      </c>
      <c r="I85" s="70"/>
    </row>
    <row r="86" spans="1:9" x14ac:dyDescent="0.2">
      <c r="A86" s="78">
        <v>2</v>
      </c>
      <c r="B86" s="69" t="s">
        <v>208</v>
      </c>
      <c r="C86" s="69" t="s">
        <v>328</v>
      </c>
      <c r="D86" s="69"/>
      <c r="E86" s="70" t="s">
        <v>110</v>
      </c>
      <c r="F86" s="70">
        <v>0</v>
      </c>
      <c r="G86" s="70">
        <v>1</v>
      </c>
      <c r="H86" s="70">
        <v>1</v>
      </c>
      <c r="I86" s="70"/>
    </row>
    <row r="87" spans="1:9" x14ac:dyDescent="0.2">
      <c r="A87" s="78">
        <v>3</v>
      </c>
      <c r="B87" s="69" t="s">
        <v>208</v>
      </c>
      <c r="C87" s="69" t="s">
        <v>714</v>
      </c>
      <c r="D87" s="69"/>
      <c r="E87" s="70" t="s">
        <v>810</v>
      </c>
      <c r="F87" s="70">
        <v>0</v>
      </c>
      <c r="G87" s="70">
        <v>1023</v>
      </c>
      <c r="H87" s="70">
        <v>512</v>
      </c>
      <c r="I87" s="70" t="s">
        <v>831</v>
      </c>
    </row>
    <row r="88" spans="1:9" ht="14" customHeight="1" x14ac:dyDescent="0.2">
      <c r="A88" s="78">
        <v>4</v>
      </c>
      <c r="B88" s="69" t="s">
        <v>208</v>
      </c>
      <c r="C88" s="69" t="s">
        <v>715</v>
      </c>
      <c r="D88" s="69"/>
      <c r="E88" s="70" t="s">
        <v>809</v>
      </c>
      <c r="F88" s="70">
        <v>0</v>
      </c>
      <c r="G88" s="70">
        <v>3</v>
      </c>
      <c r="H88" s="70">
        <v>3</v>
      </c>
      <c r="I88" s="70" t="s">
        <v>815</v>
      </c>
    </row>
    <row r="89" spans="1:9" x14ac:dyDescent="0.2">
      <c r="A89" s="78">
        <v>5</v>
      </c>
      <c r="B89" s="69" t="s">
        <v>208</v>
      </c>
      <c r="C89" s="69" t="s">
        <v>709</v>
      </c>
      <c r="D89" s="69"/>
      <c r="E89" s="70" t="s">
        <v>706</v>
      </c>
      <c r="F89" s="70">
        <v>-32</v>
      </c>
      <c r="G89" s="70">
        <v>150</v>
      </c>
      <c r="H89" s="70">
        <v>80</v>
      </c>
      <c r="I89" s="70" t="s">
        <v>837</v>
      </c>
    </row>
    <row r="90" spans="1:9" x14ac:dyDescent="0.2">
      <c r="A90" s="78">
        <v>6</v>
      </c>
      <c r="B90" s="69" t="s">
        <v>208</v>
      </c>
      <c r="C90" s="69" t="s">
        <v>707</v>
      </c>
      <c r="D90" s="69"/>
      <c r="E90" s="70" t="s">
        <v>120</v>
      </c>
      <c r="F90" s="70"/>
      <c r="G90" s="70"/>
      <c r="H90" s="70"/>
      <c r="I90" s="70"/>
    </row>
    <row r="91" spans="1:9" x14ac:dyDescent="0.2">
      <c r="A91" s="78">
        <v>7</v>
      </c>
      <c r="B91" s="69" t="s">
        <v>208</v>
      </c>
      <c r="C91" s="69" t="s">
        <v>708</v>
      </c>
      <c r="D91" s="69"/>
      <c r="E91" s="70" t="s">
        <v>121</v>
      </c>
      <c r="F91" s="70"/>
      <c r="G91" s="70"/>
      <c r="H91" s="70"/>
      <c r="I91" s="70"/>
    </row>
    <row r="92" spans="1:9" x14ac:dyDescent="0.2">
      <c r="A92" s="78">
        <v>8</v>
      </c>
      <c r="B92" s="69" t="s">
        <v>208</v>
      </c>
      <c r="C92" s="69" t="s">
        <v>290</v>
      </c>
      <c r="D92" s="69"/>
      <c r="E92" s="70" t="s">
        <v>445</v>
      </c>
      <c r="F92" s="70">
        <v>0</v>
      </c>
      <c r="G92" s="70">
        <v>28800</v>
      </c>
      <c r="H92" s="70"/>
      <c r="I92" s="70"/>
    </row>
    <row r="93" spans="1:9" x14ac:dyDescent="0.2">
      <c r="A93" s="78">
        <v>9</v>
      </c>
      <c r="B93" s="69" t="s">
        <v>208</v>
      </c>
      <c r="C93" s="69" t="s">
        <v>289</v>
      </c>
      <c r="D93" s="69"/>
      <c r="E93" s="70" t="s">
        <v>18</v>
      </c>
      <c r="F93" s="70"/>
      <c r="G93" s="70"/>
      <c r="H93" s="70"/>
      <c r="I93" s="70"/>
    </row>
    <row r="94" spans="1:9" ht="17" thickBot="1" x14ac:dyDescent="0.25">
      <c r="I94"/>
    </row>
    <row r="95" spans="1:9" x14ac:dyDescent="0.2">
      <c r="A95" s="72" t="s">
        <v>816</v>
      </c>
      <c r="B95" s="91" t="s">
        <v>838</v>
      </c>
      <c r="C95" s="73"/>
      <c r="D95" s="73"/>
      <c r="E95" s="73"/>
      <c r="F95" s="73"/>
      <c r="G95" s="73"/>
      <c r="H95" s="73"/>
      <c r="I95" s="73"/>
    </row>
    <row r="96" spans="1:9" x14ac:dyDescent="0.2">
      <c r="A96" s="76" t="s">
        <v>817</v>
      </c>
      <c r="B96" s="92" t="s">
        <v>1231</v>
      </c>
      <c r="C96" s="8"/>
      <c r="D96" s="8"/>
      <c r="E96" s="8"/>
      <c r="F96" s="8"/>
      <c r="G96" s="8"/>
      <c r="H96" s="8"/>
      <c r="I96" s="8"/>
    </row>
    <row r="97" spans="1:9" x14ac:dyDescent="0.2">
      <c r="A97" s="76" t="s">
        <v>772</v>
      </c>
      <c r="B97" s="92" t="s">
        <v>1232</v>
      </c>
      <c r="C97" s="8"/>
      <c r="D97" s="8"/>
      <c r="E97" s="8"/>
      <c r="F97" s="8"/>
      <c r="G97" s="8"/>
      <c r="H97" s="8"/>
      <c r="I97" s="8"/>
    </row>
    <row r="98" spans="1:9" x14ac:dyDescent="0.2">
      <c r="A98" s="76" t="s">
        <v>818</v>
      </c>
      <c r="B98" s="92" t="s">
        <v>1220</v>
      </c>
      <c r="C98" s="8"/>
      <c r="D98" s="8"/>
      <c r="E98" s="8"/>
      <c r="F98" s="8"/>
      <c r="G98" s="8"/>
      <c r="H98" s="8"/>
      <c r="I98" s="8"/>
    </row>
    <row r="99" spans="1:9" x14ac:dyDescent="0.2">
      <c r="A99" s="76" t="s">
        <v>970</v>
      </c>
      <c r="B99" s="92" t="s">
        <v>971</v>
      </c>
      <c r="C99" s="8"/>
      <c r="D99" s="8"/>
      <c r="E99" s="8"/>
      <c r="F99" s="8"/>
      <c r="G99" s="8"/>
      <c r="H99" s="8"/>
      <c r="I99" s="8"/>
    </row>
    <row r="100" spans="1:9" x14ac:dyDescent="0.2">
      <c r="A100" s="76" t="s">
        <v>940</v>
      </c>
      <c r="B100" s="92" t="s">
        <v>941</v>
      </c>
      <c r="C100" s="8"/>
      <c r="D100" s="8"/>
      <c r="E100" s="8"/>
      <c r="F100" s="8"/>
      <c r="G100" s="8"/>
      <c r="H100" s="8"/>
      <c r="I100" s="8"/>
    </row>
    <row r="101" spans="1:9" x14ac:dyDescent="0.2">
      <c r="A101" s="76" t="s">
        <v>820</v>
      </c>
      <c r="B101" s="92" t="s">
        <v>1233</v>
      </c>
      <c r="C101" s="8"/>
      <c r="D101" s="8"/>
      <c r="E101" s="8"/>
      <c r="F101" s="8"/>
      <c r="G101" s="8"/>
      <c r="H101" s="8"/>
      <c r="I101" s="8"/>
    </row>
    <row r="102" spans="1:9" x14ac:dyDescent="0.2">
      <c r="A102" s="76" t="s">
        <v>821</v>
      </c>
      <c r="B102" s="92"/>
      <c r="C102" s="8" t="s">
        <v>966</v>
      </c>
      <c r="D102" s="8"/>
      <c r="E102" s="8"/>
      <c r="F102" s="8"/>
      <c r="G102" s="8"/>
      <c r="H102" s="8"/>
      <c r="I102" s="8"/>
    </row>
    <row r="103" spans="1:9" ht="17" thickBot="1" x14ac:dyDescent="0.25">
      <c r="A103" s="76" t="s">
        <v>793</v>
      </c>
      <c r="B103" s="93">
        <v>10</v>
      </c>
      <c r="C103" s="81"/>
      <c r="D103" s="81"/>
      <c r="E103" s="81"/>
      <c r="F103" s="81"/>
      <c r="G103" s="81"/>
      <c r="H103" s="81"/>
      <c r="I103" s="81"/>
    </row>
    <row r="104" spans="1:9" x14ac:dyDescent="0.2">
      <c r="A104" s="90" t="s">
        <v>784</v>
      </c>
      <c r="B104" s="89" t="s">
        <v>785</v>
      </c>
      <c r="C104" s="89" t="s">
        <v>787</v>
      </c>
      <c r="D104" s="89"/>
      <c r="E104" s="89" t="s">
        <v>788</v>
      </c>
      <c r="F104" s="89" t="s">
        <v>807</v>
      </c>
      <c r="G104" s="89" t="s">
        <v>808</v>
      </c>
      <c r="H104" s="89" t="s">
        <v>811</v>
      </c>
      <c r="I104" s="89" t="s">
        <v>812</v>
      </c>
    </row>
    <row r="105" spans="1:9" x14ac:dyDescent="0.2">
      <c r="A105" s="78">
        <v>0</v>
      </c>
      <c r="B105" s="69" t="s">
        <v>208</v>
      </c>
      <c r="C105" s="69" t="s">
        <v>326</v>
      </c>
      <c r="D105" s="69"/>
      <c r="E105" s="70" t="s">
        <v>109</v>
      </c>
      <c r="F105" s="70">
        <v>0</v>
      </c>
      <c r="G105" s="70">
        <v>5000</v>
      </c>
      <c r="H105" s="70">
        <v>20</v>
      </c>
      <c r="I105" s="70"/>
    </row>
    <row r="106" spans="1:9" x14ac:dyDescent="0.2">
      <c r="A106" s="78">
        <v>1</v>
      </c>
      <c r="B106" s="69" t="s">
        <v>208</v>
      </c>
      <c r="C106" s="69" t="s">
        <v>924</v>
      </c>
      <c r="D106" s="69"/>
      <c r="E106" s="70" t="s">
        <v>108</v>
      </c>
      <c r="F106" s="70">
        <v>0</v>
      </c>
      <c r="G106" s="70">
        <v>10000</v>
      </c>
      <c r="H106" s="70">
        <v>2000</v>
      </c>
      <c r="I106" s="70"/>
    </row>
    <row r="107" spans="1:9" x14ac:dyDescent="0.2">
      <c r="A107" s="78">
        <v>2</v>
      </c>
      <c r="B107" s="69" t="s">
        <v>208</v>
      </c>
      <c r="C107" s="69" t="s">
        <v>328</v>
      </c>
      <c r="D107" s="69"/>
      <c r="E107" s="70" t="s">
        <v>110</v>
      </c>
      <c r="F107" s="70">
        <v>0</v>
      </c>
      <c r="G107" s="70">
        <v>1</v>
      </c>
      <c r="H107" s="70">
        <v>1</v>
      </c>
      <c r="I107" s="70"/>
    </row>
    <row r="108" spans="1:9" x14ac:dyDescent="0.2">
      <c r="A108" s="78">
        <v>3</v>
      </c>
      <c r="B108" s="69" t="s">
        <v>208</v>
      </c>
      <c r="C108" s="69" t="s">
        <v>714</v>
      </c>
      <c r="D108" s="69"/>
      <c r="E108" s="70" t="s">
        <v>810</v>
      </c>
      <c r="F108" s="70">
        <v>0</v>
      </c>
      <c r="G108" s="70">
        <v>1023</v>
      </c>
      <c r="H108" s="70">
        <v>512</v>
      </c>
      <c r="I108" s="70"/>
    </row>
    <row r="109" spans="1:9" x14ac:dyDescent="0.2">
      <c r="A109" s="78">
        <v>4</v>
      </c>
      <c r="B109" s="69" t="s">
        <v>208</v>
      </c>
      <c r="C109" s="69" t="s">
        <v>715</v>
      </c>
      <c r="D109" s="69"/>
      <c r="E109" s="70" t="s">
        <v>809</v>
      </c>
      <c r="F109" s="70">
        <v>0</v>
      </c>
      <c r="G109" s="70">
        <v>3</v>
      </c>
      <c r="H109" s="70">
        <v>3</v>
      </c>
      <c r="I109" s="70" t="s">
        <v>815</v>
      </c>
    </row>
    <row r="110" spans="1:9" x14ac:dyDescent="0.2">
      <c r="A110" s="78">
        <v>5</v>
      </c>
      <c r="B110" s="69" t="s">
        <v>208</v>
      </c>
      <c r="C110" s="69" t="s">
        <v>709</v>
      </c>
      <c r="D110" s="69"/>
      <c r="E110" s="70" t="s">
        <v>706</v>
      </c>
      <c r="F110" s="70">
        <v>-32</v>
      </c>
      <c r="G110" s="70">
        <v>150</v>
      </c>
      <c r="H110" s="70">
        <v>80</v>
      </c>
      <c r="I110" s="70"/>
    </row>
    <row r="111" spans="1:9" x14ac:dyDescent="0.2">
      <c r="A111" s="78">
        <v>6</v>
      </c>
      <c r="B111" s="69" t="s">
        <v>208</v>
      </c>
      <c r="C111" s="69" t="s">
        <v>707</v>
      </c>
      <c r="D111" s="69"/>
      <c r="E111" s="70" t="s">
        <v>120</v>
      </c>
      <c r="F111" s="70"/>
      <c r="G111" s="70"/>
      <c r="H111" s="70"/>
      <c r="I111" s="70"/>
    </row>
    <row r="112" spans="1:9" x14ac:dyDescent="0.2">
      <c r="A112" s="78">
        <v>7</v>
      </c>
      <c r="B112" s="69" t="s">
        <v>208</v>
      </c>
      <c r="C112" s="69" t="s">
        <v>708</v>
      </c>
      <c r="D112" s="69"/>
      <c r="E112" s="70" t="s">
        <v>121</v>
      </c>
      <c r="F112" s="70"/>
      <c r="G112" s="70"/>
      <c r="H112" s="70"/>
      <c r="I112" s="70"/>
    </row>
    <row r="113" spans="1:9" x14ac:dyDescent="0.2">
      <c r="A113" s="78">
        <v>8</v>
      </c>
      <c r="B113" s="69" t="s">
        <v>208</v>
      </c>
      <c r="C113" s="69" t="s">
        <v>290</v>
      </c>
      <c r="D113" s="69"/>
      <c r="E113" s="70" t="s">
        <v>445</v>
      </c>
      <c r="F113" s="70">
        <v>0</v>
      </c>
      <c r="G113" s="70">
        <v>28800</v>
      </c>
      <c r="H113" s="70"/>
      <c r="I113" s="70"/>
    </row>
    <row r="114" spans="1:9" x14ac:dyDescent="0.2">
      <c r="A114" s="78">
        <v>9</v>
      </c>
      <c r="B114" s="69" t="s">
        <v>208</v>
      </c>
      <c r="C114" s="69" t="s">
        <v>289</v>
      </c>
      <c r="D114" s="69"/>
      <c r="E114" s="70" t="s">
        <v>18</v>
      </c>
      <c r="F114" s="70"/>
      <c r="G114" s="70"/>
      <c r="H114" s="70"/>
      <c r="I114" s="70"/>
    </row>
    <row r="115" spans="1:9" ht="17" thickBot="1" x14ac:dyDescent="0.25">
      <c r="I115"/>
    </row>
    <row r="116" spans="1:9" x14ac:dyDescent="0.2">
      <c r="A116" s="72" t="s">
        <v>816</v>
      </c>
      <c r="B116" s="91" t="s">
        <v>847</v>
      </c>
      <c r="C116" s="73"/>
      <c r="D116" s="73"/>
      <c r="E116" s="73"/>
      <c r="F116" s="73"/>
      <c r="G116" s="73"/>
      <c r="H116" s="73"/>
      <c r="I116" s="73"/>
    </row>
    <row r="117" spans="1:9" x14ac:dyDescent="0.2">
      <c r="A117" s="76" t="s">
        <v>817</v>
      </c>
      <c r="B117" s="92" t="s">
        <v>915</v>
      </c>
      <c r="C117" s="8"/>
      <c r="D117" s="8"/>
      <c r="E117" s="8"/>
      <c r="F117" s="8"/>
      <c r="G117" s="8"/>
      <c r="H117" s="8"/>
      <c r="I117" s="8"/>
    </row>
    <row r="118" spans="1:9" x14ac:dyDescent="0.2">
      <c r="A118" s="76" t="s">
        <v>772</v>
      </c>
      <c r="B118" s="92" t="s">
        <v>840</v>
      </c>
      <c r="C118" s="8"/>
      <c r="D118" s="8"/>
      <c r="E118" s="8"/>
      <c r="F118" s="8"/>
      <c r="G118" s="8"/>
      <c r="H118" s="8"/>
      <c r="I118" s="8"/>
    </row>
    <row r="119" spans="1:9" x14ac:dyDescent="0.2">
      <c r="A119" s="76" t="s">
        <v>818</v>
      </c>
      <c r="B119" s="92" t="s">
        <v>839</v>
      </c>
      <c r="C119" s="8"/>
      <c r="D119" s="8"/>
      <c r="E119" s="8"/>
      <c r="F119" s="8"/>
      <c r="G119" s="8"/>
      <c r="H119" s="8"/>
      <c r="I119" s="8"/>
    </row>
    <row r="120" spans="1:9" x14ac:dyDescent="0.2">
      <c r="A120" s="76" t="s">
        <v>970</v>
      </c>
      <c r="B120" s="92" t="s">
        <v>971</v>
      </c>
      <c r="C120" s="8"/>
      <c r="D120" s="8"/>
      <c r="E120" s="8"/>
      <c r="F120" s="8"/>
      <c r="G120" s="8"/>
      <c r="H120" s="8"/>
      <c r="I120" s="8"/>
    </row>
    <row r="121" spans="1:9" x14ac:dyDescent="0.2">
      <c r="A121" s="76" t="s">
        <v>940</v>
      </c>
      <c r="B121" s="92" t="s">
        <v>941</v>
      </c>
      <c r="C121" s="8"/>
      <c r="D121" s="8"/>
      <c r="E121" s="8"/>
      <c r="F121" s="8"/>
      <c r="G121" s="8"/>
      <c r="H121" s="8"/>
      <c r="I121" s="8"/>
    </row>
    <row r="122" spans="1:9" x14ac:dyDescent="0.2">
      <c r="A122" s="76" t="s">
        <v>820</v>
      </c>
      <c r="B122" s="92" t="s">
        <v>841</v>
      </c>
      <c r="C122" s="8"/>
      <c r="D122" s="8"/>
      <c r="E122" s="8"/>
      <c r="F122" s="8"/>
      <c r="G122" s="8"/>
      <c r="H122" s="8"/>
      <c r="I122" s="8"/>
    </row>
    <row r="123" spans="1:9" x14ac:dyDescent="0.2">
      <c r="A123" s="76" t="s">
        <v>821</v>
      </c>
      <c r="B123" s="92"/>
      <c r="C123" s="8" t="s">
        <v>966</v>
      </c>
      <c r="D123" s="8"/>
      <c r="E123" s="8"/>
      <c r="F123" s="8"/>
      <c r="G123" s="8"/>
      <c r="H123" s="8"/>
      <c r="I123" s="8"/>
    </row>
    <row r="124" spans="1:9" ht="17" thickBot="1" x14ac:dyDescent="0.25">
      <c r="A124" s="76" t="s">
        <v>793</v>
      </c>
      <c r="B124" s="93">
        <v>20</v>
      </c>
      <c r="C124" s="81"/>
      <c r="D124" s="81"/>
      <c r="E124" s="81"/>
      <c r="F124" s="81"/>
      <c r="G124" s="81"/>
      <c r="H124" s="81"/>
      <c r="I124" s="81"/>
    </row>
    <row r="125" spans="1:9" x14ac:dyDescent="0.2">
      <c r="A125" s="90" t="s">
        <v>784</v>
      </c>
      <c r="B125" s="89" t="s">
        <v>785</v>
      </c>
      <c r="C125" s="89" t="s">
        <v>787</v>
      </c>
      <c r="D125" s="89"/>
      <c r="E125" s="89" t="s">
        <v>788</v>
      </c>
      <c r="F125" s="89" t="s">
        <v>807</v>
      </c>
      <c r="G125" s="89" t="s">
        <v>808</v>
      </c>
      <c r="H125" s="89" t="s">
        <v>811</v>
      </c>
      <c r="I125" s="89" t="s">
        <v>812</v>
      </c>
    </row>
    <row r="126" spans="1:9" x14ac:dyDescent="0.2">
      <c r="A126" s="78">
        <v>0</v>
      </c>
      <c r="B126" s="69" t="s">
        <v>208</v>
      </c>
      <c r="C126" s="69" t="s">
        <v>326</v>
      </c>
      <c r="D126" s="69"/>
      <c r="E126" s="70" t="s">
        <v>109</v>
      </c>
      <c r="F126" s="70">
        <v>0</v>
      </c>
      <c r="G126" s="70">
        <v>5000</v>
      </c>
      <c r="H126" s="70">
        <v>20</v>
      </c>
      <c r="I126" s="70"/>
    </row>
    <row r="127" spans="1:9" x14ac:dyDescent="0.2">
      <c r="A127" s="78">
        <v>1</v>
      </c>
      <c r="B127" s="69" t="s">
        <v>208</v>
      </c>
      <c r="C127" s="69" t="s">
        <v>924</v>
      </c>
      <c r="D127" s="69"/>
      <c r="E127" s="70" t="s">
        <v>108</v>
      </c>
      <c r="F127" s="70">
        <v>0</v>
      </c>
      <c r="G127" s="70">
        <v>10000</v>
      </c>
      <c r="H127" s="70">
        <v>2000</v>
      </c>
      <c r="I127" s="70"/>
    </row>
    <row r="128" spans="1:9" x14ac:dyDescent="0.2">
      <c r="A128" s="78">
        <v>2</v>
      </c>
      <c r="B128" s="69" t="s">
        <v>208</v>
      </c>
      <c r="C128" s="69" t="s">
        <v>328</v>
      </c>
      <c r="D128" s="69"/>
      <c r="E128" s="70" t="s">
        <v>110</v>
      </c>
      <c r="F128" s="70">
        <v>0</v>
      </c>
      <c r="G128" s="70">
        <v>1</v>
      </c>
      <c r="H128" s="70">
        <v>1</v>
      </c>
      <c r="I128" s="70"/>
    </row>
    <row r="129" spans="1:9" x14ac:dyDescent="0.2">
      <c r="A129" s="78">
        <v>3</v>
      </c>
      <c r="B129" s="69" t="s">
        <v>208</v>
      </c>
      <c r="C129" s="69" t="s">
        <v>714</v>
      </c>
      <c r="D129" s="69"/>
      <c r="E129" s="70" t="s">
        <v>810</v>
      </c>
      <c r="F129" s="70">
        <v>0</v>
      </c>
      <c r="G129" s="70">
        <v>1023</v>
      </c>
      <c r="H129" s="70">
        <v>512</v>
      </c>
      <c r="I129" s="70"/>
    </row>
    <row r="130" spans="1:9" x14ac:dyDescent="0.2">
      <c r="A130" s="78">
        <v>4</v>
      </c>
      <c r="B130" s="69" t="s">
        <v>208</v>
      </c>
      <c r="C130" s="69" t="s">
        <v>715</v>
      </c>
      <c r="D130" s="69"/>
      <c r="E130" s="70" t="s">
        <v>809</v>
      </c>
      <c r="F130" s="70">
        <v>0</v>
      </c>
      <c r="G130" s="70">
        <v>3</v>
      </c>
      <c r="H130" s="70">
        <v>3</v>
      </c>
      <c r="I130" s="70"/>
    </row>
    <row r="131" spans="1:9" x14ac:dyDescent="0.2">
      <c r="A131" s="78">
        <v>5</v>
      </c>
      <c r="B131" s="69" t="s">
        <v>208</v>
      </c>
      <c r="C131" s="69" t="s">
        <v>709</v>
      </c>
      <c r="D131" s="69"/>
      <c r="E131" s="70" t="s">
        <v>706</v>
      </c>
      <c r="F131" s="70">
        <v>-32</v>
      </c>
      <c r="G131" s="70">
        <v>150</v>
      </c>
      <c r="H131" s="70">
        <v>80</v>
      </c>
      <c r="I131" s="70" t="s">
        <v>846</v>
      </c>
    </row>
    <row r="132" spans="1:9" x14ac:dyDescent="0.2">
      <c r="A132" s="78">
        <v>6</v>
      </c>
      <c r="B132" s="69" t="s">
        <v>208</v>
      </c>
      <c r="C132" s="69" t="s">
        <v>707</v>
      </c>
      <c r="D132" s="69"/>
      <c r="E132" s="70" t="s">
        <v>120</v>
      </c>
      <c r="F132" s="70"/>
      <c r="G132" s="70"/>
      <c r="H132" s="70"/>
      <c r="I132" s="70"/>
    </row>
    <row r="133" spans="1:9" x14ac:dyDescent="0.2">
      <c r="A133" s="78">
        <v>7</v>
      </c>
      <c r="B133" s="69" t="s">
        <v>208</v>
      </c>
      <c r="C133" s="69" t="s">
        <v>708</v>
      </c>
      <c r="D133" s="69"/>
      <c r="E133" s="70" t="s">
        <v>121</v>
      </c>
      <c r="F133" s="70"/>
      <c r="G133" s="70"/>
      <c r="H133" s="70"/>
      <c r="I133" s="172"/>
    </row>
    <row r="134" spans="1:9" x14ac:dyDescent="0.2">
      <c r="A134" s="78">
        <v>8</v>
      </c>
      <c r="B134" s="69" t="s">
        <v>208</v>
      </c>
      <c r="C134" s="69" t="s">
        <v>290</v>
      </c>
      <c r="D134" s="69"/>
      <c r="E134" s="70" t="s">
        <v>445</v>
      </c>
      <c r="F134" s="70">
        <v>0</v>
      </c>
      <c r="G134" s="70">
        <v>28800</v>
      </c>
      <c r="H134" s="70"/>
      <c r="I134" s="70"/>
    </row>
    <row r="135" spans="1:9" ht="17" thickBot="1" x14ac:dyDescent="0.25">
      <c r="A135" s="78">
        <v>9</v>
      </c>
      <c r="B135" s="69" t="s">
        <v>208</v>
      </c>
      <c r="C135" s="69" t="s">
        <v>289</v>
      </c>
      <c r="D135" s="69"/>
      <c r="E135" s="70" t="s">
        <v>18</v>
      </c>
      <c r="F135" s="70"/>
      <c r="G135" s="70"/>
      <c r="H135" s="70"/>
      <c r="I135" s="70"/>
    </row>
    <row r="136" spans="1:9" x14ac:dyDescent="0.2">
      <c r="A136" s="157">
        <v>10</v>
      </c>
      <c r="B136" s="171" t="s">
        <v>208</v>
      </c>
      <c r="C136" s="164" t="s">
        <v>943</v>
      </c>
      <c r="D136" s="164"/>
      <c r="E136" s="163" t="s">
        <v>842</v>
      </c>
      <c r="F136" s="165"/>
      <c r="G136" s="165"/>
      <c r="H136" s="165"/>
      <c r="I136" s="166" t="s">
        <v>963</v>
      </c>
    </row>
    <row r="137" spans="1:9" x14ac:dyDescent="0.2">
      <c r="A137" s="78">
        <v>11</v>
      </c>
      <c r="B137" s="69" t="s">
        <v>208</v>
      </c>
      <c r="C137" s="162" t="s">
        <v>944</v>
      </c>
      <c r="D137" s="162"/>
      <c r="E137" s="163" t="s">
        <v>843</v>
      </c>
      <c r="F137" s="163"/>
      <c r="G137" s="163"/>
      <c r="H137" s="163"/>
      <c r="I137" s="167"/>
    </row>
    <row r="138" spans="1:9" x14ac:dyDescent="0.2">
      <c r="A138" s="78">
        <v>12</v>
      </c>
      <c r="B138" s="69" t="s">
        <v>208</v>
      </c>
      <c r="C138" s="162" t="s">
        <v>945</v>
      </c>
      <c r="D138" s="162"/>
      <c r="E138" s="163" t="s">
        <v>844</v>
      </c>
      <c r="F138" s="163"/>
      <c r="G138" s="163"/>
      <c r="H138" s="163"/>
      <c r="I138" s="167"/>
    </row>
    <row r="139" spans="1:9" x14ac:dyDescent="0.2">
      <c r="A139" s="78">
        <v>13</v>
      </c>
      <c r="B139" s="69" t="s">
        <v>208</v>
      </c>
      <c r="C139" s="162" t="s">
        <v>946</v>
      </c>
      <c r="D139" s="162"/>
      <c r="E139" s="163" t="s">
        <v>845</v>
      </c>
      <c r="F139" s="163"/>
      <c r="G139" s="163"/>
      <c r="H139" s="163"/>
      <c r="I139" s="167"/>
    </row>
    <row r="140" spans="1:9" x14ac:dyDescent="0.2">
      <c r="A140" s="78">
        <v>14</v>
      </c>
      <c r="B140" s="69" t="s">
        <v>208</v>
      </c>
      <c r="C140" s="162" t="s">
        <v>947</v>
      </c>
      <c r="D140" s="162"/>
      <c r="E140" s="163" t="s">
        <v>955</v>
      </c>
      <c r="F140" s="163"/>
      <c r="G140" s="163"/>
      <c r="H140" s="163"/>
      <c r="I140" s="167"/>
    </row>
    <row r="141" spans="1:9" x14ac:dyDescent="0.2">
      <c r="A141" s="78">
        <v>15</v>
      </c>
      <c r="B141" s="69" t="s">
        <v>208</v>
      </c>
      <c r="C141" s="162" t="s">
        <v>948</v>
      </c>
      <c r="D141" s="162"/>
      <c r="E141" s="163" t="s">
        <v>956</v>
      </c>
      <c r="F141" s="163"/>
      <c r="G141" s="163"/>
      <c r="H141" s="163"/>
      <c r="I141" s="167"/>
    </row>
    <row r="142" spans="1:9" x14ac:dyDescent="0.2">
      <c r="A142" s="78">
        <v>16</v>
      </c>
      <c r="B142" s="69" t="s">
        <v>208</v>
      </c>
      <c r="C142" s="162" t="s">
        <v>949</v>
      </c>
      <c r="D142" s="162"/>
      <c r="E142" s="163" t="s">
        <v>957</v>
      </c>
      <c r="F142" s="163"/>
      <c r="G142" s="163"/>
      <c r="H142" s="163"/>
      <c r="I142" s="167"/>
    </row>
    <row r="143" spans="1:9" x14ac:dyDescent="0.2">
      <c r="A143" s="78">
        <v>17</v>
      </c>
      <c r="B143" s="69" t="s">
        <v>208</v>
      </c>
      <c r="C143" s="162" t="s">
        <v>950</v>
      </c>
      <c r="D143" s="162"/>
      <c r="E143" s="163" t="s">
        <v>958</v>
      </c>
      <c r="F143" s="163"/>
      <c r="G143" s="163"/>
      <c r="H143" s="163"/>
      <c r="I143" s="167"/>
    </row>
    <row r="144" spans="1:9" x14ac:dyDescent="0.2">
      <c r="A144" s="78">
        <v>18</v>
      </c>
      <c r="B144" s="69" t="s">
        <v>208</v>
      </c>
      <c r="C144" s="162" t="s">
        <v>959</v>
      </c>
      <c r="D144" s="162"/>
      <c r="E144" s="163" t="s">
        <v>961</v>
      </c>
      <c r="F144" s="163"/>
      <c r="G144" s="163"/>
      <c r="H144" s="163"/>
      <c r="I144" s="167" t="s">
        <v>976</v>
      </c>
    </row>
    <row r="145" spans="1:9" ht="17" thickBot="1" x14ac:dyDescent="0.25">
      <c r="A145" s="152">
        <v>19</v>
      </c>
      <c r="B145" s="153" t="s">
        <v>208</v>
      </c>
      <c r="C145" s="168" t="s">
        <v>960</v>
      </c>
      <c r="D145" s="168"/>
      <c r="E145" s="169" t="s">
        <v>962</v>
      </c>
      <c r="F145" s="169"/>
      <c r="G145" s="169"/>
      <c r="H145" s="169"/>
      <c r="I145" s="170"/>
    </row>
    <row r="146" spans="1:9" ht="17" thickBot="1" x14ac:dyDescent="0.25">
      <c r="I146"/>
    </row>
    <row r="147" spans="1:9" x14ac:dyDescent="0.2">
      <c r="A147" s="106" t="s">
        <v>816</v>
      </c>
      <c r="B147" s="107" t="s">
        <v>849</v>
      </c>
      <c r="C147" s="108"/>
      <c r="D147" s="108"/>
      <c r="E147" s="108"/>
      <c r="F147" s="108"/>
      <c r="G147" s="108"/>
      <c r="H147" s="108"/>
      <c r="I147" s="108"/>
    </row>
    <row r="148" spans="1:9" x14ac:dyDescent="0.2">
      <c r="A148" s="109" t="s">
        <v>817</v>
      </c>
      <c r="B148" s="110" t="s">
        <v>850</v>
      </c>
      <c r="C148" s="111"/>
      <c r="D148" s="111"/>
      <c r="E148" s="111"/>
      <c r="F148" s="111"/>
      <c r="G148" s="111"/>
      <c r="H148" s="111"/>
      <c r="I148" s="111"/>
    </row>
    <row r="149" spans="1:9" x14ac:dyDescent="0.2">
      <c r="A149" s="109" t="s">
        <v>772</v>
      </c>
      <c r="B149" s="110" t="s">
        <v>851</v>
      </c>
      <c r="C149" s="111"/>
      <c r="D149" s="111"/>
      <c r="E149" s="111"/>
      <c r="F149" s="111"/>
      <c r="G149" s="111"/>
      <c r="H149" s="111"/>
      <c r="I149" s="111"/>
    </row>
    <row r="150" spans="1:9" x14ac:dyDescent="0.2">
      <c r="A150" s="109" t="s">
        <v>818</v>
      </c>
      <c r="B150" s="110" t="s">
        <v>814</v>
      </c>
      <c r="C150" s="111"/>
      <c r="D150" s="111"/>
      <c r="E150" s="111"/>
      <c r="F150" s="111"/>
      <c r="G150" s="111"/>
      <c r="H150" s="111"/>
      <c r="I150" s="111"/>
    </row>
    <row r="151" spans="1:9" x14ac:dyDescent="0.2">
      <c r="A151" s="109" t="s">
        <v>970</v>
      </c>
      <c r="B151" s="110" t="s">
        <v>971</v>
      </c>
      <c r="C151" s="111"/>
      <c r="D151" s="111"/>
      <c r="E151" s="111"/>
      <c r="F151" s="111"/>
      <c r="G151" s="111"/>
      <c r="H151" s="111"/>
      <c r="I151" s="111"/>
    </row>
    <row r="152" spans="1:9" x14ac:dyDescent="0.2">
      <c r="A152" s="109" t="s">
        <v>940</v>
      </c>
      <c r="B152" s="110" t="s">
        <v>852</v>
      </c>
      <c r="C152" s="111"/>
      <c r="D152" s="111"/>
      <c r="E152" s="111"/>
      <c r="F152" s="111"/>
      <c r="G152" s="111"/>
      <c r="H152" s="111"/>
      <c r="I152" s="111"/>
    </row>
    <row r="153" spans="1:9" x14ac:dyDescent="0.2">
      <c r="A153" s="109" t="s">
        <v>820</v>
      </c>
      <c r="B153" s="110" t="s">
        <v>790</v>
      </c>
      <c r="C153" s="111"/>
      <c r="D153" s="111"/>
      <c r="E153" s="111"/>
      <c r="F153" s="111"/>
      <c r="G153" s="111"/>
      <c r="H153" s="111"/>
      <c r="I153" s="111"/>
    </row>
    <row r="154" spans="1:9" x14ac:dyDescent="0.2">
      <c r="A154" s="109" t="s">
        <v>821</v>
      </c>
      <c r="B154" s="110"/>
      <c r="C154" s="111"/>
      <c r="D154" s="111"/>
      <c r="E154" s="111"/>
      <c r="F154" s="111"/>
      <c r="G154" s="111"/>
      <c r="H154" s="111"/>
      <c r="I154" s="111"/>
    </row>
    <row r="155" spans="1:9" ht="17" thickBot="1" x14ac:dyDescent="0.25">
      <c r="A155" s="109" t="s">
        <v>793</v>
      </c>
      <c r="B155" s="112">
        <v>2</v>
      </c>
      <c r="C155" s="113"/>
      <c r="D155" s="113"/>
      <c r="E155" s="113"/>
      <c r="F155" s="113"/>
      <c r="G155" s="113"/>
      <c r="H155" s="113"/>
      <c r="I155" s="113"/>
    </row>
    <row r="156" spans="1:9" x14ac:dyDescent="0.2">
      <c r="A156" s="114" t="s">
        <v>784</v>
      </c>
      <c r="B156" s="115" t="s">
        <v>785</v>
      </c>
      <c r="C156" s="115" t="s">
        <v>787</v>
      </c>
      <c r="D156" s="115"/>
      <c r="E156" s="115" t="s">
        <v>788</v>
      </c>
      <c r="F156" s="115" t="s">
        <v>807</v>
      </c>
      <c r="G156" s="115" t="s">
        <v>808</v>
      </c>
      <c r="H156" s="115" t="s">
        <v>811</v>
      </c>
      <c r="I156" s="115" t="s">
        <v>812</v>
      </c>
    </row>
    <row r="157" spans="1:9" x14ac:dyDescent="0.2">
      <c r="A157" s="116">
        <v>0</v>
      </c>
      <c r="B157" s="117" t="s">
        <v>208</v>
      </c>
      <c r="C157" s="117" t="s">
        <v>852</v>
      </c>
      <c r="D157" s="117"/>
      <c r="E157" s="118" t="s">
        <v>853</v>
      </c>
      <c r="F157" s="118">
        <v>0</v>
      </c>
      <c r="G157" s="118">
        <v>4</v>
      </c>
      <c r="H157" s="118">
        <v>1</v>
      </c>
      <c r="I157" s="118"/>
    </row>
    <row r="158" spans="1:9" x14ac:dyDescent="0.2">
      <c r="A158" s="116">
        <v>1</v>
      </c>
      <c r="B158" s="117" t="s">
        <v>208</v>
      </c>
      <c r="C158" s="117" t="s">
        <v>854</v>
      </c>
      <c r="D158" s="117"/>
      <c r="E158" s="118" t="s">
        <v>910</v>
      </c>
      <c r="F158" s="118">
        <v>0</v>
      </c>
      <c r="G158" s="118">
        <v>8</v>
      </c>
      <c r="H158" s="118">
        <v>4</v>
      </c>
      <c r="I158" s="118"/>
    </row>
    <row r="159" spans="1:9" ht="17" thickBot="1" x14ac:dyDescent="0.25">
      <c r="I159"/>
    </row>
    <row r="160" spans="1:9" x14ac:dyDescent="0.2">
      <c r="A160" s="94" t="s">
        <v>816</v>
      </c>
      <c r="B160" s="95" t="s">
        <v>855</v>
      </c>
      <c r="C160" s="96"/>
      <c r="D160" s="96"/>
      <c r="E160" s="96"/>
      <c r="F160" s="96"/>
      <c r="G160" s="96"/>
      <c r="H160" s="96"/>
      <c r="I160" s="96"/>
    </row>
    <row r="161" spans="1:9" x14ac:dyDescent="0.2">
      <c r="A161" s="97" t="s">
        <v>817</v>
      </c>
      <c r="B161" s="98" t="s">
        <v>859</v>
      </c>
      <c r="C161" s="57"/>
      <c r="D161" s="57"/>
      <c r="E161" s="57"/>
      <c r="F161" s="57"/>
      <c r="G161" s="57"/>
      <c r="H161" s="57"/>
      <c r="I161" s="57"/>
    </row>
    <row r="162" spans="1:9" x14ac:dyDescent="0.2">
      <c r="A162" s="97" t="s">
        <v>772</v>
      </c>
      <c r="B162" s="98" t="s">
        <v>860</v>
      </c>
      <c r="C162" s="57"/>
      <c r="D162" s="57"/>
      <c r="E162" s="57"/>
      <c r="F162" s="57"/>
      <c r="G162" s="57"/>
      <c r="H162" s="57"/>
      <c r="I162" s="57"/>
    </row>
    <row r="163" spans="1:9" x14ac:dyDescent="0.2">
      <c r="A163" s="97" t="s">
        <v>818</v>
      </c>
      <c r="B163" s="98" t="s">
        <v>814</v>
      </c>
      <c r="C163" s="57"/>
      <c r="D163" s="57"/>
      <c r="E163" s="57"/>
      <c r="F163" s="57"/>
      <c r="G163" s="57"/>
      <c r="H163" s="57"/>
      <c r="I163" s="57"/>
    </row>
    <row r="164" spans="1:9" x14ac:dyDescent="0.2">
      <c r="A164" s="97" t="s">
        <v>970</v>
      </c>
      <c r="B164" s="98" t="s">
        <v>971</v>
      </c>
      <c r="C164" s="57"/>
      <c r="D164" s="57"/>
      <c r="E164" s="57"/>
      <c r="F164" s="57"/>
      <c r="G164" s="57"/>
      <c r="H164" s="57"/>
      <c r="I164" s="57"/>
    </row>
    <row r="165" spans="1:9" x14ac:dyDescent="0.2">
      <c r="A165" s="97" t="s">
        <v>940</v>
      </c>
      <c r="B165" s="98" t="s">
        <v>942</v>
      </c>
      <c r="C165" s="57"/>
      <c r="D165" s="57"/>
      <c r="E165" s="57"/>
      <c r="F165" s="57"/>
      <c r="G165" s="57"/>
      <c r="H165" s="57"/>
      <c r="I165" s="57"/>
    </row>
    <row r="166" spans="1:9" x14ac:dyDescent="0.2">
      <c r="A166" s="97" t="s">
        <v>820</v>
      </c>
      <c r="B166" s="98" t="s">
        <v>790</v>
      </c>
      <c r="C166" s="57"/>
      <c r="D166" s="57"/>
      <c r="E166" s="57"/>
      <c r="F166" s="57"/>
      <c r="G166" s="57"/>
      <c r="H166" s="57"/>
      <c r="I166" s="57"/>
    </row>
    <row r="167" spans="1:9" x14ac:dyDescent="0.2">
      <c r="A167" s="97" t="s">
        <v>821</v>
      </c>
      <c r="B167" s="98"/>
      <c r="C167" s="57"/>
      <c r="D167" s="57"/>
      <c r="E167" s="57"/>
      <c r="F167" s="57"/>
      <c r="G167" s="57"/>
      <c r="H167" s="57"/>
      <c r="I167" s="57"/>
    </row>
    <row r="168" spans="1:9" ht="17" thickBot="1" x14ac:dyDescent="0.25">
      <c r="A168" s="97" t="s">
        <v>793</v>
      </c>
      <c r="B168" s="99">
        <v>2</v>
      </c>
      <c r="C168" s="100"/>
      <c r="D168" s="100"/>
      <c r="E168" s="100"/>
      <c r="F168" s="100"/>
      <c r="G168" s="100"/>
      <c r="H168" s="100"/>
      <c r="I168" s="100"/>
    </row>
    <row r="169" spans="1:9" x14ac:dyDescent="0.2">
      <c r="A169" s="101" t="s">
        <v>784</v>
      </c>
      <c r="B169" s="102" t="s">
        <v>785</v>
      </c>
      <c r="C169" s="102" t="s">
        <v>787</v>
      </c>
      <c r="D169" s="102"/>
      <c r="E169" s="102" t="s">
        <v>788</v>
      </c>
      <c r="F169" s="102" t="s">
        <v>807</v>
      </c>
      <c r="G169" s="102" t="s">
        <v>808</v>
      </c>
      <c r="H169" s="102" t="s">
        <v>811</v>
      </c>
      <c r="I169" s="102" t="s">
        <v>812</v>
      </c>
    </row>
    <row r="170" spans="1:9" x14ac:dyDescent="0.2">
      <c r="A170" s="103">
        <v>0</v>
      </c>
      <c r="B170" s="104" t="s">
        <v>208</v>
      </c>
      <c r="C170" s="104" t="s">
        <v>856</v>
      </c>
      <c r="D170" s="104"/>
      <c r="E170" s="105" t="s">
        <v>857</v>
      </c>
      <c r="F170" s="105">
        <v>0</v>
      </c>
      <c r="G170" s="105">
        <v>4</v>
      </c>
      <c r="H170" s="105">
        <v>1</v>
      </c>
      <c r="I170" s="105"/>
    </row>
    <row r="171" spans="1:9" x14ac:dyDescent="0.2">
      <c r="A171" s="103">
        <v>1</v>
      </c>
      <c r="B171" s="104" t="s">
        <v>208</v>
      </c>
      <c r="C171" s="104" t="s">
        <v>909</v>
      </c>
      <c r="D171" s="104"/>
      <c r="E171" s="105" t="s">
        <v>858</v>
      </c>
      <c r="F171" s="105">
        <v>0</v>
      </c>
      <c r="G171" s="105">
        <v>8</v>
      </c>
      <c r="H171" s="105">
        <v>4</v>
      </c>
      <c r="I171" s="105"/>
    </row>
    <row r="172" spans="1:9" ht="17" thickBot="1" x14ac:dyDescent="0.25">
      <c r="I172"/>
    </row>
    <row r="173" spans="1:9" x14ac:dyDescent="0.2">
      <c r="A173" s="119" t="s">
        <v>816</v>
      </c>
      <c r="B173" s="120" t="s">
        <v>861</v>
      </c>
      <c r="C173" s="121"/>
      <c r="D173" s="121"/>
      <c r="E173" s="121"/>
      <c r="F173" s="121"/>
      <c r="G173" s="121"/>
      <c r="H173" s="121"/>
      <c r="I173" s="121"/>
    </row>
    <row r="174" spans="1:9" x14ac:dyDescent="0.2">
      <c r="A174" s="122" t="s">
        <v>817</v>
      </c>
      <c r="B174" s="123" t="s">
        <v>862</v>
      </c>
      <c r="C174" s="124"/>
      <c r="D174" s="124"/>
      <c r="E174" s="124"/>
      <c r="F174" s="124"/>
      <c r="G174" s="124"/>
      <c r="H174" s="124"/>
      <c r="I174" s="124"/>
    </row>
    <row r="175" spans="1:9" x14ac:dyDescent="0.2">
      <c r="A175" s="122" t="s">
        <v>772</v>
      </c>
      <c r="B175" s="123" t="s">
        <v>863</v>
      </c>
      <c r="C175" s="124"/>
      <c r="D175" s="124"/>
      <c r="E175" s="124"/>
      <c r="F175" s="124"/>
      <c r="G175" s="124"/>
      <c r="H175" s="124"/>
      <c r="I175" s="124"/>
    </row>
    <row r="176" spans="1:9" x14ac:dyDescent="0.2">
      <c r="A176" s="122" t="s">
        <v>818</v>
      </c>
      <c r="B176" s="123" t="s">
        <v>814</v>
      </c>
      <c r="C176" s="124"/>
      <c r="D176" s="124"/>
      <c r="E176" s="124"/>
      <c r="F176" s="124"/>
      <c r="G176" s="124"/>
      <c r="H176" s="124"/>
      <c r="I176" s="124"/>
    </row>
    <row r="177" spans="1:9" x14ac:dyDescent="0.2">
      <c r="A177" s="122" t="s">
        <v>970</v>
      </c>
      <c r="B177" s="123" t="s">
        <v>912</v>
      </c>
      <c r="C177" s="124"/>
      <c r="D177" s="124"/>
      <c r="E177" s="124"/>
      <c r="F177" s="124"/>
      <c r="G177" s="124"/>
      <c r="H177" s="124"/>
      <c r="I177" s="124"/>
    </row>
    <row r="178" spans="1:9" x14ac:dyDescent="0.2">
      <c r="A178" s="122" t="s">
        <v>940</v>
      </c>
      <c r="B178" s="123" t="s">
        <v>941</v>
      </c>
      <c r="C178" s="124"/>
      <c r="D178" s="124"/>
      <c r="E178" s="124"/>
      <c r="F178" s="124"/>
      <c r="G178" s="124"/>
      <c r="H178" s="124"/>
      <c r="I178" s="124"/>
    </row>
    <row r="179" spans="1:9" x14ac:dyDescent="0.2">
      <c r="A179" s="122" t="s">
        <v>820</v>
      </c>
      <c r="B179" s="123" t="s">
        <v>864</v>
      </c>
      <c r="C179" s="124"/>
      <c r="D179" s="124"/>
      <c r="E179" s="124"/>
      <c r="F179" s="124"/>
      <c r="G179" s="124"/>
      <c r="H179" s="124"/>
      <c r="I179" s="124"/>
    </row>
    <row r="180" spans="1:9" x14ac:dyDescent="0.2">
      <c r="A180" s="122" t="s">
        <v>821</v>
      </c>
      <c r="B180" s="123"/>
      <c r="C180" s="124"/>
      <c r="D180" s="124"/>
      <c r="E180" s="124"/>
      <c r="F180" s="124"/>
      <c r="G180" s="124"/>
      <c r="H180" s="124"/>
      <c r="I180" s="124"/>
    </row>
    <row r="181" spans="1:9" ht="17" thickBot="1" x14ac:dyDescent="0.25">
      <c r="A181" s="122" t="s">
        <v>793</v>
      </c>
      <c r="B181" s="125">
        <v>16</v>
      </c>
      <c r="C181" s="126"/>
      <c r="D181" s="126"/>
      <c r="E181" s="126"/>
      <c r="F181" s="126"/>
      <c r="G181" s="126"/>
      <c r="H181" s="126"/>
      <c r="I181" s="126"/>
    </row>
    <row r="182" spans="1:9" x14ac:dyDescent="0.2">
      <c r="A182" s="127" t="s">
        <v>784</v>
      </c>
      <c r="B182" s="128" t="s">
        <v>785</v>
      </c>
      <c r="C182" s="128" t="s">
        <v>787</v>
      </c>
      <c r="D182" s="128"/>
      <c r="E182" s="130" t="s">
        <v>788</v>
      </c>
      <c r="F182" s="128" t="s">
        <v>807</v>
      </c>
      <c r="G182" s="128" t="s">
        <v>808</v>
      </c>
      <c r="H182" s="128" t="s">
        <v>811</v>
      </c>
      <c r="I182" s="128" t="s">
        <v>812</v>
      </c>
    </row>
    <row r="183" spans="1:9" x14ac:dyDescent="0.2">
      <c r="A183" s="129">
        <v>0</v>
      </c>
      <c r="B183" s="130" t="s">
        <v>87</v>
      </c>
      <c r="C183" s="130" t="s">
        <v>1200</v>
      </c>
      <c r="D183" s="130"/>
      <c r="E183" s="131" t="s">
        <v>1224</v>
      </c>
      <c r="F183" s="131">
        <v>0</v>
      </c>
      <c r="G183" s="131">
        <v>50</v>
      </c>
      <c r="H183" s="131">
        <v>10</v>
      </c>
      <c r="I183" s="131" t="s">
        <v>865</v>
      </c>
    </row>
    <row r="184" spans="1:9" x14ac:dyDescent="0.2">
      <c r="A184" s="129">
        <v>1</v>
      </c>
      <c r="B184" s="130" t="s">
        <v>87</v>
      </c>
      <c r="C184" s="130" t="s">
        <v>1201</v>
      </c>
      <c r="D184" s="130"/>
      <c r="E184" s="131" t="s">
        <v>1225</v>
      </c>
      <c r="F184" s="131">
        <v>0</v>
      </c>
      <c r="G184" s="131">
        <v>5000</v>
      </c>
      <c r="H184" s="131">
        <v>2000</v>
      </c>
      <c r="I184" s="131" t="s">
        <v>866</v>
      </c>
    </row>
    <row r="185" spans="1:9" x14ac:dyDescent="0.2">
      <c r="A185" s="129">
        <v>2</v>
      </c>
      <c r="B185" s="130" t="s">
        <v>87</v>
      </c>
      <c r="C185" s="130" t="s">
        <v>1047</v>
      </c>
      <c r="D185" s="130"/>
      <c r="E185" s="131" t="s">
        <v>1210</v>
      </c>
      <c r="F185" s="131">
        <v>0</v>
      </c>
      <c r="G185" s="131">
        <v>100</v>
      </c>
      <c r="H185" s="131">
        <v>50</v>
      </c>
      <c r="I185" s="131" t="s">
        <v>115</v>
      </c>
    </row>
    <row r="186" spans="1:9" x14ac:dyDescent="0.2">
      <c r="A186" s="129">
        <v>3</v>
      </c>
      <c r="B186" s="130" t="s">
        <v>87</v>
      </c>
      <c r="C186" s="130" t="s">
        <v>1049</v>
      </c>
      <c r="D186" s="130"/>
      <c r="E186" s="131" t="s">
        <v>1211</v>
      </c>
      <c r="F186" s="131">
        <v>-5</v>
      </c>
      <c r="G186" s="131">
        <v>125</v>
      </c>
      <c r="H186" s="131">
        <v>80</v>
      </c>
      <c r="I186" s="131" t="s">
        <v>831</v>
      </c>
    </row>
    <row r="187" spans="1:9" x14ac:dyDescent="0.2">
      <c r="A187" s="129">
        <v>4</v>
      </c>
      <c r="B187" s="130" t="s">
        <v>87</v>
      </c>
      <c r="C187" s="130" t="s">
        <v>1240</v>
      </c>
      <c r="D187" s="130"/>
      <c r="E187" s="131" t="s">
        <v>1242</v>
      </c>
      <c r="F187" s="131">
        <v>0</v>
      </c>
      <c r="G187" s="131">
        <v>14400</v>
      </c>
      <c r="H187" s="131">
        <v>60</v>
      </c>
      <c r="I187" s="131" t="s">
        <v>1243</v>
      </c>
    </row>
    <row r="188" spans="1:9" ht="15" customHeight="1" x14ac:dyDescent="0.2">
      <c r="A188" s="129">
        <v>5</v>
      </c>
      <c r="B188" s="130" t="s">
        <v>87</v>
      </c>
      <c r="C188" s="130" t="s">
        <v>1202</v>
      </c>
      <c r="D188" s="130"/>
      <c r="E188" s="131" t="s">
        <v>1212</v>
      </c>
      <c r="F188" s="131">
        <v>0</v>
      </c>
      <c r="G188" s="131">
        <v>1</v>
      </c>
      <c r="H188" s="131">
        <v>1</v>
      </c>
      <c r="I188" s="131" t="s">
        <v>867</v>
      </c>
    </row>
    <row r="189" spans="1:9" x14ac:dyDescent="0.2">
      <c r="A189" s="129">
        <v>6</v>
      </c>
      <c r="B189" s="130" t="s">
        <v>87</v>
      </c>
      <c r="C189" s="130" t="s">
        <v>1203</v>
      </c>
      <c r="D189" s="130"/>
      <c r="E189" s="131" t="s">
        <v>1226</v>
      </c>
      <c r="F189" s="131">
        <v>1</v>
      </c>
      <c r="G189" s="131">
        <v>22</v>
      </c>
      <c r="H189" s="131">
        <v>1</v>
      </c>
      <c r="I189" s="131" t="s">
        <v>868</v>
      </c>
    </row>
    <row r="190" spans="1:9" x14ac:dyDescent="0.2">
      <c r="A190" s="129">
        <v>7</v>
      </c>
      <c r="B190" s="130" t="s">
        <v>87</v>
      </c>
      <c r="C190" s="130" t="s">
        <v>1204</v>
      </c>
      <c r="D190" s="130"/>
      <c r="E190" s="131" t="s">
        <v>1095</v>
      </c>
      <c r="F190" s="131">
        <v>0</v>
      </c>
      <c r="G190" s="131">
        <v>1</v>
      </c>
      <c r="H190" s="131">
        <v>1</v>
      </c>
      <c r="I190" s="131"/>
    </row>
    <row r="191" spans="1:9" x14ac:dyDescent="0.2">
      <c r="A191" s="129">
        <v>8</v>
      </c>
      <c r="B191" s="130" t="s">
        <v>87</v>
      </c>
      <c r="C191" s="130" t="s">
        <v>1205</v>
      </c>
      <c r="D191" s="130"/>
      <c r="E191" s="131" t="s">
        <v>758</v>
      </c>
      <c r="F191" s="131">
        <v>1</v>
      </c>
      <c r="G191" s="131">
        <v>22</v>
      </c>
      <c r="H191" s="131">
        <v>1</v>
      </c>
      <c r="I191" s="131"/>
    </row>
    <row r="192" spans="1:9" x14ac:dyDescent="0.2">
      <c r="A192" s="129">
        <v>9</v>
      </c>
      <c r="B192" s="130" t="s">
        <v>87</v>
      </c>
      <c r="C192" s="130" t="s">
        <v>209</v>
      </c>
      <c r="D192" s="130"/>
      <c r="E192" s="131" t="s">
        <v>1216</v>
      </c>
      <c r="F192" s="131">
        <v>0</v>
      </c>
      <c r="G192" s="131">
        <v>28800</v>
      </c>
      <c r="H192" s="131"/>
      <c r="I192" s="131"/>
    </row>
    <row r="193" spans="1:9" x14ac:dyDescent="0.2">
      <c r="A193" s="129">
        <v>10</v>
      </c>
      <c r="B193" s="130" t="s">
        <v>87</v>
      </c>
      <c r="C193" s="130" t="s">
        <v>210</v>
      </c>
      <c r="D193" s="130"/>
      <c r="E193" s="131" t="s">
        <v>1216</v>
      </c>
      <c r="F193" s="131"/>
      <c r="G193" s="131"/>
      <c r="H193" s="131"/>
      <c r="I193" s="131"/>
    </row>
    <row r="194" spans="1:9" x14ac:dyDescent="0.2">
      <c r="A194" s="129">
        <v>11</v>
      </c>
      <c r="B194" s="130" t="s">
        <v>87</v>
      </c>
      <c r="C194" s="130" t="s">
        <v>211</v>
      </c>
      <c r="D194" s="130"/>
      <c r="E194" s="131" t="s">
        <v>1216</v>
      </c>
      <c r="F194" s="131"/>
      <c r="G194" s="131"/>
      <c r="H194" s="131"/>
      <c r="I194" s="131"/>
    </row>
    <row r="195" spans="1:9" x14ac:dyDescent="0.2">
      <c r="A195" s="129">
        <v>12</v>
      </c>
      <c r="B195" s="130" t="s">
        <v>87</v>
      </c>
      <c r="C195" s="130" t="s">
        <v>212</v>
      </c>
      <c r="D195" s="130"/>
      <c r="E195" s="131" t="s">
        <v>1216</v>
      </c>
      <c r="F195" s="131"/>
      <c r="G195" s="131"/>
      <c r="H195" s="131"/>
      <c r="I195" s="131"/>
    </row>
    <row r="196" spans="1:9" x14ac:dyDescent="0.2">
      <c r="A196" s="129">
        <v>13</v>
      </c>
      <c r="B196" s="130" t="s">
        <v>87</v>
      </c>
      <c r="C196" s="130" t="s">
        <v>213</v>
      </c>
      <c r="D196" s="130"/>
      <c r="E196" s="131" t="s">
        <v>1216</v>
      </c>
      <c r="F196" s="131"/>
      <c r="G196" s="131"/>
      <c r="H196" s="131"/>
      <c r="I196" s="131"/>
    </row>
    <row r="197" spans="1:9" x14ac:dyDescent="0.2">
      <c r="A197" s="129">
        <v>14</v>
      </c>
      <c r="B197" s="130" t="s">
        <v>87</v>
      </c>
      <c r="C197" s="130" t="s">
        <v>1206</v>
      </c>
      <c r="D197" s="130"/>
      <c r="E197" s="131" t="s">
        <v>29</v>
      </c>
      <c r="F197" s="131"/>
      <c r="G197" s="131"/>
      <c r="H197" s="131"/>
      <c r="I197" s="131"/>
    </row>
    <row r="198" spans="1:9" x14ac:dyDescent="0.2">
      <c r="A198" s="129">
        <v>15</v>
      </c>
      <c r="B198" s="130" t="s">
        <v>87</v>
      </c>
      <c r="C198" s="130" t="s">
        <v>1207</v>
      </c>
      <c r="D198" s="130"/>
      <c r="E198" s="131" t="s">
        <v>18</v>
      </c>
      <c r="F198" s="131"/>
      <c r="G198" s="131"/>
      <c r="H198" s="131"/>
      <c r="I198" s="131"/>
    </row>
    <row r="199" spans="1:9" ht="17" thickBot="1" x14ac:dyDescent="0.25">
      <c r="I199"/>
    </row>
    <row r="200" spans="1:9" x14ac:dyDescent="0.2">
      <c r="A200" s="106" t="s">
        <v>816</v>
      </c>
      <c r="B200" s="107" t="s">
        <v>925</v>
      </c>
      <c r="C200" s="108"/>
      <c r="D200" s="108"/>
      <c r="E200" s="108"/>
      <c r="F200" s="108"/>
      <c r="G200" s="108"/>
      <c r="H200" s="108"/>
      <c r="I200" s="108"/>
    </row>
    <row r="201" spans="1:9" x14ac:dyDescent="0.2">
      <c r="A201" s="109" t="s">
        <v>817</v>
      </c>
      <c r="B201" s="110" t="s">
        <v>926</v>
      </c>
      <c r="C201" s="111"/>
      <c r="D201" s="111"/>
      <c r="E201" s="111"/>
      <c r="F201" s="111"/>
      <c r="G201" s="111"/>
      <c r="H201" s="111"/>
      <c r="I201" s="111"/>
    </row>
    <row r="202" spans="1:9" x14ac:dyDescent="0.2">
      <c r="A202" s="109" t="s">
        <v>772</v>
      </c>
      <c r="B202" s="110" t="s">
        <v>927</v>
      </c>
      <c r="C202" s="111"/>
      <c r="D202" s="111"/>
      <c r="E202" s="111"/>
      <c r="F202" s="111"/>
      <c r="G202" s="111"/>
      <c r="H202" s="111"/>
      <c r="I202" s="111"/>
    </row>
    <row r="203" spans="1:9" x14ac:dyDescent="0.2">
      <c r="A203" s="109" t="s">
        <v>818</v>
      </c>
      <c r="B203" s="110" t="s">
        <v>937</v>
      </c>
      <c r="C203" s="111"/>
      <c r="D203" s="111"/>
      <c r="E203" s="111"/>
      <c r="F203" s="111"/>
      <c r="G203" s="111"/>
      <c r="H203" s="111"/>
      <c r="I203" s="111"/>
    </row>
    <row r="204" spans="1:9" x14ac:dyDescent="0.2">
      <c r="A204" s="109" t="s">
        <v>819</v>
      </c>
      <c r="B204" s="110" t="s">
        <v>921</v>
      </c>
      <c r="C204" s="111"/>
      <c r="D204" s="111"/>
      <c r="E204" s="111"/>
      <c r="F204" s="111"/>
      <c r="G204" s="111"/>
      <c r="H204" s="111"/>
      <c r="I204" s="111"/>
    </row>
    <row r="205" spans="1:9" x14ac:dyDescent="0.2">
      <c r="A205" s="109" t="s">
        <v>970</v>
      </c>
      <c r="B205" s="110" t="s">
        <v>971</v>
      </c>
      <c r="C205" s="111"/>
      <c r="D205" s="111"/>
      <c r="E205" s="111"/>
      <c r="F205" s="111"/>
      <c r="G205" s="111"/>
      <c r="H205" s="111"/>
      <c r="I205" s="111"/>
    </row>
    <row r="206" spans="1:9" x14ac:dyDescent="0.2">
      <c r="A206" s="109" t="s">
        <v>820</v>
      </c>
      <c r="B206" s="110" t="s">
        <v>939</v>
      </c>
      <c r="C206" s="111"/>
      <c r="D206" s="111"/>
      <c r="E206" s="111"/>
      <c r="F206" s="111"/>
      <c r="G206" s="111"/>
      <c r="H206" s="111"/>
      <c r="I206" s="111"/>
    </row>
    <row r="207" spans="1:9" x14ac:dyDescent="0.2">
      <c r="A207" s="109" t="s">
        <v>821</v>
      </c>
      <c r="B207" s="110" t="s">
        <v>968</v>
      </c>
      <c r="C207" s="111"/>
      <c r="D207" s="111"/>
      <c r="E207" s="111"/>
      <c r="F207" s="111"/>
      <c r="G207" s="111"/>
      <c r="H207" s="111"/>
      <c r="I207" s="111"/>
    </row>
    <row r="208" spans="1:9" ht="17" thickBot="1" x14ac:dyDescent="0.25">
      <c r="A208" s="109" t="s">
        <v>793</v>
      </c>
      <c r="B208" s="112">
        <v>7</v>
      </c>
      <c r="C208" s="113"/>
      <c r="D208" s="113"/>
      <c r="E208" s="113"/>
      <c r="F208" s="113"/>
      <c r="G208" s="113"/>
      <c r="H208" s="113"/>
      <c r="I208" s="113" t="s">
        <v>932</v>
      </c>
    </row>
    <row r="209" spans="1:9" x14ac:dyDescent="0.2">
      <c r="A209" s="114" t="s">
        <v>784</v>
      </c>
      <c r="B209" s="115" t="s">
        <v>785</v>
      </c>
      <c r="C209" s="115" t="s">
        <v>787</v>
      </c>
      <c r="D209" s="115"/>
      <c r="E209" s="115" t="s">
        <v>788</v>
      </c>
      <c r="F209" s="115" t="s">
        <v>807</v>
      </c>
      <c r="G209" s="115" t="s">
        <v>808</v>
      </c>
      <c r="H209" s="115" t="s">
        <v>811</v>
      </c>
      <c r="I209" s="115" t="s">
        <v>812</v>
      </c>
    </row>
    <row r="210" spans="1:9" x14ac:dyDescent="0.2">
      <c r="A210" s="116">
        <v>0</v>
      </c>
      <c r="B210" s="117" t="s">
        <v>934</v>
      </c>
      <c r="C210" s="117" t="s">
        <v>935</v>
      </c>
      <c r="D210" s="117"/>
      <c r="E210" s="118" t="s">
        <v>853</v>
      </c>
      <c r="F210" s="118"/>
      <c r="G210" s="118"/>
      <c r="H210" s="118"/>
      <c r="I210" s="118" t="s">
        <v>931</v>
      </c>
    </row>
    <row r="211" spans="1:9" ht="17" thickBot="1" x14ac:dyDescent="0.25">
      <c r="I211"/>
    </row>
    <row r="212" spans="1:9" x14ac:dyDescent="0.2">
      <c r="A212" s="94" t="s">
        <v>816</v>
      </c>
      <c r="B212" s="95" t="s">
        <v>928</v>
      </c>
      <c r="C212" s="96"/>
      <c r="D212" s="96"/>
      <c r="E212" s="96"/>
      <c r="F212" s="96"/>
      <c r="G212" s="96"/>
      <c r="H212" s="96"/>
      <c r="I212" s="96"/>
    </row>
    <row r="213" spans="1:9" x14ac:dyDescent="0.2">
      <c r="A213" s="97" t="s">
        <v>817</v>
      </c>
      <c r="B213" s="98" t="s">
        <v>929</v>
      </c>
      <c r="C213" s="57"/>
      <c r="D213" s="57"/>
      <c r="E213" s="57"/>
      <c r="F213" s="57"/>
      <c r="G213" s="57"/>
      <c r="H213" s="57"/>
      <c r="I213" s="57"/>
    </row>
    <row r="214" spans="1:9" x14ac:dyDescent="0.2">
      <c r="A214" s="97" t="s">
        <v>772</v>
      </c>
      <c r="B214" s="98" t="s">
        <v>930</v>
      </c>
      <c r="C214" s="57"/>
      <c r="D214" s="57"/>
      <c r="E214" s="57"/>
      <c r="F214" s="57"/>
      <c r="G214" s="57"/>
      <c r="H214" s="57"/>
      <c r="I214" s="57"/>
    </row>
    <row r="215" spans="1:9" x14ac:dyDescent="0.2">
      <c r="A215" s="97" t="s">
        <v>818</v>
      </c>
      <c r="B215" s="98" t="s">
        <v>937</v>
      </c>
      <c r="C215" s="57"/>
      <c r="D215" s="57"/>
      <c r="E215" s="57"/>
      <c r="F215" s="57"/>
      <c r="G215" s="57"/>
      <c r="H215" s="57"/>
      <c r="I215" s="57"/>
    </row>
    <row r="216" spans="1:9" x14ac:dyDescent="0.2">
      <c r="A216" s="97" t="s">
        <v>970</v>
      </c>
      <c r="B216" s="98" t="s">
        <v>971</v>
      </c>
      <c r="C216" s="57"/>
      <c r="D216" s="57"/>
      <c r="E216" s="57"/>
      <c r="F216" s="57"/>
      <c r="G216" s="57"/>
      <c r="H216" s="57"/>
      <c r="I216" s="57"/>
    </row>
    <row r="217" spans="1:9" x14ac:dyDescent="0.2">
      <c r="A217" s="97" t="s">
        <v>940</v>
      </c>
      <c r="B217" s="98" t="s">
        <v>942</v>
      </c>
      <c r="C217" s="57"/>
      <c r="D217" s="57"/>
      <c r="E217" s="57"/>
      <c r="F217" s="57"/>
      <c r="G217" s="57"/>
      <c r="H217" s="57"/>
      <c r="I217" s="57"/>
    </row>
    <row r="218" spans="1:9" x14ac:dyDescent="0.2">
      <c r="A218" s="97" t="s">
        <v>820</v>
      </c>
      <c r="B218" s="98" t="s">
        <v>939</v>
      </c>
      <c r="C218" s="57"/>
      <c r="D218" s="57"/>
      <c r="E218" s="57"/>
      <c r="F218" s="57"/>
      <c r="G218" s="57"/>
      <c r="H218" s="57"/>
      <c r="I218" s="57"/>
    </row>
    <row r="219" spans="1:9" x14ac:dyDescent="0.2">
      <c r="A219" s="97" t="s">
        <v>821</v>
      </c>
      <c r="B219" s="98" t="s">
        <v>969</v>
      </c>
      <c r="C219" s="57"/>
      <c r="D219" s="57"/>
      <c r="E219" s="57"/>
      <c r="F219" s="57"/>
      <c r="G219" s="57"/>
      <c r="H219" s="57"/>
      <c r="I219" s="57" t="s">
        <v>938</v>
      </c>
    </row>
    <row r="220" spans="1:9" ht="17" thickBot="1" x14ac:dyDescent="0.25">
      <c r="A220" s="97" t="s">
        <v>793</v>
      </c>
      <c r="B220" s="99">
        <v>255</v>
      </c>
      <c r="C220" s="100"/>
      <c r="D220" s="100"/>
      <c r="E220" s="100"/>
      <c r="F220" s="100"/>
      <c r="G220" s="100"/>
      <c r="H220" s="100"/>
      <c r="I220" s="100" t="s">
        <v>933</v>
      </c>
    </row>
    <row r="221" spans="1:9" x14ac:dyDescent="0.2">
      <c r="A221" s="101" t="s">
        <v>784</v>
      </c>
      <c r="B221" s="102" t="s">
        <v>785</v>
      </c>
      <c r="C221" s="102" t="s">
        <v>787</v>
      </c>
      <c r="D221" s="102"/>
      <c r="E221" s="102" t="s">
        <v>788</v>
      </c>
      <c r="F221" s="102" t="s">
        <v>807</v>
      </c>
      <c r="G221" s="102" t="s">
        <v>808</v>
      </c>
      <c r="H221" s="102" t="s">
        <v>811</v>
      </c>
      <c r="I221" s="102" t="s">
        <v>812</v>
      </c>
    </row>
    <row r="222" spans="1:9" x14ac:dyDescent="0.2">
      <c r="A222" s="103">
        <v>0</v>
      </c>
      <c r="B222" s="104" t="s">
        <v>934</v>
      </c>
      <c r="C222" s="104" t="s">
        <v>936</v>
      </c>
      <c r="D222" s="104"/>
      <c r="E222" s="105" t="s">
        <v>857</v>
      </c>
      <c r="F222" s="105"/>
      <c r="G222" s="105"/>
      <c r="H222" s="105"/>
      <c r="I222" s="105"/>
    </row>
    <row r="223" spans="1:9" ht="17" thickBot="1" x14ac:dyDescent="0.25">
      <c r="I223"/>
    </row>
    <row r="224" spans="1:9" x14ac:dyDescent="0.2">
      <c r="A224" s="119" t="s">
        <v>816</v>
      </c>
      <c r="B224" s="120" t="s">
        <v>869</v>
      </c>
      <c r="C224" s="121"/>
      <c r="D224" s="121"/>
      <c r="E224" s="121"/>
      <c r="F224" s="121"/>
      <c r="G224" s="121"/>
      <c r="H224" s="121"/>
      <c r="I224" s="121"/>
    </row>
    <row r="225" spans="1:9" x14ac:dyDescent="0.2">
      <c r="A225" s="122" t="s">
        <v>817</v>
      </c>
      <c r="B225" s="123" t="s">
        <v>870</v>
      </c>
      <c r="C225" s="124"/>
      <c r="D225" s="124"/>
      <c r="E225" s="124"/>
      <c r="F225" s="124"/>
      <c r="G225" s="124"/>
      <c r="H225" s="124"/>
      <c r="I225" s="124"/>
    </row>
    <row r="226" spans="1:9" x14ac:dyDescent="0.2">
      <c r="A226" s="122" t="s">
        <v>772</v>
      </c>
      <c r="B226" s="123" t="s">
        <v>871</v>
      </c>
      <c r="C226" s="124"/>
      <c r="D226" s="124"/>
      <c r="E226" s="124"/>
      <c r="F226" s="124"/>
      <c r="G226" s="124"/>
      <c r="H226" s="124"/>
      <c r="I226" s="124"/>
    </row>
    <row r="227" spans="1:9" x14ac:dyDescent="0.2">
      <c r="A227" s="122" t="s">
        <v>818</v>
      </c>
      <c r="B227" s="123" t="s">
        <v>826</v>
      </c>
      <c r="C227" s="124"/>
      <c r="D227" s="124"/>
      <c r="E227" s="124"/>
      <c r="F227" s="124"/>
      <c r="G227" s="124"/>
      <c r="H227" s="124"/>
      <c r="I227" s="124"/>
    </row>
    <row r="228" spans="1:9" x14ac:dyDescent="0.2">
      <c r="A228" s="122" t="s">
        <v>970</v>
      </c>
      <c r="B228" s="123" t="s">
        <v>912</v>
      </c>
      <c r="C228" s="124"/>
      <c r="D228" s="124"/>
      <c r="E228" s="124"/>
      <c r="F228" s="124"/>
      <c r="G228" s="124"/>
      <c r="H228" s="124"/>
      <c r="I228" s="124"/>
    </row>
    <row r="229" spans="1:9" x14ac:dyDescent="0.2">
      <c r="A229" s="122" t="s">
        <v>940</v>
      </c>
      <c r="B229" s="123" t="s">
        <v>941</v>
      </c>
      <c r="C229" s="124"/>
      <c r="D229" s="124"/>
      <c r="E229" s="124"/>
      <c r="F229" s="124"/>
      <c r="G229" s="124"/>
      <c r="H229" s="124"/>
      <c r="I229" s="124"/>
    </row>
    <row r="230" spans="1:9" x14ac:dyDescent="0.2">
      <c r="A230" s="122" t="s">
        <v>820</v>
      </c>
      <c r="B230" s="123" t="s">
        <v>872</v>
      </c>
      <c r="C230" s="124"/>
      <c r="D230" s="124"/>
      <c r="E230" s="124"/>
      <c r="F230" s="124"/>
      <c r="G230" s="124"/>
      <c r="H230" s="124"/>
      <c r="I230" s="124"/>
    </row>
    <row r="231" spans="1:9" x14ac:dyDescent="0.2">
      <c r="A231" s="122" t="s">
        <v>821</v>
      </c>
      <c r="B231" s="123"/>
      <c r="C231" s="124"/>
      <c r="D231" s="124"/>
      <c r="E231" s="124"/>
      <c r="F231" s="124"/>
      <c r="G231" s="124"/>
      <c r="H231" s="124"/>
      <c r="I231" s="124"/>
    </row>
    <row r="232" spans="1:9" ht="17" thickBot="1" x14ac:dyDescent="0.25">
      <c r="A232" s="122" t="s">
        <v>793</v>
      </c>
      <c r="B232" s="125">
        <v>16</v>
      </c>
      <c r="C232" s="126"/>
      <c r="D232" s="126"/>
      <c r="E232" s="126"/>
      <c r="F232" s="126"/>
      <c r="G232" s="126"/>
      <c r="H232" s="126"/>
      <c r="I232" s="126"/>
    </row>
    <row r="233" spans="1:9" x14ac:dyDescent="0.2">
      <c r="A233" s="127" t="s">
        <v>784</v>
      </c>
      <c r="B233" s="128" t="s">
        <v>785</v>
      </c>
      <c r="C233" s="128" t="s">
        <v>787</v>
      </c>
      <c r="D233" s="128"/>
      <c r="E233" s="130" t="s">
        <v>788</v>
      </c>
      <c r="F233" s="128" t="s">
        <v>807</v>
      </c>
      <c r="G233" s="128" t="s">
        <v>808</v>
      </c>
      <c r="H233" s="128" t="s">
        <v>811</v>
      </c>
      <c r="I233" s="128" t="s">
        <v>812</v>
      </c>
    </row>
    <row r="234" spans="1:9" x14ac:dyDescent="0.2">
      <c r="A234" s="129">
        <v>0</v>
      </c>
      <c r="B234" s="130" t="s">
        <v>87</v>
      </c>
      <c r="C234" s="130" t="s">
        <v>1200</v>
      </c>
      <c r="D234" s="130"/>
      <c r="E234" s="131" t="s">
        <v>1208</v>
      </c>
      <c r="F234" s="131"/>
      <c r="G234" s="131"/>
      <c r="H234" s="131"/>
      <c r="I234" s="131"/>
    </row>
    <row r="235" spans="1:9" x14ac:dyDescent="0.2">
      <c r="A235" s="129">
        <v>1</v>
      </c>
      <c r="B235" s="130" t="s">
        <v>87</v>
      </c>
      <c r="C235" s="130" t="s">
        <v>1201</v>
      </c>
      <c r="D235" s="130"/>
      <c r="E235" s="131" t="s">
        <v>1209</v>
      </c>
      <c r="F235" s="131"/>
      <c r="G235" s="131"/>
      <c r="H235" s="131"/>
      <c r="I235" s="131"/>
    </row>
    <row r="236" spans="1:9" x14ac:dyDescent="0.2">
      <c r="A236" s="129">
        <v>2</v>
      </c>
      <c r="B236" s="130" t="s">
        <v>87</v>
      </c>
      <c r="C236" s="130" t="s">
        <v>1047</v>
      </c>
      <c r="D236" s="130"/>
      <c r="E236" s="131" t="s">
        <v>1229</v>
      </c>
      <c r="F236" s="131"/>
      <c r="G236" s="131"/>
      <c r="H236" s="131"/>
      <c r="I236" s="131"/>
    </row>
    <row r="237" spans="1:9" x14ac:dyDescent="0.2">
      <c r="A237" s="129">
        <v>3</v>
      </c>
      <c r="B237" s="130" t="s">
        <v>87</v>
      </c>
      <c r="C237" s="130" t="s">
        <v>1049</v>
      </c>
      <c r="D237" s="130"/>
      <c r="E237" s="131" t="s">
        <v>1230</v>
      </c>
      <c r="F237" s="131"/>
      <c r="G237" s="131"/>
      <c r="H237" s="131"/>
      <c r="I237" s="131"/>
    </row>
    <row r="238" spans="1:9" x14ac:dyDescent="0.2">
      <c r="A238" s="199">
        <v>4</v>
      </c>
      <c r="B238" s="200" t="s">
        <v>87</v>
      </c>
      <c r="C238" s="200" t="s">
        <v>1240</v>
      </c>
      <c r="D238" s="200"/>
      <c r="E238" s="201" t="s">
        <v>1242</v>
      </c>
      <c r="F238" s="201">
        <v>0</v>
      </c>
      <c r="G238" s="201">
        <v>14400</v>
      </c>
      <c r="H238" s="201">
        <v>60</v>
      </c>
      <c r="I238" s="201" t="s">
        <v>1243</v>
      </c>
    </row>
    <row r="239" spans="1:9" x14ac:dyDescent="0.2">
      <c r="A239" s="129">
        <v>5</v>
      </c>
      <c r="B239" s="130" t="s">
        <v>87</v>
      </c>
      <c r="C239" s="130" t="s">
        <v>1202</v>
      </c>
      <c r="D239" s="130"/>
      <c r="E239" s="131" t="s">
        <v>1212</v>
      </c>
      <c r="F239" s="131"/>
      <c r="G239" s="131"/>
      <c r="H239" s="131"/>
      <c r="I239" s="131"/>
    </row>
    <row r="240" spans="1:9" x14ac:dyDescent="0.2">
      <c r="A240" s="129">
        <v>6</v>
      </c>
      <c r="B240" s="130" t="s">
        <v>87</v>
      </c>
      <c r="C240" s="130" t="s">
        <v>1203</v>
      </c>
      <c r="D240" s="130"/>
      <c r="E240" s="131" t="s">
        <v>372</v>
      </c>
      <c r="F240" s="131"/>
      <c r="G240" s="131"/>
      <c r="H240" s="131"/>
      <c r="I240" s="131"/>
    </row>
    <row r="241" spans="1:9" x14ac:dyDescent="0.2">
      <c r="A241" s="129">
        <v>7</v>
      </c>
      <c r="B241" s="130" t="s">
        <v>87</v>
      </c>
      <c r="C241" s="130" t="s">
        <v>1204</v>
      </c>
      <c r="D241" s="130"/>
      <c r="E241" s="131" t="s">
        <v>1095</v>
      </c>
      <c r="F241" s="131"/>
      <c r="G241" s="131"/>
      <c r="H241" s="131"/>
      <c r="I241" s="131"/>
    </row>
    <row r="242" spans="1:9" x14ac:dyDescent="0.2">
      <c r="A242" s="199">
        <v>8</v>
      </c>
      <c r="B242" s="130" t="s">
        <v>87</v>
      </c>
      <c r="C242" s="130" t="s">
        <v>1205</v>
      </c>
      <c r="D242" s="130"/>
      <c r="E242" s="131" t="s">
        <v>758</v>
      </c>
      <c r="F242" s="131"/>
      <c r="G242" s="131"/>
      <c r="H242" s="131"/>
      <c r="I242" s="131"/>
    </row>
    <row r="243" spans="1:9" x14ac:dyDescent="0.2">
      <c r="A243" s="129">
        <v>9</v>
      </c>
      <c r="B243" s="130" t="s">
        <v>87</v>
      </c>
      <c r="C243" s="130" t="s">
        <v>286</v>
      </c>
      <c r="D243" s="130"/>
      <c r="E243" s="131" t="s">
        <v>20</v>
      </c>
      <c r="F243" s="131"/>
      <c r="G243" s="131"/>
      <c r="H243" s="131"/>
      <c r="I243" s="131"/>
    </row>
    <row r="244" spans="1:9" x14ac:dyDescent="0.2">
      <c r="A244" s="129">
        <v>10</v>
      </c>
      <c r="B244" s="130" t="s">
        <v>87</v>
      </c>
      <c r="C244" s="130" t="s">
        <v>287</v>
      </c>
      <c r="D244" s="130"/>
      <c r="E244" s="131" t="s">
        <v>18</v>
      </c>
      <c r="F244" s="131"/>
      <c r="G244" s="131"/>
      <c r="H244" s="131"/>
      <c r="I244" s="131"/>
    </row>
    <row r="245" spans="1:9" x14ac:dyDescent="0.2">
      <c r="A245" s="129">
        <v>11</v>
      </c>
      <c r="B245" s="130" t="s">
        <v>87</v>
      </c>
      <c r="C245" s="130" t="s">
        <v>288</v>
      </c>
      <c r="D245" s="130"/>
      <c r="E245" s="131" t="s">
        <v>22</v>
      </c>
      <c r="F245" s="131"/>
      <c r="G245" s="131"/>
      <c r="H245" s="131"/>
      <c r="I245" s="131"/>
    </row>
    <row r="246" spans="1:9" x14ac:dyDescent="0.2">
      <c r="A246" s="199">
        <v>12</v>
      </c>
      <c r="B246" s="130" t="s">
        <v>87</v>
      </c>
      <c r="C246" s="130" t="s">
        <v>873</v>
      </c>
      <c r="D246" s="130"/>
      <c r="E246" s="131" t="s">
        <v>875</v>
      </c>
      <c r="F246" s="131"/>
      <c r="G246" s="131"/>
      <c r="H246" s="131"/>
      <c r="I246" s="131"/>
    </row>
    <row r="247" spans="1:9" x14ac:dyDescent="0.2">
      <c r="A247" s="129">
        <v>13</v>
      </c>
      <c r="B247" s="130" t="s">
        <v>87</v>
      </c>
      <c r="C247" s="130" t="s">
        <v>874</v>
      </c>
      <c r="D247" s="130"/>
      <c r="E247" s="131" t="s">
        <v>876</v>
      </c>
      <c r="F247" s="131"/>
      <c r="G247" s="131"/>
      <c r="H247" s="131"/>
      <c r="I247" s="131"/>
    </row>
    <row r="248" spans="1:9" x14ac:dyDescent="0.2">
      <c r="A248" s="129">
        <v>14</v>
      </c>
      <c r="B248" s="130" t="s">
        <v>87</v>
      </c>
      <c r="C248" s="130" t="s">
        <v>1206</v>
      </c>
      <c r="D248" s="130"/>
      <c r="E248" s="131" t="s">
        <v>29</v>
      </c>
      <c r="F248" s="131"/>
      <c r="G248" s="131"/>
      <c r="H248" s="131"/>
      <c r="I248" s="131"/>
    </row>
    <row r="249" spans="1:9" x14ac:dyDescent="0.2">
      <c r="A249" s="129">
        <v>15</v>
      </c>
      <c r="B249" s="130" t="s">
        <v>87</v>
      </c>
      <c r="C249" s="130" t="s">
        <v>1207</v>
      </c>
      <c r="D249" s="130"/>
      <c r="E249" s="131" t="s">
        <v>18</v>
      </c>
      <c r="F249" s="131"/>
      <c r="G249" s="131"/>
      <c r="H249" s="131"/>
      <c r="I249" s="131"/>
    </row>
    <row r="250" spans="1:9" ht="17" thickBot="1" x14ac:dyDescent="0.25">
      <c r="I250"/>
    </row>
    <row r="251" spans="1:9" x14ac:dyDescent="0.2">
      <c r="A251" s="119" t="s">
        <v>816</v>
      </c>
      <c r="B251" s="120" t="s">
        <v>878</v>
      </c>
      <c r="C251" s="121"/>
      <c r="D251" s="121"/>
      <c r="E251" s="121"/>
      <c r="F251" s="121"/>
      <c r="G251" s="121"/>
      <c r="H251" s="121"/>
      <c r="I251" s="121"/>
    </row>
    <row r="252" spans="1:9" x14ac:dyDescent="0.2">
      <c r="A252" s="122" t="s">
        <v>817</v>
      </c>
      <c r="B252" s="123" t="s">
        <v>877</v>
      </c>
      <c r="C252" s="124"/>
      <c r="D252" s="124"/>
      <c r="E252" s="124"/>
      <c r="F252" s="124"/>
      <c r="G252" s="124"/>
      <c r="H252" s="124"/>
      <c r="I252" s="124"/>
    </row>
    <row r="253" spans="1:9" ht="29" customHeight="1" x14ac:dyDescent="0.2">
      <c r="A253" s="122" t="s">
        <v>772</v>
      </c>
      <c r="B253" s="123" t="s">
        <v>879</v>
      </c>
      <c r="C253" s="124"/>
      <c r="D253" s="124"/>
      <c r="E253" s="124"/>
      <c r="F253" s="124"/>
      <c r="G253" s="124"/>
      <c r="H253" s="124"/>
      <c r="I253" s="124"/>
    </row>
    <row r="254" spans="1:9" x14ac:dyDescent="0.2">
      <c r="A254" s="122" t="s">
        <v>818</v>
      </c>
      <c r="B254" s="123" t="s">
        <v>829</v>
      </c>
      <c r="C254" s="124"/>
      <c r="D254" s="124"/>
      <c r="E254" s="124"/>
      <c r="F254" s="124"/>
      <c r="G254" s="124"/>
      <c r="H254" s="124"/>
      <c r="I254" s="124"/>
    </row>
    <row r="255" spans="1:9" x14ac:dyDescent="0.2">
      <c r="A255" s="122" t="s">
        <v>970</v>
      </c>
      <c r="B255" s="123" t="s">
        <v>912</v>
      </c>
      <c r="C255" s="124"/>
      <c r="D255" s="124"/>
      <c r="E255" s="124"/>
      <c r="F255" s="124"/>
      <c r="G255" s="124"/>
      <c r="H255" s="124"/>
      <c r="I255" s="124"/>
    </row>
    <row r="256" spans="1:9" x14ac:dyDescent="0.2">
      <c r="A256" s="122" t="s">
        <v>940</v>
      </c>
      <c r="B256" s="123" t="s">
        <v>941</v>
      </c>
      <c r="C256" s="124"/>
      <c r="D256" s="124"/>
      <c r="E256" s="124"/>
      <c r="F256" s="124"/>
      <c r="G256" s="124"/>
      <c r="H256" s="124"/>
      <c r="I256" s="124"/>
    </row>
    <row r="257" spans="1:9" x14ac:dyDescent="0.2">
      <c r="A257" s="122" t="s">
        <v>820</v>
      </c>
      <c r="B257" s="123" t="s">
        <v>880</v>
      </c>
      <c r="C257" s="124"/>
      <c r="D257" s="124"/>
      <c r="E257" s="124"/>
      <c r="F257" s="124"/>
      <c r="G257" s="124"/>
      <c r="H257" s="124"/>
      <c r="I257" s="124"/>
    </row>
    <row r="258" spans="1:9" x14ac:dyDescent="0.2">
      <c r="A258" s="122" t="s">
        <v>821</v>
      </c>
      <c r="B258" s="123"/>
      <c r="C258" s="124"/>
      <c r="D258" s="124"/>
      <c r="E258" s="124"/>
      <c r="F258" s="124"/>
      <c r="G258" s="124"/>
      <c r="H258" s="124"/>
      <c r="I258" s="124"/>
    </row>
    <row r="259" spans="1:9" ht="17" thickBot="1" x14ac:dyDescent="0.25">
      <c r="A259" s="122" t="s">
        <v>793</v>
      </c>
      <c r="B259" s="125">
        <v>16</v>
      </c>
      <c r="C259" s="126"/>
      <c r="D259" s="126"/>
      <c r="E259" s="126"/>
      <c r="F259" s="126"/>
      <c r="G259" s="126"/>
      <c r="H259" s="126"/>
      <c r="I259" s="126"/>
    </row>
    <row r="260" spans="1:9" x14ac:dyDescent="0.2">
      <c r="A260" s="127" t="s">
        <v>784</v>
      </c>
      <c r="B260" s="128" t="s">
        <v>785</v>
      </c>
      <c r="C260" s="128" t="s">
        <v>787</v>
      </c>
      <c r="D260" s="128"/>
      <c r="E260" s="130" t="s">
        <v>788</v>
      </c>
      <c r="F260" s="128" t="s">
        <v>807</v>
      </c>
      <c r="G260" s="128" t="s">
        <v>808</v>
      </c>
      <c r="H260" s="128" t="s">
        <v>811</v>
      </c>
      <c r="I260" s="128" t="s">
        <v>812</v>
      </c>
    </row>
    <row r="261" spans="1:9" x14ac:dyDescent="0.2">
      <c r="A261" s="129">
        <v>0</v>
      </c>
      <c r="B261" s="130" t="s">
        <v>87</v>
      </c>
      <c r="C261" s="130" t="s">
        <v>1200</v>
      </c>
      <c r="D261" s="130"/>
      <c r="E261" s="131" t="s">
        <v>1213</v>
      </c>
      <c r="F261" s="131">
        <v>0</v>
      </c>
      <c r="G261" s="131">
        <v>25</v>
      </c>
      <c r="H261" s="131">
        <v>15</v>
      </c>
      <c r="I261" s="131"/>
    </row>
    <row r="262" spans="1:9" x14ac:dyDescent="0.2">
      <c r="A262" s="129">
        <v>1</v>
      </c>
      <c r="B262" s="130" t="s">
        <v>87</v>
      </c>
      <c r="C262" s="130" t="s">
        <v>1201</v>
      </c>
      <c r="D262" s="130"/>
      <c r="E262" s="131" t="s">
        <v>1214</v>
      </c>
      <c r="F262" s="131">
        <v>0</v>
      </c>
      <c r="G262" s="131">
        <v>5000</v>
      </c>
      <c r="H262" s="131">
        <v>100</v>
      </c>
      <c r="I262" s="131"/>
    </row>
    <row r="263" spans="1:9" x14ac:dyDescent="0.2">
      <c r="A263" s="129">
        <v>2</v>
      </c>
      <c r="B263" s="130" t="s">
        <v>87</v>
      </c>
      <c r="C263" s="130" t="s">
        <v>1047</v>
      </c>
      <c r="D263" s="130"/>
      <c r="E263" s="131" t="s">
        <v>1210</v>
      </c>
      <c r="F263" s="131">
        <v>0</v>
      </c>
      <c r="G263" s="131">
        <v>100</v>
      </c>
      <c r="H263" s="131">
        <v>65</v>
      </c>
      <c r="I263" s="131"/>
    </row>
    <row r="264" spans="1:9" x14ac:dyDescent="0.2">
      <c r="A264" s="129">
        <v>3</v>
      </c>
      <c r="B264" s="130" t="s">
        <v>87</v>
      </c>
      <c r="C264" s="130" t="s">
        <v>1049</v>
      </c>
      <c r="D264" s="130"/>
      <c r="E264" s="131" t="s">
        <v>1211</v>
      </c>
      <c r="F264" s="131">
        <v>0</v>
      </c>
      <c r="G264" s="131">
        <v>125</v>
      </c>
      <c r="H264" s="131">
        <v>80</v>
      </c>
      <c r="I264" s="131"/>
    </row>
    <row r="265" spans="1:9" x14ac:dyDescent="0.2">
      <c r="A265" s="199">
        <v>4</v>
      </c>
      <c r="B265" s="200" t="s">
        <v>87</v>
      </c>
      <c r="C265" s="200" t="s">
        <v>1240</v>
      </c>
      <c r="D265" s="200"/>
      <c r="E265" s="201" t="s">
        <v>1242</v>
      </c>
      <c r="F265" s="201">
        <v>0</v>
      </c>
      <c r="G265" s="201">
        <v>14400</v>
      </c>
      <c r="H265" s="201">
        <v>60</v>
      </c>
      <c r="I265" s="201" t="s">
        <v>1243</v>
      </c>
    </row>
    <row r="266" spans="1:9" x14ac:dyDescent="0.2">
      <c r="A266" s="129">
        <v>5</v>
      </c>
      <c r="B266" s="130" t="s">
        <v>87</v>
      </c>
      <c r="C266" s="130" t="s">
        <v>1202</v>
      </c>
      <c r="D266" s="130"/>
      <c r="E266" s="131" t="s">
        <v>1212</v>
      </c>
      <c r="F266" s="131"/>
      <c r="G266" s="131"/>
      <c r="H266" s="131"/>
      <c r="I266" s="131"/>
    </row>
    <row r="267" spans="1:9" x14ac:dyDescent="0.2">
      <c r="A267" s="129">
        <v>6</v>
      </c>
      <c r="B267" s="130" t="s">
        <v>87</v>
      </c>
      <c r="C267" s="130" t="s">
        <v>1203</v>
      </c>
      <c r="D267" s="130"/>
      <c r="E267" s="131" t="s">
        <v>1227</v>
      </c>
      <c r="F267" s="131"/>
      <c r="G267" s="131"/>
      <c r="H267" s="131"/>
      <c r="I267" s="131"/>
    </row>
    <row r="268" spans="1:9" x14ac:dyDescent="0.2">
      <c r="A268" s="129">
        <v>7</v>
      </c>
      <c r="B268" s="130" t="s">
        <v>87</v>
      </c>
      <c r="C268" s="130" t="s">
        <v>1204</v>
      </c>
      <c r="D268" s="130"/>
      <c r="E268" s="131" t="s">
        <v>1095</v>
      </c>
      <c r="F268" s="131"/>
      <c r="G268" s="131"/>
      <c r="H268" s="131"/>
      <c r="I268" s="131"/>
    </row>
    <row r="269" spans="1:9" x14ac:dyDescent="0.2">
      <c r="A269" s="199">
        <v>8</v>
      </c>
      <c r="B269" s="130" t="s">
        <v>87</v>
      </c>
      <c r="C269" s="130" t="s">
        <v>1205</v>
      </c>
      <c r="D269" s="130"/>
      <c r="E269" s="131" t="s">
        <v>758</v>
      </c>
      <c r="F269" s="131"/>
      <c r="G269" s="131"/>
      <c r="H269" s="131"/>
      <c r="I269" s="131"/>
    </row>
    <row r="270" spans="1:9" x14ac:dyDescent="0.2">
      <c r="A270" s="129">
        <v>9</v>
      </c>
      <c r="B270" s="130" t="s">
        <v>87</v>
      </c>
      <c r="C270" s="130" t="s">
        <v>209</v>
      </c>
      <c r="D270" s="130"/>
      <c r="E270" s="131" t="s">
        <v>972</v>
      </c>
      <c r="F270" s="131">
        <v>0</v>
      </c>
      <c r="G270" s="131">
        <v>28800</v>
      </c>
      <c r="H270" s="131"/>
      <c r="I270" s="131"/>
    </row>
    <row r="271" spans="1:9" x14ac:dyDescent="0.2">
      <c r="A271" s="129">
        <v>10</v>
      </c>
      <c r="B271" s="130" t="s">
        <v>87</v>
      </c>
      <c r="C271" s="130" t="s">
        <v>210</v>
      </c>
      <c r="D271" s="130"/>
      <c r="E271" s="131" t="s">
        <v>973</v>
      </c>
      <c r="F271" s="131"/>
      <c r="G271" s="131"/>
      <c r="H271" s="131"/>
      <c r="I271" s="131"/>
    </row>
    <row r="272" spans="1:9" x14ac:dyDescent="0.2">
      <c r="A272" s="129">
        <v>11</v>
      </c>
      <c r="B272" s="130" t="s">
        <v>87</v>
      </c>
      <c r="C272" s="130" t="s">
        <v>211</v>
      </c>
      <c r="D272" s="130"/>
      <c r="E272" s="131" t="s">
        <v>974</v>
      </c>
      <c r="F272" s="131"/>
      <c r="G272" s="131"/>
      <c r="H272" s="131"/>
      <c r="I272" s="131"/>
    </row>
    <row r="273" spans="1:9" x14ac:dyDescent="0.2">
      <c r="A273" s="199">
        <v>12</v>
      </c>
      <c r="B273" s="130" t="s">
        <v>87</v>
      </c>
      <c r="C273" s="130" t="s">
        <v>212</v>
      </c>
      <c r="D273" s="130"/>
      <c r="E273" s="131" t="s">
        <v>975</v>
      </c>
      <c r="F273" s="131"/>
      <c r="G273" s="131"/>
      <c r="H273" s="131"/>
      <c r="I273" s="131"/>
    </row>
    <row r="274" spans="1:9" x14ac:dyDescent="0.2">
      <c r="A274" s="129">
        <v>13</v>
      </c>
      <c r="B274" s="130" t="s">
        <v>87</v>
      </c>
      <c r="C274" s="130" t="s">
        <v>213</v>
      </c>
      <c r="D274" s="130"/>
      <c r="E274" s="131" t="s">
        <v>1215</v>
      </c>
      <c r="F274" s="131"/>
      <c r="G274" s="131"/>
      <c r="H274" s="131"/>
      <c r="I274" s="131"/>
    </row>
    <row r="275" spans="1:9" x14ac:dyDescent="0.2">
      <c r="A275" s="129">
        <v>14</v>
      </c>
      <c r="B275" s="130" t="s">
        <v>87</v>
      </c>
      <c r="C275" s="130" t="s">
        <v>1206</v>
      </c>
      <c r="D275" s="130"/>
      <c r="E275" s="131" t="s">
        <v>29</v>
      </c>
      <c r="F275" s="131"/>
      <c r="G275" s="131"/>
      <c r="H275" s="131"/>
      <c r="I275" s="131"/>
    </row>
    <row r="276" spans="1:9" x14ac:dyDescent="0.2">
      <c r="A276" s="129">
        <v>15</v>
      </c>
      <c r="B276" s="130" t="s">
        <v>87</v>
      </c>
      <c r="C276" s="130" t="s">
        <v>1207</v>
      </c>
      <c r="D276" s="130"/>
      <c r="E276" s="131" t="s">
        <v>18</v>
      </c>
      <c r="F276" s="131"/>
      <c r="G276" s="131"/>
      <c r="H276" s="131"/>
      <c r="I276" s="131"/>
    </row>
    <row r="277" spans="1:9" ht="17" thickBot="1" x14ac:dyDescent="0.25">
      <c r="I277"/>
    </row>
    <row r="278" spans="1:9" x14ac:dyDescent="0.2">
      <c r="A278" s="119" t="s">
        <v>816</v>
      </c>
      <c r="B278" s="120" t="s">
        <v>881</v>
      </c>
      <c r="C278" s="121"/>
      <c r="D278" s="121"/>
      <c r="E278" s="121"/>
      <c r="F278" s="121"/>
      <c r="G278" s="121"/>
      <c r="H278" s="121"/>
      <c r="I278" s="121"/>
    </row>
    <row r="279" spans="1:9" x14ac:dyDescent="0.2">
      <c r="A279" s="122" t="s">
        <v>817</v>
      </c>
      <c r="B279" s="123" t="s">
        <v>882</v>
      </c>
      <c r="C279" s="124"/>
      <c r="D279" s="124"/>
      <c r="E279" s="124"/>
      <c r="F279" s="124"/>
      <c r="G279" s="124"/>
      <c r="H279" s="124"/>
      <c r="I279" s="124"/>
    </row>
    <row r="280" spans="1:9" x14ac:dyDescent="0.2">
      <c r="A280" s="122" t="s">
        <v>772</v>
      </c>
      <c r="B280" s="123" t="s">
        <v>883</v>
      </c>
      <c r="C280" s="124"/>
      <c r="D280" s="124"/>
      <c r="E280" s="124"/>
      <c r="F280" s="124"/>
      <c r="G280" s="124"/>
      <c r="H280" s="124"/>
      <c r="I280" s="124"/>
    </row>
    <row r="281" spans="1:9" x14ac:dyDescent="0.2">
      <c r="A281" s="122" t="s">
        <v>818</v>
      </c>
      <c r="B281" s="123" t="s">
        <v>839</v>
      </c>
      <c r="C281" s="124"/>
      <c r="D281" s="124"/>
      <c r="E281" s="124"/>
      <c r="F281" s="124"/>
      <c r="G281" s="124"/>
      <c r="H281" s="124"/>
      <c r="I281" s="124"/>
    </row>
    <row r="282" spans="1:9" x14ac:dyDescent="0.2">
      <c r="A282" s="122" t="s">
        <v>970</v>
      </c>
      <c r="B282" s="123" t="s">
        <v>912</v>
      </c>
      <c r="C282" s="124"/>
      <c r="D282" s="124"/>
      <c r="E282" s="124"/>
      <c r="F282" s="124"/>
      <c r="G282" s="124"/>
      <c r="H282" s="124"/>
      <c r="I282" s="124"/>
    </row>
    <row r="283" spans="1:9" x14ac:dyDescent="0.2">
      <c r="A283" s="122" t="s">
        <v>940</v>
      </c>
      <c r="B283" s="123" t="s">
        <v>941</v>
      </c>
      <c r="C283" s="124"/>
      <c r="D283" s="124"/>
      <c r="E283" s="124"/>
      <c r="F283" s="124"/>
      <c r="G283" s="124"/>
      <c r="H283" s="124"/>
      <c r="I283" s="124"/>
    </row>
    <row r="284" spans="1:9" x14ac:dyDescent="0.2">
      <c r="A284" s="122" t="s">
        <v>820</v>
      </c>
      <c r="B284" s="123" t="s">
        <v>884</v>
      </c>
      <c r="C284" s="124"/>
      <c r="D284" s="124"/>
      <c r="E284" s="124"/>
      <c r="F284" s="124"/>
      <c r="G284" s="124"/>
      <c r="H284" s="124"/>
      <c r="I284" s="124"/>
    </row>
    <row r="285" spans="1:9" x14ac:dyDescent="0.2">
      <c r="A285" s="122" t="s">
        <v>821</v>
      </c>
      <c r="B285" s="123"/>
      <c r="C285" s="124"/>
      <c r="D285" s="124"/>
      <c r="E285" s="124"/>
      <c r="F285" s="124"/>
      <c r="G285" s="124"/>
      <c r="H285" s="124"/>
      <c r="I285" s="124"/>
    </row>
    <row r="286" spans="1:9" ht="17" thickBot="1" x14ac:dyDescent="0.25">
      <c r="A286" s="122" t="s">
        <v>793</v>
      </c>
      <c r="B286" s="125">
        <v>18</v>
      </c>
      <c r="C286" s="126"/>
      <c r="D286" s="126"/>
      <c r="E286" s="126"/>
      <c r="F286" s="126"/>
      <c r="G286" s="126"/>
      <c r="H286" s="126"/>
      <c r="I286" s="126"/>
    </row>
    <row r="287" spans="1:9" x14ac:dyDescent="0.2">
      <c r="A287" s="127" t="s">
        <v>784</v>
      </c>
      <c r="B287" s="128" t="s">
        <v>785</v>
      </c>
      <c r="C287" s="128" t="s">
        <v>787</v>
      </c>
      <c r="D287" s="128"/>
      <c r="E287" s="130" t="s">
        <v>788</v>
      </c>
      <c r="F287" s="128" t="s">
        <v>807</v>
      </c>
      <c r="G287" s="128" t="s">
        <v>808</v>
      </c>
      <c r="H287" s="128" t="s">
        <v>811</v>
      </c>
      <c r="I287" s="128" t="s">
        <v>812</v>
      </c>
    </row>
    <row r="288" spans="1:9" x14ac:dyDescent="0.2">
      <c r="A288" s="129">
        <v>0</v>
      </c>
      <c r="B288" s="130" t="s">
        <v>87</v>
      </c>
      <c r="C288" s="130" t="s">
        <v>398</v>
      </c>
      <c r="D288" s="130"/>
      <c r="E288" s="131" t="s">
        <v>376</v>
      </c>
      <c r="F288" s="131">
        <v>0</v>
      </c>
      <c r="G288" s="131">
        <v>1</v>
      </c>
      <c r="H288" s="131"/>
      <c r="I288" s="131"/>
    </row>
    <row r="289" spans="1:9" x14ac:dyDescent="0.2">
      <c r="A289" s="129">
        <v>1</v>
      </c>
      <c r="B289" s="130" t="s">
        <v>87</v>
      </c>
      <c r="C289" s="130" t="s">
        <v>399</v>
      </c>
      <c r="D289" s="130"/>
      <c r="E289" s="131" t="s">
        <v>377</v>
      </c>
      <c r="F289" s="131">
        <v>0</v>
      </c>
      <c r="G289" s="131">
        <v>1</v>
      </c>
      <c r="H289" s="131"/>
      <c r="I289" s="131"/>
    </row>
    <row r="290" spans="1:9" x14ac:dyDescent="0.2">
      <c r="A290" s="129">
        <v>2</v>
      </c>
      <c r="B290" s="130" t="s">
        <v>87</v>
      </c>
      <c r="C290" s="130" t="s">
        <v>400</v>
      </c>
      <c r="D290" s="130"/>
      <c r="E290" s="131" t="s">
        <v>378</v>
      </c>
      <c r="F290" s="131">
        <v>0</v>
      </c>
      <c r="G290" s="131">
        <v>1</v>
      </c>
      <c r="H290" s="131"/>
      <c r="I290" s="131"/>
    </row>
    <row r="291" spans="1:9" x14ac:dyDescent="0.2">
      <c r="A291" s="129">
        <v>3</v>
      </c>
      <c r="B291" s="130" t="s">
        <v>87</v>
      </c>
      <c r="C291" s="130" t="s">
        <v>401</v>
      </c>
      <c r="D291" s="130"/>
      <c r="E291" s="131" t="s">
        <v>379</v>
      </c>
      <c r="F291" s="131">
        <v>0</v>
      </c>
      <c r="G291" s="131">
        <v>1</v>
      </c>
      <c r="H291" s="131"/>
      <c r="I291" s="131"/>
    </row>
    <row r="292" spans="1:9" x14ac:dyDescent="0.2">
      <c r="A292" s="129">
        <v>4</v>
      </c>
      <c r="B292" s="130" t="s">
        <v>87</v>
      </c>
      <c r="C292" s="130" t="s">
        <v>295</v>
      </c>
      <c r="D292" s="130"/>
      <c r="E292" s="131" t="s">
        <v>380</v>
      </c>
      <c r="F292" s="131">
        <v>0</v>
      </c>
      <c r="G292" s="131">
        <v>100</v>
      </c>
      <c r="H292" s="131"/>
      <c r="I292" s="131"/>
    </row>
    <row r="293" spans="1:9" x14ac:dyDescent="0.2">
      <c r="A293" s="129">
        <v>5</v>
      </c>
      <c r="B293" s="130" t="s">
        <v>87</v>
      </c>
      <c r="C293" s="124" t="s">
        <v>357</v>
      </c>
      <c r="D293" s="130"/>
      <c r="E293" s="131" t="s">
        <v>383</v>
      </c>
      <c r="F293" s="131">
        <v>0</v>
      </c>
      <c r="G293" s="131">
        <v>150</v>
      </c>
      <c r="H293" s="131"/>
      <c r="I293" s="131"/>
    </row>
    <row r="294" spans="1:9" x14ac:dyDescent="0.2">
      <c r="A294" s="129">
        <v>6</v>
      </c>
      <c r="B294" s="130" t="s">
        <v>87</v>
      </c>
      <c r="C294" s="124" t="s">
        <v>402</v>
      </c>
      <c r="D294" s="130"/>
      <c r="E294" s="131" t="s">
        <v>381</v>
      </c>
      <c r="F294" s="131">
        <v>0</v>
      </c>
      <c r="G294" s="131">
        <v>1</v>
      </c>
      <c r="H294" s="131"/>
      <c r="I294" s="131"/>
    </row>
    <row r="295" spans="1:9" x14ac:dyDescent="0.2">
      <c r="A295" s="129">
        <v>7</v>
      </c>
      <c r="B295" s="130" t="s">
        <v>87</v>
      </c>
      <c r="C295" s="130" t="s">
        <v>403</v>
      </c>
      <c r="D295" s="130"/>
      <c r="E295" s="131" t="s">
        <v>382</v>
      </c>
      <c r="F295" s="131">
        <v>0</v>
      </c>
      <c r="G295" s="131">
        <v>1</v>
      </c>
      <c r="H295" s="131"/>
      <c r="I295" s="131"/>
    </row>
    <row r="296" spans="1:9" x14ac:dyDescent="0.2">
      <c r="A296" s="129">
        <v>8</v>
      </c>
      <c r="B296" s="130" t="s">
        <v>87</v>
      </c>
      <c r="C296" s="124" t="s">
        <v>290</v>
      </c>
      <c r="D296" s="130"/>
      <c r="E296" s="131" t="s">
        <v>29</v>
      </c>
      <c r="F296" s="131">
        <v>0</v>
      </c>
      <c r="G296" s="131">
        <v>28800</v>
      </c>
      <c r="H296" s="131"/>
      <c r="I296" s="131"/>
    </row>
    <row r="297" spans="1:9" x14ac:dyDescent="0.2">
      <c r="A297" s="129">
        <v>9</v>
      </c>
      <c r="B297" s="130" t="s">
        <v>87</v>
      </c>
      <c r="C297" s="130" t="s">
        <v>289</v>
      </c>
      <c r="D297" s="130"/>
      <c r="E297" s="131" t="s">
        <v>18</v>
      </c>
      <c r="F297" s="131"/>
      <c r="G297" s="131"/>
      <c r="H297" s="131"/>
      <c r="I297" s="131"/>
    </row>
    <row r="298" spans="1:9" x14ac:dyDescent="0.2">
      <c r="A298" s="129">
        <v>10</v>
      </c>
      <c r="B298" s="130" t="s">
        <v>87</v>
      </c>
      <c r="C298" s="130" t="s">
        <v>1021</v>
      </c>
      <c r="D298" s="130"/>
      <c r="E298" s="131" t="s">
        <v>1029</v>
      </c>
      <c r="F298" s="131">
        <v>0</v>
      </c>
      <c r="G298" s="131">
        <v>1024</v>
      </c>
      <c r="H298" s="131"/>
      <c r="I298" s="131"/>
    </row>
    <row r="299" spans="1:9" x14ac:dyDescent="0.2">
      <c r="A299" s="129">
        <v>11</v>
      </c>
      <c r="B299" s="130" t="s">
        <v>87</v>
      </c>
      <c r="C299" s="130" t="s">
        <v>1022</v>
      </c>
      <c r="D299" s="130"/>
      <c r="E299" s="131" t="s">
        <v>1030</v>
      </c>
      <c r="F299" s="131">
        <v>0</v>
      </c>
      <c r="G299" s="131">
        <v>1024</v>
      </c>
      <c r="H299" s="131"/>
      <c r="I299" s="131"/>
    </row>
    <row r="300" spans="1:9" x14ac:dyDescent="0.2">
      <c r="A300" s="129">
        <v>12</v>
      </c>
      <c r="B300" s="130" t="s">
        <v>87</v>
      </c>
      <c r="C300" s="130" t="s">
        <v>1023</v>
      </c>
      <c r="D300" s="130"/>
      <c r="E300" s="131" t="s">
        <v>1031</v>
      </c>
      <c r="F300" s="131">
        <v>0</v>
      </c>
      <c r="G300" s="131">
        <v>1024</v>
      </c>
      <c r="H300" s="131"/>
      <c r="I300" s="131"/>
    </row>
    <row r="301" spans="1:9" x14ac:dyDescent="0.2">
      <c r="A301" s="129">
        <v>13</v>
      </c>
      <c r="B301" s="130" t="s">
        <v>87</v>
      </c>
      <c r="C301" s="130" t="s">
        <v>1024</v>
      </c>
      <c r="D301" s="130"/>
      <c r="E301" s="131" t="s">
        <v>1032</v>
      </c>
      <c r="F301" s="131">
        <v>0</v>
      </c>
      <c r="G301" s="131">
        <v>1024</v>
      </c>
      <c r="H301" s="131"/>
      <c r="I301" s="131"/>
    </row>
    <row r="302" spans="1:9" x14ac:dyDescent="0.2">
      <c r="A302" s="129">
        <v>14</v>
      </c>
      <c r="B302" s="130" t="s">
        <v>87</v>
      </c>
      <c r="C302" s="130" t="s">
        <v>1025</v>
      </c>
      <c r="D302" s="130"/>
      <c r="E302" s="131" t="s">
        <v>1033</v>
      </c>
      <c r="F302" s="131">
        <v>0</v>
      </c>
      <c r="G302" s="131">
        <v>1024</v>
      </c>
      <c r="H302" s="131"/>
      <c r="I302" s="131"/>
    </row>
    <row r="303" spans="1:9" x14ac:dyDescent="0.2">
      <c r="A303" s="129">
        <v>15</v>
      </c>
      <c r="B303" s="130" t="s">
        <v>87</v>
      </c>
      <c r="C303" s="130" t="s">
        <v>1026</v>
      </c>
      <c r="D303" s="130"/>
      <c r="E303" s="131" t="s">
        <v>1034</v>
      </c>
      <c r="F303" s="131">
        <v>0</v>
      </c>
      <c r="G303" s="131">
        <v>1024</v>
      </c>
      <c r="H303" s="131"/>
      <c r="I303" s="131"/>
    </row>
    <row r="304" spans="1:9" x14ac:dyDescent="0.2">
      <c r="A304" s="129">
        <v>16</v>
      </c>
      <c r="B304" s="130" t="s">
        <v>87</v>
      </c>
      <c r="C304" s="130" t="s">
        <v>1027</v>
      </c>
      <c r="D304" s="130"/>
      <c r="E304" s="131" t="s">
        <v>1035</v>
      </c>
      <c r="F304" s="131">
        <v>0</v>
      </c>
      <c r="G304" s="131">
        <v>1024</v>
      </c>
      <c r="H304" s="131"/>
      <c r="I304" s="131"/>
    </row>
    <row r="305" spans="1:9" x14ac:dyDescent="0.2">
      <c r="A305" s="129">
        <v>17</v>
      </c>
      <c r="B305" s="130" t="s">
        <v>87</v>
      </c>
      <c r="C305" s="130" t="s">
        <v>1028</v>
      </c>
      <c r="D305" s="130"/>
      <c r="E305" s="131" t="s">
        <v>1036</v>
      </c>
      <c r="F305" s="131">
        <v>0</v>
      </c>
      <c r="G305" s="131">
        <v>1024</v>
      </c>
      <c r="H305" s="131"/>
      <c r="I305" s="131"/>
    </row>
    <row r="306" spans="1:9" ht="17" thickBot="1" x14ac:dyDescent="0.25">
      <c r="I306"/>
    </row>
    <row r="307" spans="1:9" x14ac:dyDescent="0.2">
      <c r="A307" s="119" t="s">
        <v>816</v>
      </c>
      <c r="B307" s="120" t="s">
        <v>1217</v>
      </c>
      <c r="C307" s="121"/>
      <c r="D307" s="121"/>
      <c r="E307" s="121"/>
      <c r="F307" s="121"/>
      <c r="G307" s="121"/>
      <c r="H307" s="121"/>
      <c r="I307" s="121"/>
    </row>
    <row r="308" spans="1:9" x14ac:dyDescent="0.2">
      <c r="A308" s="122" t="s">
        <v>817</v>
      </c>
      <c r="B308" s="123" t="s">
        <v>1218</v>
      </c>
      <c r="C308" s="124"/>
      <c r="D308" s="124"/>
      <c r="E308" s="124"/>
      <c r="F308" s="124"/>
      <c r="G308" s="124"/>
      <c r="H308" s="124"/>
      <c r="I308" s="124"/>
    </row>
    <row r="309" spans="1:9" x14ac:dyDescent="0.2">
      <c r="A309" s="122" t="s">
        <v>772</v>
      </c>
      <c r="B309" s="123" t="s">
        <v>1219</v>
      </c>
      <c r="C309" s="124"/>
      <c r="D309" s="124"/>
      <c r="E309" s="124"/>
      <c r="F309" s="124"/>
      <c r="G309" s="124"/>
      <c r="H309" s="124"/>
      <c r="I309" s="124"/>
    </row>
    <row r="310" spans="1:9" x14ac:dyDescent="0.2">
      <c r="A310" s="122" t="s">
        <v>818</v>
      </c>
      <c r="B310" s="123" t="s">
        <v>1220</v>
      </c>
      <c r="C310" s="124"/>
      <c r="D310" s="124"/>
      <c r="E310" s="124"/>
      <c r="F310" s="124"/>
      <c r="G310" s="124"/>
      <c r="H310" s="124"/>
      <c r="I310" s="124"/>
    </row>
    <row r="311" spans="1:9" x14ac:dyDescent="0.2">
      <c r="A311" s="122" t="s">
        <v>970</v>
      </c>
      <c r="B311" s="123" t="s">
        <v>912</v>
      </c>
      <c r="C311" s="124"/>
      <c r="D311" s="124"/>
      <c r="E311" s="124"/>
      <c r="F311" s="124"/>
      <c r="G311" s="124"/>
      <c r="H311" s="124"/>
      <c r="I311" s="124"/>
    </row>
    <row r="312" spans="1:9" x14ac:dyDescent="0.2">
      <c r="A312" s="122" t="s">
        <v>940</v>
      </c>
      <c r="B312" s="123" t="s">
        <v>941</v>
      </c>
      <c r="C312" s="124"/>
      <c r="D312" s="124"/>
      <c r="E312" s="124"/>
      <c r="F312" s="124"/>
      <c r="G312" s="124"/>
      <c r="H312" s="124"/>
      <c r="I312" s="124"/>
    </row>
    <row r="313" spans="1:9" x14ac:dyDescent="0.2">
      <c r="A313" s="122" t="s">
        <v>820</v>
      </c>
      <c r="B313" s="123" t="s">
        <v>1221</v>
      </c>
      <c r="C313" s="124"/>
      <c r="D313" s="124"/>
      <c r="E313" s="124"/>
      <c r="F313" s="124"/>
      <c r="G313" s="124"/>
      <c r="H313" s="124"/>
      <c r="I313" s="124"/>
    </row>
    <row r="314" spans="1:9" x14ac:dyDescent="0.2">
      <c r="A314" s="122" t="s">
        <v>821</v>
      </c>
      <c r="B314" s="123"/>
      <c r="C314" s="124"/>
      <c r="D314" s="124"/>
      <c r="E314" s="124"/>
      <c r="F314" s="124"/>
      <c r="G314" s="124"/>
      <c r="H314" s="124"/>
      <c r="I314" s="124"/>
    </row>
    <row r="315" spans="1:9" ht="17" thickBot="1" x14ac:dyDescent="0.25">
      <c r="A315" s="122" t="s">
        <v>793</v>
      </c>
      <c r="B315" s="125">
        <v>16</v>
      </c>
      <c r="C315" s="126"/>
      <c r="D315" s="126"/>
      <c r="E315" s="126"/>
      <c r="F315" s="126"/>
      <c r="G315" s="126"/>
      <c r="H315" s="126"/>
      <c r="I315" s="126"/>
    </row>
    <row r="316" spans="1:9" x14ac:dyDescent="0.2">
      <c r="A316" s="127" t="s">
        <v>784</v>
      </c>
      <c r="B316" s="128" t="s">
        <v>785</v>
      </c>
      <c r="C316" s="128" t="s">
        <v>787</v>
      </c>
      <c r="D316" s="128"/>
      <c r="E316" s="130" t="s">
        <v>788</v>
      </c>
      <c r="F316" s="128" t="s">
        <v>807</v>
      </c>
      <c r="G316" s="128" t="s">
        <v>808</v>
      </c>
      <c r="H316" s="128" t="s">
        <v>811</v>
      </c>
      <c r="I316" s="128" t="s">
        <v>812</v>
      </c>
    </row>
    <row r="317" spans="1:9" x14ac:dyDescent="0.2">
      <c r="A317" s="129">
        <v>0</v>
      </c>
      <c r="B317" s="130" t="s">
        <v>87</v>
      </c>
      <c r="C317" s="130" t="s">
        <v>1200</v>
      </c>
      <c r="D317" s="130"/>
      <c r="E317" s="131" t="s">
        <v>1222</v>
      </c>
      <c r="F317" s="131">
        <v>0</v>
      </c>
      <c r="G317" s="131">
        <v>25</v>
      </c>
      <c r="H317" s="131">
        <v>15</v>
      </c>
      <c r="I317" s="131"/>
    </row>
    <row r="318" spans="1:9" x14ac:dyDescent="0.2">
      <c r="A318" s="129">
        <v>1</v>
      </c>
      <c r="B318" s="130" t="s">
        <v>87</v>
      </c>
      <c r="C318" s="130" t="s">
        <v>1201</v>
      </c>
      <c r="D318" s="130"/>
      <c r="E318" s="131" t="s">
        <v>1223</v>
      </c>
      <c r="F318" s="131">
        <v>0</v>
      </c>
      <c r="G318" s="131">
        <v>5000</v>
      </c>
      <c r="H318" s="131">
        <v>100</v>
      </c>
      <c r="I318" s="131"/>
    </row>
    <row r="319" spans="1:9" x14ac:dyDescent="0.2">
      <c r="A319" s="129">
        <v>2</v>
      </c>
      <c r="B319" s="130" t="s">
        <v>87</v>
      </c>
      <c r="C319" s="130" t="s">
        <v>1047</v>
      </c>
      <c r="D319" s="130"/>
      <c r="E319" s="131" t="s">
        <v>1210</v>
      </c>
      <c r="F319" s="131">
        <v>0</v>
      </c>
      <c r="G319" s="131">
        <v>100</v>
      </c>
      <c r="H319" s="131">
        <v>65</v>
      </c>
      <c r="I319" s="131"/>
    </row>
    <row r="320" spans="1:9" x14ac:dyDescent="0.2">
      <c r="A320" s="129">
        <v>3</v>
      </c>
      <c r="B320" s="130" t="s">
        <v>87</v>
      </c>
      <c r="C320" s="130" t="s">
        <v>1049</v>
      </c>
      <c r="D320" s="130"/>
      <c r="E320" s="131" t="s">
        <v>1211</v>
      </c>
      <c r="F320" s="131">
        <v>0</v>
      </c>
      <c r="G320" s="131">
        <v>125</v>
      </c>
      <c r="H320" s="131">
        <v>80</v>
      </c>
      <c r="I320" s="131"/>
    </row>
    <row r="321" spans="1:25" x14ac:dyDescent="0.2">
      <c r="A321" s="199">
        <v>4</v>
      </c>
      <c r="B321" s="200" t="s">
        <v>87</v>
      </c>
      <c r="C321" s="200" t="s">
        <v>1240</v>
      </c>
      <c r="D321" s="200"/>
      <c r="E321" s="201" t="s">
        <v>1242</v>
      </c>
      <c r="F321" s="201">
        <v>0</v>
      </c>
      <c r="G321" s="201">
        <v>14400</v>
      </c>
      <c r="H321" s="201">
        <v>60</v>
      </c>
      <c r="I321" s="201" t="s">
        <v>1243</v>
      </c>
    </row>
    <row r="322" spans="1:25" x14ac:dyDescent="0.2">
      <c r="A322" s="129">
        <v>5</v>
      </c>
      <c r="B322" s="130" t="s">
        <v>87</v>
      </c>
      <c r="C322" s="130" t="s">
        <v>1202</v>
      </c>
      <c r="D322" s="130"/>
      <c r="E322" s="131" t="s">
        <v>1212</v>
      </c>
      <c r="F322" s="131"/>
      <c r="G322" s="131"/>
      <c r="H322" s="131"/>
      <c r="I322" s="131"/>
    </row>
    <row r="323" spans="1:25" x14ac:dyDescent="0.2">
      <c r="A323" s="129">
        <v>6</v>
      </c>
      <c r="B323" s="130" t="s">
        <v>87</v>
      </c>
      <c r="C323" s="130" t="s">
        <v>1203</v>
      </c>
      <c r="D323" s="130"/>
      <c r="E323" s="131" t="s">
        <v>1228</v>
      </c>
      <c r="F323" s="131"/>
      <c r="G323" s="131"/>
      <c r="H323" s="131"/>
      <c r="I323" s="131"/>
    </row>
    <row r="324" spans="1:25" x14ac:dyDescent="0.2">
      <c r="A324" s="129">
        <v>7</v>
      </c>
      <c r="B324" s="130" t="s">
        <v>87</v>
      </c>
      <c r="C324" s="130" t="s">
        <v>1204</v>
      </c>
      <c r="D324" s="130"/>
      <c r="E324" s="131" t="s">
        <v>1095</v>
      </c>
      <c r="F324" s="131"/>
      <c r="G324" s="131"/>
      <c r="H324" s="131"/>
      <c r="I324" s="131"/>
    </row>
    <row r="325" spans="1:25" x14ac:dyDescent="0.2">
      <c r="A325" s="199">
        <v>8</v>
      </c>
      <c r="B325" s="130" t="s">
        <v>87</v>
      </c>
      <c r="C325" s="130" t="s">
        <v>1205</v>
      </c>
      <c r="D325" s="130"/>
      <c r="E325" s="131" t="s">
        <v>758</v>
      </c>
      <c r="F325" s="131"/>
      <c r="G325" s="131"/>
      <c r="H325" s="131"/>
      <c r="I325" s="131"/>
    </row>
    <row r="326" spans="1:25" x14ac:dyDescent="0.2">
      <c r="A326" s="129">
        <v>9</v>
      </c>
      <c r="B326" s="130" t="s">
        <v>87</v>
      </c>
      <c r="C326" s="130" t="s">
        <v>209</v>
      </c>
      <c r="D326" s="130"/>
      <c r="E326" s="131" t="s">
        <v>972</v>
      </c>
      <c r="F326" s="131">
        <v>0</v>
      </c>
      <c r="G326" s="131">
        <v>28800</v>
      </c>
      <c r="H326" s="131"/>
      <c r="I326" s="131"/>
    </row>
    <row r="327" spans="1:25" x14ac:dyDescent="0.2">
      <c r="A327" s="129">
        <v>10</v>
      </c>
      <c r="B327" s="130" t="s">
        <v>87</v>
      </c>
      <c r="C327" s="130" t="s">
        <v>210</v>
      </c>
      <c r="D327" s="130"/>
      <c r="E327" s="131" t="s">
        <v>973</v>
      </c>
      <c r="F327" s="131"/>
      <c r="G327" s="131"/>
      <c r="H327" s="131"/>
      <c r="I327" s="131"/>
    </row>
    <row r="328" spans="1:25" x14ac:dyDescent="0.2">
      <c r="A328" s="129">
        <v>11</v>
      </c>
      <c r="B328" s="130" t="s">
        <v>87</v>
      </c>
      <c r="C328" s="130" t="s">
        <v>211</v>
      </c>
      <c r="D328" s="130"/>
      <c r="E328" s="131" t="s">
        <v>974</v>
      </c>
      <c r="F328" s="131"/>
      <c r="G328" s="131"/>
      <c r="H328" s="131"/>
      <c r="I328" s="131"/>
    </row>
    <row r="329" spans="1:25" x14ac:dyDescent="0.2">
      <c r="A329" s="199">
        <v>12</v>
      </c>
      <c r="B329" s="130" t="s">
        <v>87</v>
      </c>
      <c r="C329" s="130" t="s">
        <v>212</v>
      </c>
      <c r="D329" s="130"/>
      <c r="E329" s="131" t="s">
        <v>975</v>
      </c>
      <c r="F329" s="131"/>
      <c r="G329" s="131"/>
      <c r="H329" s="131"/>
      <c r="I329" s="131"/>
    </row>
    <row r="330" spans="1:25" x14ac:dyDescent="0.2">
      <c r="A330" s="129">
        <v>13</v>
      </c>
      <c r="B330" s="130" t="s">
        <v>87</v>
      </c>
      <c r="C330" s="130" t="s">
        <v>213</v>
      </c>
      <c r="D330" s="130"/>
      <c r="E330" s="131" t="s">
        <v>1215</v>
      </c>
      <c r="F330" s="131"/>
      <c r="G330" s="131"/>
      <c r="H330" s="131"/>
      <c r="I330" s="131"/>
    </row>
    <row r="331" spans="1:25" x14ac:dyDescent="0.2">
      <c r="A331" s="129">
        <v>14</v>
      </c>
      <c r="B331" s="130" t="s">
        <v>87</v>
      </c>
      <c r="C331" s="130" t="s">
        <v>1206</v>
      </c>
      <c r="D331" s="130"/>
      <c r="E331" s="131" t="s">
        <v>29</v>
      </c>
      <c r="F331" s="131"/>
      <c r="G331" s="131"/>
      <c r="H331" s="131"/>
      <c r="I331" s="131"/>
    </row>
    <row r="332" spans="1:25" x14ac:dyDescent="0.2">
      <c r="A332" s="129">
        <v>15</v>
      </c>
      <c r="B332" s="130" t="s">
        <v>87</v>
      </c>
      <c r="C332" s="130" t="s">
        <v>1207</v>
      </c>
      <c r="D332" s="130"/>
      <c r="E332" s="131" t="s">
        <v>18</v>
      </c>
      <c r="F332" s="131"/>
      <c r="G332" s="131"/>
      <c r="H332" s="131"/>
      <c r="I332" s="131"/>
    </row>
    <row r="333" spans="1:25" ht="17" thickBot="1" x14ac:dyDescent="0.25">
      <c r="I333"/>
    </row>
    <row r="334" spans="1:25" ht="19" x14ac:dyDescent="0.25">
      <c r="A334" s="132" t="s">
        <v>816</v>
      </c>
      <c r="B334" s="133"/>
      <c r="C334" s="134"/>
      <c r="D334" s="134"/>
      <c r="E334" s="134"/>
      <c r="F334" s="134"/>
      <c r="G334" s="134"/>
      <c r="H334" s="134"/>
      <c r="I334" s="134"/>
      <c r="T334" s="19" t="s">
        <v>301</v>
      </c>
      <c r="W334" t="s">
        <v>417</v>
      </c>
    </row>
    <row r="335" spans="1:25" x14ac:dyDescent="0.2">
      <c r="A335" s="135" t="s">
        <v>817</v>
      </c>
      <c r="B335" s="136" t="s">
        <v>912</v>
      </c>
      <c r="C335" s="137"/>
      <c r="D335" s="137"/>
      <c r="E335" s="137"/>
      <c r="F335" s="137"/>
      <c r="G335" s="137"/>
      <c r="H335" s="137"/>
      <c r="I335" s="137"/>
      <c r="T335" s="25" t="s">
        <v>388</v>
      </c>
      <c r="U335" s="25" t="s">
        <v>395</v>
      </c>
      <c r="W335" t="s">
        <v>208</v>
      </c>
      <c r="X335" t="s">
        <v>266</v>
      </c>
      <c r="Y335" t="s">
        <v>206</v>
      </c>
    </row>
    <row r="336" spans="1:25" x14ac:dyDescent="0.2">
      <c r="A336" s="135" t="s">
        <v>772</v>
      </c>
      <c r="B336" s="136" t="s">
        <v>885</v>
      </c>
      <c r="C336" s="137"/>
      <c r="D336" s="137"/>
      <c r="E336" s="137"/>
      <c r="F336" s="137"/>
      <c r="G336" s="137"/>
      <c r="H336" s="137"/>
      <c r="I336" s="137"/>
      <c r="T336" s="3" t="s">
        <v>86</v>
      </c>
      <c r="U336" s="6" t="s">
        <v>35</v>
      </c>
      <c r="W336" t="s">
        <v>208</v>
      </c>
      <c r="X336" t="s">
        <v>267</v>
      </c>
      <c r="Y336" t="s">
        <v>206</v>
      </c>
    </row>
    <row r="337" spans="1:25" x14ac:dyDescent="0.2">
      <c r="A337" s="135" t="s">
        <v>818</v>
      </c>
      <c r="B337" s="136" t="s">
        <v>912</v>
      </c>
      <c r="C337" s="137"/>
      <c r="D337" s="137"/>
      <c r="E337" s="137"/>
      <c r="F337" s="137"/>
      <c r="G337" s="137"/>
      <c r="H337" s="137"/>
      <c r="I337" s="137"/>
      <c r="T337" s="3" t="s">
        <v>88</v>
      </c>
      <c r="U337" s="6" t="s">
        <v>36</v>
      </c>
      <c r="W337" t="s">
        <v>208</v>
      </c>
      <c r="X337" t="s">
        <v>268</v>
      </c>
      <c r="Y337" t="s">
        <v>206</v>
      </c>
    </row>
    <row r="338" spans="1:25" x14ac:dyDescent="0.2">
      <c r="A338" s="135" t="s">
        <v>970</v>
      </c>
      <c r="B338" s="136" t="s">
        <v>912</v>
      </c>
      <c r="C338" s="137"/>
      <c r="D338" s="137"/>
      <c r="E338" s="137"/>
      <c r="F338" s="137"/>
      <c r="G338" s="137"/>
      <c r="H338" s="137"/>
      <c r="I338" s="137"/>
      <c r="T338" s="3" t="s">
        <v>67</v>
      </c>
      <c r="U338" s="6" t="s">
        <v>37</v>
      </c>
      <c r="W338" t="s">
        <v>208</v>
      </c>
      <c r="X338" t="s">
        <v>269</v>
      </c>
      <c r="Y338" t="s">
        <v>206</v>
      </c>
    </row>
    <row r="339" spans="1:25" x14ac:dyDescent="0.2">
      <c r="A339" s="135" t="s">
        <v>940</v>
      </c>
      <c r="B339" s="136" t="s">
        <v>941</v>
      </c>
      <c r="C339" s="137"/>
      <c r="D339" s="137"/>
      <c r="E339" s="137"/>
      <c r="F339" s="137"/>
      <c r="G339" s="137"/>
      <c r="H339" s="137"/>
      <c r="I339" s="137"/>
      <c r="T339" s="3" t="s">
        <v>68</v>
      </c>
      <c r="U339" s="6" t="s">
        <v>41</v>
      </c>
      <c r="W339" t="s">
        <v>208</v>
      </c>
      <c r="X339" t="s">
        <v>270</v>
      </c>
      <c r="Y339" t="s">
        <v>206</v>
      </c>
    </row>
    <row r="340" spans="1:25" x14ac:dyDescent="0.2">
      <c r="A340" s="135" t="s">
        <v>820</v>
      </c>
      <c r="B340" s="136" t="s">
        <v>886</v>
      </c>
      <c r="C340" s="137"/>
      <c r="D340" s="137"/>
      <c r="E340" s="137"/>
      <c r="F340" s="137"/>
      <c r="G340" s="137"/>
      <c r="H340" s="137"/>
      <c r="I340" s="137"/>
      <c r="T340" s="3" t="s">
        <v>69</v>
      </c>
      <c r="U340" s="6" t="s">
        <v>38</v>
      </c>
      <c r="W340" t="s">
        <v>208</v>
      </c>
      <c r="X340" t="s">
        <v>271</v>
      </c>
      <c r="Y340" t="s">
        <v>206</v>
      </c>
    </row>
    <row r="341" spans="1:25" x14ac:dyDescent="0.2">
      <c r="A341" s="135" t="s">
        <v>821</v>
      </c>
      <c r="B341" s="136"/>
      <c r="C341" s="137"/>
      <c r="D341" s="137"/>
      <c r="E341" s="137"/>
      <c r="F341" s="137"/>
      <c r="G341" s="137"/>
      <c r="H341" s="137"/>
      <c r="I341" s="137"/>
      <c r="T341" s="3" t="s">
        <v>70</v>
      </c>
      <c r="U341" s="6" t="s">
        <v>39</v>
      </c>
      <c r="W341" t="s">
        <v>208</v>
      </c>
      <c r="X341" t="s">
        <v>272</v>
      </c>
      <c r="Y341" t="s">
        <v>206</v>
      </c>
    </row>
    <row r="342" spans="1:25" ht="17" thickBot="1" x14ac:dyDescent="0.25">
      <c r="A342" s="135" t="s">
        <v>793</v>
      </c>
      <c r="B342" s="138">
        <v>30</v>
      </c>
      <c r="C342" s="139"/>
      <c r="D342" s="139"/>
      <c r="E342" s="139"/>
      <c r="F342" s="139"/>
      <c r="G342" s="139"/>
      <c r="H342" s="139"/>
      <c r="I342" s="139"/>
      <c r="T342" s="3" t="s">
        <v>71</v>
      </c>
      <c r="U342" s="6" t="s">
        <v>40</v>
      </c>
      <c r="W342" t="s">
        <v>208</v>
      </c>
      <c r="X342" t="s">
        <v>273</v>
      </c>
      <c r="Y342" t="s">
        <v>206</v>
      </c>
    </row>
    <row r="343" spans="1:25" x14ac:dyDescent="0.2">
      <c r="A343" s="140" t="s">
        <v>784</v>
      </c>
      <c r="B343" s="141" t="s">
        <v>785</v>
      </c>
      <c r="C343" s="141" t="s">
        <v>787</v>
      </c>
      <c r="D343" s="141"/>
      <c r="E343" s="142" t="s">
        <v>788</v>
      </c>
      <c r="F343" s="141" t="s">
        <v>807</v>
      </c>
      <c r="G343" s="141" t="s">
        <v>808</v>
      </c>
      <c r="H343" s="141" t="s">
        <v>811</v>
      </c>
      <c r="I343" s="141" t="s">
        <v>812</v>
      </c>
      <c r="T343" s="3" t="s">
        <v>72</v>
      </c>
      <c r="U343" s="6" t="s">
        <v>42</v>
      </c>
      <c r="W343" t="s">
        <v>208</v>
      </c>
      <c r="X343" t="s">
        <v>274</v>
      </c>
      <c r="Y343" t="s">
        <v>206</v>
      </c>
    </row>
    <row r="344" spans="1:25" x14ac:dyDescent="0.2">
      <c r="A344" s="142">
        <v>0</v>
      </c>
      <c r="B344" s="142" t="s">
        <v>87</v>
      </c>
      <c r="C344" s="142" t="s">
        <v>1055</v>
      </c>
      <c r="D344" s="142"/>
      <c r="E344" s="145"/>
      <c r="F344" s="145">
        <v>0</v>
      </c>
      <c r="G344" s="145">
        <v>8</v>
      </c>
      <c r="H344" s="144"/>
      <c r="I344" s="144"/>
      <c r="T344" s="3" t="s">
        <v>73</v>
      </c>
      <c r="U344" s="6" t="s">
        <v>100</v>
      </c>
      <c r="W344" t="s">
        <v>208</v>
      </c>
      <c r="X344" t="s">
        <v>275</v>
      </c>
      <c r="Y344" t="s">
        <v>206</v>
      </c>
    </row>
    <row r="345" spans="1:25" x14ac:dyDescent="0.2">
      <c r="A345" s="142">
        <v>1</v>
      </c>
      <c r="B345" s="142" t="s">
        <v>87</v>
      </c>
      <c r="C345" s="142" t="s">
        <v>1056</v>
      </c>
      <c r="D345" s="142"/>
      <c r="E345" s="145"/>
      <c r="F345" s="145">
        <v>0</v>
      </c>
      <c r="G345" s="145">
        <v>2500</v>
      </c>
      <c r="H345" s="144"/>
      <c r="I345" s="144"/>
      <c r="T345" s="3" t="s">
        <v>74</v>
      </c>
      <c r="U345" s="6" t="s">
        <v>101</v>
      </c>
      <c r="W345" t="s">
        <v>208</v>
      </c>
      <c r="X345" t="s">
        <v>276</v>
      </c>
      <c r="Y345" t="s">
        <v>206</v>
      </c>
    </row>
    <row r="346" spans="1:25" x14ac:dyDescent="0.2">
      <c r="A346" s="142">
        <v>2</v>
      </c>
      <c r="B346" s="142" t="s">
        <v>87</v>
      </c>
      <c r="C346" s="142" t="s">
        <v>1057</v>
      </c>
      <c r="D346" s="142"/>
      <c r="E346" s="145"/>
      <c r="F346" s="145">
        <v>0</v>
      </c>
      <c r="G346" s="145">
        <v>100</v>
      </c>
      <c r="H346" s="144"/>
      <c r="I346" s="144"/>
      <c r="T346" s="3" t="s">
        <v>75</v>
      </c>
      <c r="U346" s="6" t="s">
        <v>102</v>
      </c>
      <c r="W346" t="s">
        <v>208</v>
      </c>
      <c r="X346" t="s">
        <v>277</v>
      </c>
      <c r="Y346" t="s">
        <v>206</v>
      </c>
    </row>
    <row r="347" spans="1:25" x14ac:dyDescent="0.2">
      <c r="A347" s="142">
        <v>3</v>
      </c>
      <c r="B347" s="142" t="s">
        <v>87</v>
      </c>
      <c r="C347" s="142" t="s">
        <v>1058</v>
      </c>
      <c r="D347" s="142"/>
      <c r="E347" s="145"/>
      <c r="F347" s="145">
        <v>0</v>
      </c>
      <c r="G347" s="145">
        <v>100</v>
      </c>
      <c r="H347" s="144"/>
      <c r="I347" s="144"/>
      <c r="T347" s="3" t="s">
        <v>76</v>
      </c>
      <c r="U347" s="6" t="s">
        <v>103</v>
      </c>
      <c r="W347" t="s">
        <v>208</v>
      </c>
      <c r="X347" t="s">
        <v>278</v>
      </c>
      <c r="Y347" t="s">
        <v>206</v>
      </c>
    </row>
    <row r="348" spans="1:25" x14ac:dyDescent="0.2">
      <c r="A348" s="142">
        <v>4</v>
      </c>
      <c r="B348" s="142" t="s">
        <v>87</v>
      </c>
      <c r="C348" s="142" t="s">
        <v>1061</v>
      </c>
      <c r="D348" s="142"/>
      <c r="E348" s="145"/>
      <c r="F348" s="145">
        <v>0</v>
      </c>
      <c r="G348" s="145">
        <v>100</v>
      </c>
      <c r="H348" s="144"/>
      <c r="I348" s="144"/>
      <c r="T348" s="3" t="s">
        <v>77</v>
      </c>
      <c r="U348" s="6" t="s">
        <v>104</v>
      </c>
      <c r="W348" t="s">
        <v>208</v>
      </c>
      <c r="X348" t="s">
        <v>279</v>
      </c>
      <c r="Y348" t="s">
        <v>206</v>
      </c>
    </row>
    <row r="349" spans="1:25" x14ac:dyDescent="0.2">
      <c r="A349" s="142">
        <v>5</v>
      </c>
      <c r="B349" s="142" t="s">
        <v>87</v>
      </c>
      <c r="C349" s="142" t="s">
        <v>1059</v>
      </c>
      <c r="D349" s="142"/>
      <c r="E349" s="145"/>
      <c r="F349" s="145">
        <v>0</v>
      </c>
      <c r="G349" s="145">
        <v>100</v>
      </c>
      <c r="H349" s="144"/>
      <c r="I349" s="144"/>
      <c r="T349" s="3" t="s">
        <v>78</v>
      </c>
      <c r="U349" s="6" t="s">
        <v>107</v>
      </c>
      <c r="W349" t="s">
        <v>208</v>
      </c>
      <c r="X349" t="s">
        <v>280</v>
      </c>
      <c r="Y349" t="s">
        <v>206</v>
      </c>
    </row>
    <row r="350" spans="1:25" x14ac:dyDescent="0.2">
      <c r="A350" s="142">
        <v>6</v>
      </c>
      <c r="B350" s="142" t="s">
        <v>87</v>
      </c>
      <c r="C350" s="142" t="s">
        <v>1060</v>
      </c>
      <c r="D350" s="142"/>
      <c r="E350" s="145"/>
      <c r="F350" s="145">
        <v>0</v>
      </c>
      <c r="G350" s="145">
        <v>80</v>
      </c>
      <c r="H350" s="144"/>
      <c r="I350" s="144"/>
      <c r="T350" s="3" t="s">
        <v>79</v>
      </c>
      <c r="U350" s="6" t="s">
        <v>106</v>
      </c>
      <c r="W350" t="s">
        <v>208</v>
      </c>
      <c r="X350" t="s">
        <v>281</v>
      </c>
      <c r="Y350" t="s">
        <v>206</v>
      </c>
    </row>
    <row r="351" spans="1:25" x14ac:dyDescent="0.2">
      <c r="A351" s="142">
        <v>7</v>
      </c>
      <c r="B351" s="142" t="s">
        <v>87</v>
      </c>
      <c r="C351" s="142" t="s">
        <v>1062</v>
      </c>
      <c r="D351" s="142"/>
      <c r="E351" s="145"/>
      <c r="F351" s="145">
        <v>0</v>
      </c>
      <c r="G351" s="145">
        <v>80</v>
      </c>
      <c r="H351" s="144"/>
      <c r="I351" s="144"/>
      <c r="T351" s="3" t="s">
        <v>80</v>
      </c>
      <c r="U351" s="6" t="s">
        <v>105</v>
      </c>
      <c r="W351" t="s">
        <v>208</v>
      </c>
      <c r="X351" t="s">
        <v>282</v>
      </c>
      <c r="Y351" t="s">
        <v>206</v>
      </c>
    </row>
    <row r="352" spans="1:25" x14ac:dyDescent="0.2">
      <c r="A352" s="142">
        <v>8</v>
      </c>
      <c r="B352" s="142" t="s">
        <v>87</v>
      </c>
      <c r="C352" s="142" t="s">
        <v>1063</v>
      </c>
      <c r="D352" s="142"/>
      <c r="E352" s="145"/>
      <c r="F352" s="145">
        <v>0</v>
      </c>
      <c r="G352" s="145">
        <v>80</v>
      </c>
      <c r="H352" s="144"/>
      <c r="I352" s="144"/>
      <c r="T352" s="3" t="s">
        <v>81</v>
      </c>
      <c r="U352" s="6" t="s">
        <v>124</v>
      </c>
    </row>
    <row r="353" spans="1:21" x14ac:dyDescent="0.2">
      <c r="A353" s="142">
        <v>9</v>
      </c>
      <c r="B353" s="142" t="s">
        <v>87</v>
      </c>
      <c r="C353" s="142" t="s">
        <v>1064</v>
      </c>
      <c r="D353" s="142"/>
      <c r="E353" s="145"/>
      <c r="F353" s="145">
        <v>0</v>
      </c>
      <c r="G353" s="145">
        <v>4000</v>
      </c>
      <c r="H353" s="144"/>
      <c r="I353" s="144"/>
      <c r="T353" s="3"/>
      <c r="U353" s="6"/>
    </row>
    <row r="354" spans="1:21" x14ac:dyDescent="0.2">
      <c r="A354" s="142">
        <v>10</v>
      </c>
      <c r="B354" s="142" t="s">
        <v>87</v>
      </c>
      <c r="C354" s="142" t="s">
        <v>1065</v>
      </c>
      <c r="D354" s="142"/>
      <c r="E354" s="145"/>
      <c r="F354" s="145">
        <v>0</v>
      </c>
      <c r="G354" s="145">
        <v>4000</v>
      </c>
      <c r="H354" s="144"/>
      <c r="I354" s="144"/>
      <c r="T354" s="3"/>
      <c r="U354" s="6"/>
    </row>
    <row r="355" spans="1:21" x14ac:dyDescent="0.2">
      <c r="A355" s="142">
        <v>11</v>
      </c>
      <c r="B355" s="142" t="s">
        <v>87</v>
      </c>
      <c r="C355" s="142" t="s">
        <v>1066</v>
      </c>
      <c r="D355" s="142"/>
      <c r="E355" s="145"/>
      <c r="F355" s="145">
        <v>0</v>
      </c>
      <c r="G355" s="145">
        <v>4000</v>
      </c>
      <c r="H355" s="144"/>
      <c r="I355" s="144"/>
      <c r="T355" s="3"/>
      <c r="U355" s="6"/>
    </row>
    <row r="356" spans="1:21" x14ac:dyDescent="0.2">
      <c r="A356" s="142">
        <v>12</v>
      </c>
      <c r="B356" s="142" t="s">
        <v>87</v>
      </c>
      <c r="C356" s="142" t="s">
        <v>1067</v>
      </c>
      <c r="D356" s="142"/>
      <c r="E356" s="145"/>
      <c r="F356" s="145">
        <v>-32</v>
      </c>
      <c r="G356" s="145">
        <v>120</v>
      </c>
      <c r="H356" s="144"/>
      <c r="I356" s="144"/>
      <c r="T356" s="3"/>
      <c r="U356" s="6"/>
    </row>
    <row r="357" spans="1:21" x14ac:dyDescent="0.2">
      <c r="A357" s="142">
        <v>13</v>
      </c>
      <c r="B357" s="142" t="s">
        <v>87</v>
      </c>
      <c r="C357" s="142" t="s">
        <v>1068</v>
      </c>
      <c r="D357" s="142"/>
      <c r="E357" s="145"/>
      <c r="F357" s="177">
        <v>-32</v>
      </c>
      <c r="G357" s="177">
        <v>120</v>
      </c>
      <c r="H357" s="144"/>
      <c r="I357" s="144"/>
      <c r="T357" s="3"/>
      <c r="U357" s="6"/>
    </row>
    <row r="358" spans="1:21" x14ac:dyDescent="0.2">
      <c r="A358" s="142">
        <v>14</v>
      </c>
      <c r="B358" s="142" t="s">
        <v>87</v>
      </c>
      <c r="C358" s="142" t="s">
        <v>1069</v>
      </c>
      <c r="D358" s="142"/>
      <c r="E358" s="145"/>
      <c r="F358" s="145">
        <v>-32</v>
      </c>
      <c r="G358" s="145">
        <v>120</v>
      </c>
      <c r="H358" s="144"/>
      <c r="I358" s="144"/>
      <c r="T358" s="3"/>
      <c r="U358" s="6"/>
    </row>
    <row r="359" spans="1:21" x14ac:dyDescent="0.2">
      <c r="A359" s="142">
        <v>15</v>
      </c>
      <c r="B359" s="142" t="s">
        <v>87</v>
      </c>
      <c r="C359" s="142" t="s">
        <v>1070</v>
      </c>
      <c r="D359" s="142"/>
      <c r="E359" s="145"/>
      <c r="F359" s="145">
        <v>-32</v>
      </c>
      <c r="G359" s="145">
        <v>120</v>
      </c>
      <c r="H359" s="144"/>
      <c r="I359" s="144"/>
      <c r="T359" s="3"/>
      <c r="U359" s="6"/>
    </row>
    <row r="360" spans="1:21" x14ac:dyDescent="0.2">
      <c r="A360" s="142">
        <v>16</v>
      </c>
      <c r="B360" s="142" t="s">
        <v>87</v>
      </c>
      <c r="C360" s="142" t="s">
        <v>1071</v>
      </c>
      <c r="D360" s="142"/>
      <c r="E360" s="145"/>
      <c r="F360" s="145">
        <v>0</v>
      </c>
      <c r="G360" s="145">
        <v>0</v>
      </c>
      <c r="H360" s="144"/>
      <c r="I360" s="144"/>
      <c r="T360" s="3"/>
      <c r="U360" s="6"/>
    </row>
    <row r="361" spans="1:21" x14ac:dyDescent="0.2">
      <c r="A361" s="142">
        <v>17</v>
      </c>
      <c r="B361" s="142" t="s">
        <v>87</v>
      </c>
      <c r="C361" s="142" t="s">
        <v>1072</v>
      </c>
      <c r="D361" s="142"/>
      <c r="E361" s="145"/>
      <c r="F361" s="145">
        <v>0</v>
      </c>
      <c r="G361" s="145">
        <v>0</v>
      </c>
      <c r="H361" s="144"/>
      <c r="I361" s="144"/>
      <c r="T361" s="3"/>
      <c r="U361" s="6"/>
    </row>
    <row r="362" spans="1:21" x14ac:dyDescent="0.2">
      <c r="A362" s="142">
        <v>18</v>
      </c>
      <c r="B362" s="142" t="s">
        <v>87</v>
      </c>
      <c r="C362" s="142" t="s">
        <v>1073</v>
      </c>
      <c r="D362" s="142"/>
      <c r="E362" s="145"/>
      <c r="F362" s="145">
        <v>0</v>
      </c>
      <c r="G362" s="145">
        <v>255</v>
      </c>
      <c r="H362" s="144"/>
      <c r="I362" s="144"/>
      <c r="T362" s="3"/>
      <c r="U362" s="6"/>
    </row>
    <row r="363" spans="1:21" x14ac:dyDescent="0.2">
      <c r="A363" s="142">
        <v>19</v>
      </c>
      <c r="B363" s="142" t="s">
        <v>87</v>
      </c>
      <c r="C363" s="142" t="s">
        <v>1075</v>
      </c>
      <c r="D363" s="142"/>
      <c r="E363" s="145"/>
      <c r="F363" s="145">
        <v>0</v>
      </c>
      <c r="G363" s="145">
        <v>255</v>
      </c>
      <c r="H363" s="144"/>
      <c r="I363" s="144"/>
      <c r="T363" s="3"/>
      <c r="U363" s="6"/>
    </row>
    <row r="364" spans="1:21" x14ac:dyDescent="0.2">
      <c r="A364" s="142">
        <v>20</v>
      </c>
      <c r="B364" s="142" t="s">
        <v>87</v>
      </c>
      <c r="C364" s="142" t="s">
        <v>1077</v>
      </c>
      <c r="D364" s="142"/>
      <c r="E364" s="145"/>
      <c r="F364" s="145">
        <v>0</v>
      </c>
      <c r="G364" s="145">
        <v>255</v>
      </c>
      <c r="H364" s="144"/>
      <c r="I364" s="144"/>
      <c r="T364" s="3"/>
      <c r="U364" s="6"/>
    </row>
    <row r="365" spans="1:21" x14ac:dyDescent="0.2">
      <c r="A365" s="142">
        <v>21</v>
      </c>
      <c r="B365" s="142" t="s">
        <v>87</v>
      </c>
      <c r="C365" s="142" t="s">
        <v>1079</v>
      </c>
      <c r="D365" s="142"/>
      <c r="E365" s="145"/>
      <c r="F365" s="145">
        <v>0</v>
      </c>
      <c r="G365" s="145">
        <v>255</v>
      </c>
      <c r="H365" s="144"/>
      <c r="I365" s="144"/>
      <c r="T365" s="3"/>
      <c r="U365" s="6"/>
    </row>
    <row r="366" spans="1:21" x14ac:dyDescent="0.2">
      <c r="A366" s="142">
        <v>22</v>
      </c>
      <c r="B366" s="142" t="s">
        <v>87</v>
      </c>
      <c r="C366" s="142" t="s">
        <v>1081</v>
      </c>
      <c r="D366" s="142"/>
      <c r="E366" s="145"/>
      <c r="F366" s="145">
        <v>0</v>
      </c>
      <c r="G366" s="145">
        <v>255</v>
      </c>
      <c r="H366" s="144"/>
      <c r="I366" s="144"/>
      <c r="T366" s="3"/>
      <c r="U366" s="6"/>
    </row>
    <row r="367" spans="1:21" x14ac:dyDescent="0.2">
      <c r="A367" s="142">
        <v>23</v>
      </c>
      <c r="B367" s="142" t="s">
        <v>87</v>
      </c>
      <c r="C367" s="142" t="s">
        <v>1082</v>
      </c>
      <c r="D367" s="142"/>
      <c r="E367" s="145"/>
      <c r="F367" s="145">
        <v>0</v>
      </c>
      <c r="G367" s="145">
        <v>255</v>
      </c>
      <c r="H367" s="144"/>
      <c r="I367" s="144"/>
      <c r="T367" s="3"/>
      <c r="U367" s="6"/>
    </row>
    <row r="368" spans="1:21" x14ac:dyDescent="0.2">
      <c r="A368" s="142">
        <v>24</v>
      </c>
      <c r="B368" s="142" t="s">
        <v>87</v>
      </c>
      <c r="C368" s="142" t="s">
        <v>1074</v>
      </c>
      <c r="D368" s="142"/>
      <c r="E368" s="145"/>
      <c r="F368" s="145">
        <v>0</v>
      </c>
      <c r="G368" s="145">
        <v>6</v>
      </c>
      <c r="H368" s="144"/>
      <c r="I368" s="144"/>
      <c r="T368" s="3"/>
      <c r="U368" s="6"/>
    </row>
    <row r="369" spans="1:25" x14ac:dyDescent="0.2">
      <c r="A369" s="142">
        <v>25</v>
      </c>
      <c r="B369" s="142" t="s">
        <v>87</v>
      </c>
      <c r="C369" s="142" t="s">
        <v>1076</v>
      </c>
      <c r="D369" s="142"/>
      <c r="E369" s="145"/>
      <c r="F369" s="145">
        <v>0</v>
      </c>
      <c r="G369" s="145">
        <v>6</v>
      </c>
      <c r="H369" s="144"/>
      <c r="I369" s="144"/>
      <c r="T369" s="3"/>
      <c r="U369" s="6"/>
    </row>
    <row r="370" spans="1:25" x14ac:dyDescent="0.2">
      <c r="A370" s="142">
        <v>26</v>
      </c>
      <c r="B370" s="142" t="s">
        <v>87</v>
      </c>
      <c r="C370" s="142" t="s">
        <v>1078</v>
      </c>
      <c r="D370" s="142"/>
      <c r="E370" s="145"/>
      <c r="F370" s="145">
        <v>0</v>
      </c>
      <c r="G370" s="145">
        <v>6</v>
      </c>
      <c r="H370" s="144"/>
      <c r="I370" s="144"/>
      <c r="T370" s="3"/>
      <c r="U370" s="6"/>
    </row>
    <row r="371" spans="1:25" x14ac:dyDescent="0.2">
      <c r="A371" s="142">
        <v>27</v>
      </c>
      <c r="B371" s="142" t="s">
        <v>87</v>
      </c>
      <c r="C371" s="142" t="s">
        <v>1080</v>
      </c>
      <c r="D371" s="142"/>
      <c r="E371" s="145"/>
      <c r="F371" s="145">
        <v>0</v>
      </c>
      <c r="G371" s="145">
        <v>6</v>
      </c>
      <c r="H371" s="144"/>
      <c r="I371" s="144"/>
      <c r="T371" s="3"/>
      <c r="U371" s="6"/>
    </row>
    <row r="372" spans="1:25" x14ac:dyDescent="0.2">
      <c r="A372" s="142">
        <v>28</v>
      </c>
      <c r="B372" s="142" t="s">
        <v>87</v>
      </c>
      <c r="C372" s="142" t="s">
        <v>1095</v>
      </c>
      <c r="D372" s="142"/>
      <c r="E372" s="145"/>
      <c r="F372" s="145">
        <v>0</v>
      </c>
      <c r="G372" s="145">
        <v>6</v>
      </c>
      <c r="H372" s="144"/>
      <c r="I372" s="144"/>
      <c r="T372" s="3"/>
      <c r="U372" s="6"/>
    </row>
    <row r="373" spans="1:25" x14ac:dyDescent="0.2">
      <c r="A373" s="142">
        <v>29</v>
      </c>
      <c r="B373" s="142" t="s">
        <v>87</v>
      </c>
      <c r="C373" s="142" t="s">
        <v>758</v>
      </c>
      <c r="D373" s="142"/>
      <c r="E373" s="145"/>
      <c r="F373" s="145">
        <v>0</v>
      </c>
      <c r="G373" s="145">
        <v>32</v>
      </c>
      <c r="H373" s="144"/>
      <c r="I373" s="144"/>
      <c r="T373" s="3"/>
      <c r="U373" s="6"/>
    </row>
    <row r="374" spans="1:25" ht="17" thickBot="1" x14ac:dyDescent="0.25">
      <c r="T374" s="3" t="s">
        <v>83</v>
      </c>
      <c r="U374" s="6" t="s">
        <v>99</v>
      </c>
      <c r="W374" t="s">
        <v>208</v>
      </c>
      <c r="X374" t="s">
        <v>285</v>
      </c>
      <c r="Y374" t="s">
        <v>206</v>
      </c>
    </row>
    <row r="375" spans="1:25" x14ac:dyDescent="0.2">
      <c r="A375" s="132" t="s">
        <v>816</v>
      </c>
      <c r="B375" s="133"/>
      <c r="C375" s="134"/>
      <c r="D375" s="134"/>
      <c r="E375" s="134"/>
      <c r="F375" s="134"/>
      <c r="G375" s="134"/>
      <c r="H375" s="134"/>
      <c r="I375" s="134"/>
      <c r="T375" s="3" t="s">
        <v>84</v>
      </c>
      <c r="U375" s="6" t="s">
        <v>43</v>
      </c>
      <c r="W375" t="s">
        <v>208</v>
      </c>
      <c r="X375" t="s">
        <v>44</v>
      </c>
      <c r="Y375" t="s">
        <v>206</v>
      </c>
    </row>
    <row r="376" spans="1:25" x14ac:dyDescent="0.2">
      <c r="A376" s="135" t="s">
        <v>817</v>
      </c>
      <c r="B376" s="136" t="s">
        <v>913</v>
      </c>
      <c r="C376" s="137"/>
      <c r="D376" s="137"/>
      <c r="E376" s="137"/>
      <c r="F376" s="137"/>
      <c r="G376" s="137"/>
      <c r="H376" s="137"/>
      <c r="I376" s="137"/>
      <c r="T376" s="3" t="s">
        <v>85</v>
      </c>
      <c r="U376" s="6" t="s">
        <v>44</v>
      </c>
      <c r="W376" t="s">
        <v>207</v>
      </c>
      <c r="Y376" t="s">
        <v>206</v>
      </c>
    </row>
    <row r="377" spans="1:25" x14ac:dyDescent="0.2">
      <c r="A377" s="135" t="s">
        <v>772</v>
      </c>
      <c r="B377" s="136" t="s">
        <v>887</v>
      </c>
      <c r="C377" s="137"/>
      <c r="D377" s="137"/>
      <c r="E377" s="137"/>
      <c r="F377" s="137"/>
      <c r="G377" s="137"/>
      <c r="H377" s="137"/>
      <c r="I377" s="137"/>
      <c r="T377" s="3" t="s">
        <v>1</v>
      </c>
      <c r="U377" s="6"/>
    </row>
    <row r="378" spans="1:25" x14ac:dyDescent="0.2">
      <c r="A378" s="135" t="s">
        <v>818</v>
      </c>
      <c r="B378" s="136" t="s">
        <v>913</v>
      </c>
      <c r="C378" s="137"/>
      <c r="D378" s="137"/>
      <c r="E378" s="137"/>
      <c r="F378" s="137"/>
      <c r="G378" s="137"/>
      <c r="H378" s="137"/>
      <c r="I378" s="137"/>
      <c r="T378" s="3"/>
      <c r="U378" s="6"/>
    </row>
    <row r="379" spans="1:25" x14ac:dyDescent="0.2">
      <c r="A379" s="135" t="s">
        <v>970</v>
      </c>
      <c r="B379" s="136" t="s">
        <v>913</v>
      </c>
      <c r="C379" s="137"/>
      <c r="D379" s="137"/>
      <c r="E379" s="137"/>
      <c r="F379" s="137"/>
      <c r="G379" s="137"/>
      <c r="H379" s="137"/>
      <c r="I379" s="137"/>
      <c r="T379" s="3" t="s">
        <v>0</v>
      </c>
      <c r="U379" s="6"/>
    </row>
    <row r="380" spans="1:25" x14ac:dyDescent="0.2">
      <c r="A380" s="135" t="s">
        <v>940</v>
      </c>
      <c r="B380" s="136" t="s">
        <v>941</v>
      </c>
      <c r="C380" s="137"/>
      <c r="D380" s="137"/>
      <c r="E380" s="137"/>
      <c r="F380" s="137"/>
      <c r="G380" s="137"/>
      <c r="H380" s="137"/>
      <c r="I380" s="137"/>
      <c r="T380" s="8" t="s">
        <v>98</v>
      </c>
      <c r="U380" s="3" t="s">
        <v>420</v>
      </c>
    </row>
    <row r="381" spans="1:25" ht="17" thickBot="1" x14ac:dyDescent="0.25">
      <c r="A381" s="135" t="s">
        <v>820</v>
      </c>
      <c r="B381" s="136" t="s">
        <v>888</v>
      </c>
      <c r="C381" s="137"/>
      <c r="D381" s="137"/>
      <c r="E381" s="137"/>
      <c r="F381" s="137"/>
      <c r="G381" s="137"/>
      <c r="H381" s="137"/>
      <c r="I381" s="137"/>
      <c r="T381" s="4" t="s">
        <v>1</v>
      </c>
      <c r="U381" s="7"/>
    </row>
    <row r="382" spans="1:25" x14ac:dyDescent="0.2">
      <c r="A382" s="135" t="s">
        <v>821</v>
      </c>
      <c r="B382" s="136"/>
      <c r="C382" s="137"/>
      <c r="D382" s="137"/>
      <c r="E382" s="137"/>
      <c r="F382" s="137"/>
      <c r="G382" s="137"/>
      <c r="H382" s="137"/>
      <c r="I382" s="137"/>
    </row>
    <row r="383" spans="1:25" ht="17" thickBot="1" x14ac:dyDescent="0.25">
      <c r="A383" s="135" t="s">
        <v>793</v>
      </c>
      <c r="B383" s="138">
        <v>40</v>
      </c>
      <c r="C383" s="139"/>
      <c r="D383" s="139"/>
      <c r="E383" s="139"/>
      <c r="F383" s="139"/>
      <c r="G383" s="139"/>
      <c r="H383" s="139"/>
      <c r="I383" s="139"/>
    </row>
    <row r="384" spans="1:25" x14ac:dyDescent="0.2">
      <c r="A384" s="140" t="s">
        <v>784</v>
      </c>
      <c r="B384" s="141" t="s">
        <v>785</v>
      </c>
      <c r="C384" s="141" t="s">
        <v>787</v>
      </c>
      <c r="D384" s="141"/>
      <c r="E384" s="142" t="s">
        <v>788</v>
      </c>
      <c r="F384" s="141" t="s">
        <v>807</v>
      </c>
      <c r="G384" s="141" t="s">
        <v>808</v>
      </c>
      <c r="H384" s="141" t="s">
        <v>811</v>
      </c>
      <c r="I384" s="141" t="s">
        <v>812</v>
      </c>
    </row>
    <row r="385" spans="1:25" x14ac:dyDescent="0.2">
      <c r="A385" s="143">
        <v>0</v>
      </c>
      <c r="B385" s="142" t="s">
        <v>208</v>
      </c>
      <c r="C385" s="142" t="s">
        <v>1111</v>
      </c>
      <c r="D385" s="142"/>
      <c r="E385" s="145" t="s">
        <v>889</v>
      </c>
      <c r="F385" s="144">
        <v>0</v>
      </c>
      <c r="G385" s="144">
        <v>100</v>
      </c>
      <c r="H385" s="144"/>
      <c r="I385" s="144"/>
      <c r="X385" t="s">
        <v>426</v>
      </c>
    </row>
    <row r="386" spans="1:25" ht="19" x14ac:dyDescent="0.25">
      <c r="A386" s="143">
        <v>1</v>
      </c>
      <c r="B386" s="142" t="s">
        <v>208</v>
      </c>
      <c r="C386" s="142" t="s">
        <v>1112</v>
      </c>
      <c r="D386" s="142"/>
      <c r="E386" s="145" t="s">
        <v>890</v>
      </c>
      <c r="F386" s="144">
        <v>0</v>
      </c>
      <c r="G386" s="144">
        <v>100</v>
      </c>
      <c r="H386" s="144"/>
      <c r="I386" s="144"/>
      <c r="T386" s="19" t="s">
        <v>358</v>
      </c>
      <c r="W386" t="s">
        <v>418</v>
      </c>
    </row>
    <row r="387" spans="1:25" x14ac:dyDescent="0.2">
      <c r="A387" s="143">
        <v>2</v>
      </c>
      <c r="B387" s="142" t="s">
        <v>208</v>
      </c>
      <c r="C387" s="142" t="s">
        <v>1113</v>
      </c>
      <c r="D387" s="142"/>
      <c r="E387" s="145" t="s">
        <v>891</v>
      </c>
      <c r="F387" s="144">
        <v>0</v>
      </c>
      <c r="G387" s="144">
        <v>100</v>
      </c>
      <c r="H387" s="144"/>
      <c r="I387" s="144"/>
      <c r="T387" s="25" t="s">
        <v>387</v>
      </c>
      <c r="U387" s="25" t="s">
        <v>396</v>
      </c>
      <c r="W387" t="s">
        <v>208</v>
      </c>
      <c r="X387" t="s">
        <v>229</v>
      </c>
      <c r="Y387" t="s">
        <v>206</v>
      </c>
    </row>
    <row r="388" spans="1:25" x14ac:dyDescent="0.2">
      <c r="A388" s="143">
        <v>3</v>
      </c>
      <c r="B388" s="142" t="s">
        <v>208</v>
      </c>
      <c r="C388" s="142" t="s">
        <v>1114</v>
      </c>
      <c r="D388" s="142"/>
      <c r="E388" s="145" t="s">
        <v>892</v>
      </c>
      <c r="F388" s="144">
        <v>0</v>
      </c>
      <c r="G388" s="144">
        <v>100</v>
      </c>
      <c r="H388" s="144"/>
      <c r="I388" s="144"/>
      <c r="T388" s="3" t="s">
        <v>86</v>
      </c>
      <c r="U388" s="6" t="s">
        <v>203</v>
      </c>
      <c r="W388" t="s">
        <v>208</v>
      </c>
      <c r="X388" t="s">
        <v>209</v>
      </c>
      <c r="Y388" t="s">
        <v>206</v>
      </c>
    </row>
    <row r="389" spans="1:25" x14ac:dyDescent="0.2">
      <c r="A389" s="143">
        <v>4</v>
      </c>
      <c r="B389" s="142" t="s">
        <v>208</v>
      </c>
      <c r="C389" s="142" t="s">
        <v>1115</v>
      </c>
      <c r="D389" s="142"/>
      <c r="E389" s="145" t="s">
        <v>893</v>
      </c>
      <c r="F389" s="144">
        <v>0</v>
      </c>
      <c r="G389" s="144">
        <v>100</v>
      </c>
      <c r="H389" s="144"/>
      <c r="I389" s="144"/>
      <c r="T389" s="3" t="s">
        <v>88</v>
      </c>
      <c r="U389" s="6" t="s">
        <v>44</v>
      </c>
      <c r="W389" t="s">
        <v>208</v>
      </c>
      <c r="X389" t="s">
        <v>210</v>
      </c>
      <c r="Y389" t="s">
        <v>206</v>
      </c>
    </row>
    <row r="390" spans="1:25" x14ac:dyDescent="0.2">
      <c r="A390" s="143">
        <v>5</v>
      </c>
      <c r="B390" s="142" t="s">
        <v>208</v>
      </c>
      <c r="C390" s="142" t="s">
        <v>1116</v>
      </c>
      <c r="D390" s="142"/>
      <c r="E390" s="145" t="s">
        <v>894</v>
      </c>
      <c r="F390" s="144">
        <v>0</v>
      </c>
      <c r="G390" s="144">
        <v>100</v>
      </c>
      <c r="H390" s="144"/>
      <c r="I390" s="144"/>
      <c r="T390" s="3" t="s">
        <v>67</v>
      </c>
      <c r="U390" s="6" t="s">
        <v>44</v>
      </c>
      <c r="W390" t="s">
        <v>208</v>
      </c>
      <c r="X390" t="s">
        <v>211</v>
      </c>
      <c r="Y390" t="s">
        <v>206</v>
      </c>
    </row>
    <row r="391" spans="1:25" x14ac:dyDescent="0.2">
      <c r="A391" s="143">
        <v>6</v>
      </c>
      <c r="B391" s="142" t="s">
        <v>208</v>
      </c>
      <c r="C391" s="142" t="s">
        <v>1117</v>
      </c>
      <c r="D391" s="142"/>
      <c r="E391" s="145" t="s">
        <v>895</v>
      </c>
      <c r="F391" s="144">
        <v>0</v>
      </c>
      <c r="G391" s="144">
        <v>100</v>
      </c>
      <c r="H391" s="144"/>
      <c r="I391" s="144"/>
      <c r="T391" s="3" t="s">
        <v>68</v>
      </c>
      <c r="U391" s="6" t="s">
        <v>44</v>
      </c>
      <c r="W391" t="s">
        <v>208</v>
      </c>
      <c r="X391" t="s">
        <v>212</v>
      </c>
      <c r="Y391" t="s">
        <v>206</v>
      </c>
    </row>
    <row r="392" spans="1:25" x14ac:dyDescent="0.2">
      <c r="A392" s="143">
        <v>7</v>
      </c>
      <c r="B392" s="142" t="s">
        <v>208</v>
      </c>
      <c r="C392" s="142" t="s">
        <v>1118</v>
      </c>
      <c r="D392" s="142"/>
      <c r="E392" s="145" t="s">
        <v>896</v>
      </c>
      <c r="F392" s="144">
        <v>0</v>
      </c>
      <c r="G392" s="144">
        <v>100</v>
      </c>
      <c r="H392" s="144"/>
      <c r="I392" s="144"/>
      <c r="T392" s="3" t="s">
        <v>69</v>
      </c>
      <c r="U392" s="6" t="s">
        <v>44</v>
      </c>
      <c r="W392" t="s">
        <v>208</v>
      </c>
      <c r="X392" t="s">
        <v>213</v>
      </c>
      <c r="Y392" t="s">
        <v>206</v>
      </c>
    </row>
    <row r="393" spans="1:25" x14ac:dyDescent="0.2">
      <c r="A393" s="143">
        <v>8</v>
      </c>
      <c r="B393" s="142" t="s">
        <v>208</v>
      </c>
      <c r="C393" s="142" t="s">
        <v>1119</v>
      </c>
      <c r="D393" s="142"/>
      <c r="E393" s="145" t="s">
        <v>897</v>
      </c>
      <c r="F393" s="144">
        <v>0</v>
      </c>
      <c r="G393" s="144">
        <v>100</v>
      </c>
      <c r="H393" s="144"/>
      <c r="I393" s="144"/>
      <c r="T393" s="3" t="s">
        <v>70</v>
      </c>
      <c r="U393" s="6" t="s">
        <v>44</v>
      </c>
      <c r="W393" t="s">
        <v>208</v>
      </c>
      <c r="X393" t="s">
        <v>214</v>
      </c>
      <c r="Y393" t="s">
        <v>206</v>
      </c>
    </row>
    <row r="394" spans="1:25" x14ac:dyDescent="0.2">
      <c r="A394" s="143">
        <v>9</v>
      </c>
      <c r="B394" s="142" t="s">
        <v>208</v>
      </c>
      <c r="C394" s="142" t="s">
        <v>1120</v>
      </c>
      <c r="D394" s="142"/>
      <c r="E394" s="145" t="s">
        <v>898</v>
      </c>
      <c r="F394" s="144">
        <v>0</v>
      </c>
      <c r="G394" s="144">
        <v>100</v>
      </c>
      <c r="H394" s="144"/>
      <c r="I394" s="144"/>
      <c r="T394" s="3" t="s">
        <v>71</v>
      </c>
      <c r="U394" s="6" t="s">
        <v>44</v>
      </c>
      <c r="W394" t="s">
        <v>208</v>
      </c>
      <c r="X394" t="s">
        <v>215</v>
      </c>
      <c r="Y394" t="s">
        <v>206</v>
      </c>
    </row>
    <row r="395" spans="1:25" x14ac:dyDescent="0.2">
      <c r="A395" s="143">
        <v>10</v>
      </c>
      <c r="B395" s="142" t="s">
        <v>208</v>
      </c>
      <c r="C395" s="142" t="s">
        <v>1121</v>
      </c>
      <c r="D395" s="142"/>
      <c r="E395" s="145" t="s">
        <v>899</v>
      </c>
      <c r="F395" s="144">
        <v>0</v>
      </c>
      <c r="G395" s="144">
        <v>100</v>
      </c>
      <c r="H395" s="144"/>
      <c r="I395" s="144"/>
      <c r="T395" s="3" t="s">
        <v>72</v>
      </c>
      <c r="U395" s="6" t="s">
        <v>44</v>
      </c>
      <c r="W395" t="s">
        <v>208</v>
      </c>
      <c r="X395" t="s">
        <v>216</v>
      </c>
      <c r="Y395" t="s">
        <v>206</v>
      </c>
    </row>
    <row r="396" spans="1:25" x14ac:dyDescent="0.2">
      <c r="A396" s="143">
        <v>11</v>
      </c>
      <c r="B396" s="142" t="s">
        <v>208</v>
      </c>
      <c r="C396" s="142" t="s">
        <v>1122</v>
      </c>
      <c r="D396" s="142"/>
      <c r="E396" s="145" t="s">
        <v>900</v>
      </c>
      <c r="F396" s="144">
        <v>0</v>
      </c>
      <c r="G396" s="144">
        <v>100</v>
      </c>
      <c r="H396" s="144"/>
      <c r="I396" s="144"/>
      <c r="T396" s="3" t="s">
        <v>73</v>
      </c>
      <c r="U396" s="6" t="s">
        <v>44</v>
      </c>
      <c r="W396" t="s">
        <v>208</v>
      </c>
      <c r="X396" t="s">
        <v>217</v>
      </c>
      <c r="Y396" t="s">
        <v>206</v>
      </c>
    </row>
    <row r="397" spans="1:25" x14ac:dyDescent="0.2">
      <c r="A397" s="143">
        <v>12</v>
      </c>
      <c r="B397" s="142" t="s">
        <v>208</v>
      </c>
      <c r="C397" s="142" t="s">
        <v>1123</v>
      </c>
      <c r="D397" s="142"/>
      <c r="E397" s="145" t="s">
        <v>901</v>
      </c>
      <c r="F397" s="144">
        <v>0</v>
      </c>
      <c r="G397" s="144">
        <v>100</v>
      </c>
      <c r="H397" s="144"/>
      <c r="I397" s="144"/>
      <c r="T397" s="3" t="s">
        <v>74</v>
      </c>
      <c r="U397" s="6" t="s">
        <v>44</v>
      </c>
      <c r="W397" t="s">
        <v>208</v>
      </c>
      <c r="X397" t="s">
        <v>218</v>
      </c>
      <c r="Y397" t="s">
        <v>206</v>
      </c>
    </row>
    <row r="398" spans="1:25" x14ac:dyDescent="0.2">
      <c r="A398" s="143">
        <v>13</v>
      </c>
      <c r="B398" s="142" t="s">
        <v>208</v>
      </c>
      <c r="C398" s="142" t="s">
        <v>1124</v>
      </c>
      <c r="D398" s="142"/>
      <c r="E398" s="145" t="s">
        <v>902</v>
      </c>
      <c r="F398" s="144">
        <v>0</v>
      </c>
      <c r="G398" s="144">
        <v>100</v>
      </c>
      <c r="H398" s="144"/>
      <c r="I398" s="144"/>
      <c r="T398" s="3" t="s">
        <v>75</v>
      </c>
      <c r="U398" s="6" t="s">
        <v>44</v>
      </c>
      <c r="W398" t="s">
        <v>208</v>
      </c>
      <c r="X398" t="s">
        <v>219</v>
      </c>
      <c r="Y398" t="s">
        <v>206</v>
      </c>
    </row>
    <row r="399" spans="1:25" x14ac:dyDescent="0.2">
      <c r="A399" s="143">
        <v>14</v>
      </c>
      <c r="B399" s="142" t="s">
        <v>208</v>
      </c>
      <c r="C399" s="142" t="s">
        <v>1125</v>
      </c>
      <c r="D399" s="142"/>
      <c r="E399" s="145" t="s">
        <v>903</v>
      </c>
      <c r="F399" s="144">
        <v>0</v>
      </c>
      <c r="G399" s="144">
        <v>100</v>
      </c>
      <c r="H399" s="144"/>
      <c r="I399" s="144"/>
      <c r="T399" s="3" t="s">
        <v>76</v>
      </c>
      <c r="U399" s="6" t="s">
        <v>44</v>
      </c>
      <c r="W399" t="s">
        <v>208</v>
      </c>
      <c r="X399" t="s">
        <v>220</v>
      </c>
      <c r="Y399" t="s">
        <v>206</v>
      </c>
    </row>
    <row r="400" spans="1:25" x14ac:dyDescent="0.2">
      <c r="A400" s="143">
        <v>15</v>
      </c>
      <c r="B400" s="142" t="s">
        <v>208</v>
      </c>
      <c r="C400" s="142" t="s">
        <v>1126</v>
      </c>
      <c r="D400" s="142"/>
      <c r="E400" s="145" t="s">
        <v>904</v>
      </c>
      <c r="F400" s="144">
        <v>0</v>
      </c>
      <c r="G400" s="144">
        <v>100</v>
      </c>
      <c r="H400" s="144"/>
      <c r="I400" s="144"/>
      <c r="T400" s="3" t="s">
        <v>77</v>
      </c>
      <c r="U400" s="6" t="s">
        <v>44</v>
      </c>
      <c r="W400" t="s">
        <v>208</v>
      </c>
      <c r="X400" t="s">
        <v>221</v>
      </c>
      <c r="Y400" t="s">
        <v>206</v>
      </c>
    </row>
    <row r="401" spans="1:25" x14ac:dyDescent="0.2">
      <c r="A401" s="143">
        <v>16</v>
      </c>
      <c r="B401" s="142" t="s">
        <v>208</v>
      </c>
      <c r="C401" s="142" t="s">
        <v>1127</v>
      </c>
      <c r="D401" s="142"/>
      <c r="E401" s="145" t="s">
        <v>905</v>
      </c>
      <c r="F401" s="144">
        <v>0</v>
      </c>
      <c r="G401" s="144">
        <v>100</v>
      </c>
      <c r="H401" s="144"/>
      <c r="I401" s="144"/>
      <c r="T401" s="3" t="s">
        <v>78</v>
      </c>
      <c r="U401" s="6" t="s">
        <v>44</v>
      </c>
      <c r="W401" t="s">
        <v>208</v>
      </c>
      <c r="X401" t="s">
        <v>222</v>
      </c>
      <c r="Y401" t="s">
        <v>206</v>
      </c>
    </row>
    <row r="402" spans="1:25" x14ac:dyDescent="0.2">
      <c r="A402" s="143">
        <v>17</v>
      </c>
      <c r="B402" s="142" t="s">
        <v>208</v>
      </c>
      <c r="C402" s="142" t="s">
        <v>1128</v>
      </c>
      <c r="D402" s="142"/>
      <c r="E402" s="145" t="s">
        <v>906</v>
      </c>
      <c r="F402" s="144">
        <v>0</v>
      </c>
      <c r="G402" s="144">
        <v>100</v>
      </c>
      <c r="H402" s="144"/>
      <c r="I402" s="144"/>
      <c r="T402" s="3" t="s">
        <v>79</v>
      </c>
      <c r="U402" s="6" t="s">
        <v>44</v>
      </c>
      <c r="W402" t="s">
        <v>208</v>
      </c>
      <c r="X402" t="s">
        <v>223</v>
      </c>
      <c r="Y402" t="s">
        <v>206</v>
      </c>
    </row>
    <row r="403" spans="1:25" x14ac:dyDescent="0.2">
      <c r="A403" s="143">
        <v>18</v>
      </c>
      <c r="B403" s="142" t="s">
        <v>208</v>
      </c>
      <c r="C403" s="142" t="s">
        <v>1129</v>
      </c>
      <c r="D403" s="142"/>
      <c r="E403" s="145" t="s">
        <v>907</v>
      </c>
      <c r="F403" s="144">
        <v>0</v>
      </c>
      <c r="G403" s="144">
        <v>100</v>
      </c>
      <c r="H403" s="144"/>
      <c r="I403" s="144"/>
      <c r="T403" s="3" t="s">
        <v>80</v>
      </c>
      <c r="U403" s="6" t="s">
        <v>44</v>
      </c>
      <c r="W403" t="s">
        <v>208</v>
      </c>
      <c r="X403" t="s">
        <v>224</v>
      </c>
      <c r="Y403" t="s">
        <v>206</v>
      </c>
    </row>
    <row r="404" spans="1:25" x14ac:dyDescent="0.2">
      <c r="A404" s="143">
        <v>19</v>
      </c>
      <c r="B404" s="142" t="s">
        <v>208</v>
      </c>
      <c r="C404" s="142" t="s">
        <v>1130</v>
      </c>
      <c r="D404" s="142"/>
      <c r="E404" s="145" t="s">
        <v>908</v>
      </c>
      <c r="F404" s="144">
        <v>0</v>
      </c>
      <c r="G404" s="144">
        <v>100</v>
      </c>
      <c r="H404" s="144"/>
      <c r="I404" s="144"/>
      <c r="T404" s="3" t="s">
        <v>81</v>
      </c>
      <c r="U404" s="6" t="s">
        <v>44</v>
      </c>
      <c r="W404" t="s">
        <v>208</v>
      </c>
      <c r="X404" t="s">
        <v>225</v>
      </c>
      <c r="Y404" t="s">
        <v>206</v>
      </c>
    </row>
    <row r="405" spans="1:25" x14ac:dyDescent="0.2">
      <c r="A405" s="143">
        <v>20</v>
      </c>
      <c r="B405" s="142" t="s">
        <v>208</v>
      </c>
      <c r="C405" s="142" t="s">
        <v>1131</v>
      </c>
      <c r="D405" s="142"/>
      <c r="E405" s="145" t="s">
        <v>1151</v>
      </c>
      <c r="F405" s="144">
        <v>0</v>
      </c>
      <c r="G405" s="144">
        <v>100</v>
      </c>
      <c r="H405" s="144"/>
      <c r="I405" s="144"/>
      <c r="T405" s="3"/>
      <c r="U405" s="6"/>
    </row>
    <row r="406" spans="1:25" x14ac:dyDescent="0.2">
      <c r="A406" s="143">
        <v>21</v>
      </c>
      <c r="B406" s="142" t="s">
        <v>208</v>
      </c>
      <c r="C406" s="142" t="s">
        <v>1132</v>
      </c>
      <c r="D406" s="142"/>
      <c r="E406" s="145" t="s">
        <v>1152</v>
      </c>
      <c r="F406" s="144">
        <v>0</v>
      </c>
      <c r="G406" s="144">
        <v>100</v>
      </c>
      <c r="H406" s="144"/>
      <c r="I406" s="144"/>
      <c r="T406" s="3"/>
      <c r="U406" s="6"/>
    </row>
    <row r="407" spans="1:25" x14ac:dyDescent="0.2">
      <c r="A407" s="143">
        <v>22</v>
      </c>
      <c r="B407" s="142" t="s">
        <v>208</v>
      </c>
      <c r="C407" s="142" t="s">
        <v>1133</v>
      </c>
      <c r="D407" s="142"/>
      <c r="E407" s="145" t="s">
        <v>1153</v>
      </c>
      <c r="F407" s="144">
        <v>0</v>
      </c>
      <c r="G407" s="144">
        <v>100</v>
      </c>
      <c r="H407" s="144"/>
      <c r="I407" s="144"/>
      <c r="T407" s="3"/>
      <c r="U407" s="6"/>
    </row>
    <row r="408" spans="1:25" x14ac:dyDescent="0.2">
      <c r="A408" s="143">
        <v>23</v>
      </c>
      <c r="B408" s="142" t="s">
        <v>208</v>
      </c>
      <c r="C408" s="142" t="s">
        <v>1134</v>
      </c>
      <c r="D408" s="142"/>
      <c r="E408" s="145" t="s">
        <v>1154</v>
      </c>
      <c r="F408" s="144">
        <v>0</v>
      </c>
      <c r="G408" s="144">
        <v>100</v>
      </c>
      <c r="H408" s="144"/>
      <c r="I408" s="144"/>
      <c r="T408" s="3"/>
      <c r="U408" s="6"/>
    </row>
    <row r="409" spans="1:25" x14ac:dyDescent="0.2">
      <c r="A409" s="143">
        <v>24</v>
      </c>
      <c r="B409" s="142" t="s">
        <v>208</v>
      </c>
      <c r="C409" s="142" t="s">
        <v>1135</v>
      </c>
      <c r="D409" s="142"/>
      <c r="E409" s="145" t="s">
        <v>1155</v>
      </c>
      <c r="F409" s="144">
        <v>0</v>
      </c>
      <c r="G409" s="144">
        <v>100</v>
      </c>
      <c r="H409" s="144"/>
      <c r="I409" s="144"/>
      <c r="T409" s="3"/>
      <c r="U409" s="6"/>
    </row>
    <row r="410" spans="1:25" x14ac:dyDescent="0.2">
      <c r="A410" s="143">
        <v>25</v>
      </c>
      <c r="B410" s="142" t="s">
        <v>208</v>
      </c>
      <c r="C410" s="142" t="s">
        <v>1136</v>
      </c>
      <c r="D410" s="142"/>
      <c r="E410" s="145" t="s">
        <v>1156</v>
      </c>
      <c r="F410" s="144">
        <v>0</v>
      </c>
      <c r="G410" s="144">
        <v>100</v>
      </c>
      <c r="H410" s="144"/>
      <c r="I410" s="144"/>
      <c r="T410" s="3"/>
      <c r="U410" s="6"/>
    </row>
    <row r="411" spans="1:25" x14ac:dyDescent="0.2">
      <c r="A411" s="143">
        <v>26</v>
      </c>
      <c r="B411" s="142" t="s">
        <v>208</v>
      </c>
      <c r="C411" s="142" t="s">
        <v>1137</v>
      </c>
      <c r="D411" s="142"/>
      <c r="E411" s="145" t="s">
        <v>1157</v>
      </c>
      <c r="F411" s="144">
        <v>0</v>
      </c>
      <c r="G411" s="144">
        <v>100</v>
      </c>
      <c r="H411" s="144"/>
      <c r="I411" s="144"/>
      <c r="T411" s="3"/>
      <c r="U411" s="6"/>
    </row>
    <row r="412" spans="1:25" x14ac:dyDescent="0.2">
      <c r="A412" s="143">
        <v>27</v>
      </c>
      <c r="B412" s="142" t="s">
        <v>208</v>
      </c>
      <c r="C412" s="142" t="s">
        <v>1138</v>
      </c>
      <c r="D412" s="142"/>
      <c r="E412" s="145" t="s">
        <v>1158</v>
      </c>
      <c r="F412" s="144">
        <v>0</v>
      </c>
      <c r="G412" s="144">
        <v>100</v>
      </c>
      <c r="H412" s="144"/>
      <c r="I412" s="144"/>
      <c r="T412" s="3"/>
      <c r="U412" s="6"/>
    </row>
    <row r="413" spans="1:25" x14ac:dyDescent="0.2">
      <c r="A413" s="143">
        <v>28</v>
      </c>
      <c r="B413" s="142" t="s">
        <v>208</v>
      </c>
      <c r="C413" s="142" t="s">
        <v>1139</v>
      </c>
      <c r="D413" s="142"/>
      <c r="E413" s="145" t="s">
        <v>1159</v>
      </c>
      <c r="F413" s="144">
        <v>0</v>
      </c>
      <c r="G413" s="144">
        <v>100</v>
      </c>
      <c r="H413" s="144"/>
      <c r="I413" s="144"/>
      <c r="T413" s="3"/>
      <c r="U413" s="6"/>
    </row>
    <row r="414" spans="1:25" x14ac:dyDescent="0.2">
      <c r="A414" s="143">
        <v>29</v>
      </c>
      <c r="B414" s="142" t="s">
        <v>208</v>
      </c>
      <c r="C414" s="142" t="s">
        <v>1140</v>
      </c>
      <c r="D414" s="142"/>
      <c r="E414" s="145" t="s">
        <v>1160</v>
      </c>
      <c r="F414" s="144">
        <v>0</v>
      </c>
      <c r="G414" s="144">
        <v>100</v>
      </c>
      <c r="H414" s="144"/>
      <c r="I414" s="144"/>
      <c r="T414" s="3"/>
      <c r="U414" s="6"/>
    </row>
    <row r="415" spans="1:25" x14ac:dyDescent="0.2">
      <c r="A415" s="143">
        <v>30</v>
      </c>
      <c r="B415" s="142" t="s">
        <v>208</v>
      </c>
      <c r="C415" s="142" t="s">
        <v>1141</v>
      </c>
      <c r="D415" s="142"/>
      <c r="E415" s="145" t="s">
        <v>1161</v>
      </c>
      <c r="F415" s="144">
        <v>0</v>
      </c>
      <c r="G415" s="144">
        <v>100</v>
      </c>
      <c r="H415" s="144"/>
      <c r="I415" s="144"/>
      <c r="T415" s="3"/>
      <c r="U415" s="6"/>
    </row>
    <row r="416" spans="1:25" x14ac:dyDescent="0.2">
      <c r="A416" s="143">
        <v>31</v>
      </c>
      <c r="B416" s="142" t="s">
        <v>208</v>
      </c>
      <c r="C416" s="142" t="s">
        <v>1142</v>
      </c>
      <c r="D416" s="142"/>
      <c r="E416" s="145" t="s">
        <v>1162</v>
      </c>
      <c r="F416" s="144">
        <v>0</v>
      </c>
      <c r="G416" s="144">
        <v>100</v>
      </c>
      <c r="H416" s="144"/>
      <c r="I416" s="144"/>
      <c r="T416" s="3"/>
      <c r="U416" s="6"/>
    </row>
    <row r="417" spans="1:25" x14ac:dyDescent="0.2">
      <c r="A417" s="143">
        <v>32</v>
      </c>
      <c r="B417" s="142" t="s">
        <v>208</v>
      </c>
      <c r="C417" s="142" t="s">
        <v>1143</v>
      </c>
      <c r="D417" s="142"/>
      <c r="E417" s="145" t="s">
        <v>1163</v>
      </c>
      <c r="F417" s="144">
        <v>0</v>
      </c>
      <c r="G417" s="144">
        <v>100</v>
      </c>
      <c r="H417" s="144"/>
      <c r="I417" s="144"/>
      <c r="T417" s="3"/>
      <c r="U417" s="6"/>
    </row>
    <row r="418" spans="1:25" x14ac:dyDescent="0.2">
      <c r="A418" s="143">
        <v>33</v>
      </c>
      <c r="B418" s="142" t="s">
        <v>208</v>
      </c>
      <c r="C418" s="142" t="s">
        <v>1144</v>
      </c>
      <c r="D418" s="142"/>
      <c r="E418" s="145" t="s">
        <v>1164</v>
      </c>
      <c r="F418" s="144">
        <v>0</v>
      </c>
      <c r="G418" s="144">
        <v>100</v>
      </c>
      <c r="H418" s="144"/>
      <c r="I418" s="144"/>
      <c r="T418" s="3"/>
      <c r="U418" s="6"/>
    </row>
    <row r="419" spans="1:25" x14ac:dyDescent="0.2">
      <c r="A419" s="143">
        <v>34</v>
      </c>
      <c r="B419" s="142" t="s">
        <v>208</v>
      </c>
      <c r="C419" s="142" t="s">
        <v>1145</v>
      </c>
      <c r="D419" s="142"/>
      <c r="E419" s="145" t="s">
        <v>1165</v>
      </c>
      <c r="F419" s="144">
        <v>0</v>
      </c>
      <c r="G419" s="144">
        <v>100</v>
      </c>
      <c r="H419" s="144"/>
      <c r="I419" s="144"/>
      <c r="T419" s="3"/>
      <c r="U419" s="6"/>
    </row>
    <row r="420" spans="1:25" x14ac:dyDescent="0.2">
      <c r="A420" s="143">
        <v>35</v>
      </c>
      <c r="B420" s="142" t="s">
        <v>208</v>
      </c>
      <c r="C420" s="142" t="s">
        <v>1146</v>
      </c>
      <c r="D420" s="142"/>
      <c r="E420" s="145" t="s">
        <v>1166</v>
      </c>
      <c r="F420" s="144">
        <v>0</v>
      </c>
      <c r="G420" s="144">
        <v>100</v>
      </c>
      <c r="H420" s="144"/>
      <c r="I420" s="144"/>
      <c r="T420" s="3"/>
      <c r="U420" s="6"/>
    </row>
    <row r="421" spans="1:25" x14ac:dyDescent="0.2">
      <c r="A421" s="143">
        <v>36</v>
      </c>
      <c r="B421" s="142" t="s">
        <v>208</v>
      </c>
      <c r="C421" s="142" t="s">
        <v>1147</v>
      </c>
      <c r="D421" s="142"/>
      <c r="E421" s="145" t="s">
        <v>1167</v>
      </c>
      <c r="F421" s="144">
        <v>0</v>
      </c>
      <c r="G421" s="144">
        <v>100</v>
      </c>
      <c r="H421" s="144"/>
      <c r="I421" s="144"/>
      <c r="T421" s="3"/>
      <c r="U421" s="6"/>
    </row>
    <row r="422" spans="1:25" x14ac:dyDescent="0.2">
      <c r="A422" s="143">
        <v>37</v>
      </c>
      <c r="B422" s="142" t="s">
        <v>208</v>
      </c>
      <c r="C422" s="142" t="s">
        <v>1148</v>
      </c>
      <c r="D422" s="142"/>
      <c r="E422" s="145" t="s">
        <v>1168</v>
      </c>
      <c r="F422" s="144">
        <v>0</v>
      </c>
      <c r="G422" s="144">
        <v>100</v>
      </c>
      <c r="H422" s="144"/>
      <c r="I422" s="144"/>
      <c r="T422" s="3"/>
      <c r="U422" s="6"/>
    </row>
    <row r="423" spans="1:25" x14ac:dyDescent="0.2">
      <c r="A423" s="143">
        <v>38</v>
      </c>
      <c r="B423" s="142" t="s">
        <v>208</v>
      </c>
      <c r="C423" s="142" t="s">
        <v>1149</v>
      </c>
      <c r="D423" s="142"/>
      <c r="E423" s="145" t="s">
        <v>1169</v>
      </c>
      <c r="F423" s="144">
        <v>0</v>
      </c>
      <c r="G423" s="144">
        <v>100</v>
      </c>
      <c r="H423" s="144"/>
      <c r="I423" s="144"/>
      <c r="T423" s="3"/>
      <c r="U423" s="6"/>
    </row>
    <row r="424" spans="1:25" x14ac:dyDescent="0.2">
      <c r="A424" s="143">
        <v>39</v>
      </c>
      <c r="B424" s="142" t="s">
        <v>208</v>
      </c>
      <c r="C424" s="142" t="s">
        <v>1150</v>
      </c>
      <c r="D424" s="142"/>
      <c r="E424" s="145" t="s">
        <v>1170</v>
      </c>
      <c r="F424" s="144">
        <v>0</v>
      </c>
      <c r="G424" s="144">
        <v>100</v>
      </c>
      <c r="H424" s="144"/>
      <c r="I424" s="144"/>
      <c r="T424" s="3"/>
      <c r="U424" s="6"/>
    </row>
    <row r="425" spans="1:25" ht="17" thickBot="1" x14ac:dyDescent="0.25">
      <c r="A425" s="147"/>
      <c r="E425" s="182"/>
      <c r="F425" s="146"/>
      <c r="G425" s="146"/>
      <c r="H425" s="146"/>
      <c r="I425" s="146"/>
      <c r="T425" s="3"/>
      <c r="U425" s="6"/>
    </row>
    <row r="426" spans="1:25" x14ac:dyDescent="0.2">
      <c r="A426" s="106" t="s">
        <v>816</v>
      </c>
      <c r="B426" s="107" t="s">
        <v>1190</v>
      </c>
      <c r="C426" s="108"/>
      <c r="D426" s="108"/>
      <c r="E426" s="108"/>
      <c r="F426" s="108"/>
      <c r="G426" s="108"/>
      <c r="H426" s="108"/>
      <c r="I426" s="108"/>
      <c r="T426" s="3" t="s">
        <v>82</v>
      </c>
      <c r="U426" s="6" t="s">
        <v>44</v>
      </c>
      <c r="W426" t="s">
        <v>208</v>
      </c>
      <c r="X426" t="s">
        <v>226</v>
      </c>
      <c r="Y426" t="s">
        <v>206</v>
      </c>
    </row>
    <row r="427" spans="1:25" x14ac:dyDescent="0.2">
      <c r="A427" s="109" t="s">
        <v>817</v>
      </c>
      <c r="B427" s="110" t="s">
        <v>1191</v>
      </c>
      <c r="C427" s="111"/>
      <c r="D427" s="111"/>
      <c r="E427" s="111"/>
      <c r="F427" s="111"/>
      <c r="G427" s="111"/>
      <c r="H427" s="111"/>
      <c r="I427" s="111"/>
      <c r="T427" s="3" t="s">
        <v>83</v>
      </c>
      <c r="U427" s="6" t="s">
        <v>44</v>
      </c>
      <c r="W427" t="s">
        <v>208</v>
      </c>
      <c r="X427" t="s">
        <v>227</v>
      </c>
      <c r="Y427" t="s">
        <v>206</v>
      </c>
    </row>
    <row r="428" spans="1:25" x14ac:dyDescent="0.2">
      <c r="A428" s="109" t="s">
        <v>772</v>
      </c>
      <c r="B428" s="110" t="s">
        <v>1192</v>
      </c>
      <c r="C428" s="111"/>
      <c r="D428" s="111"/>
      <c r="E428" s="111"/>
      <c r="F428" s="111"/>
      <c r="G428" s="111"/>
      <c r="H428" s="111"/>
      <c r="I428" s="111"/>
      <c r="T428" s="3" t="s">
        <v>84</v>
      </c>
      <c r="U428" s="6" t="s">
        <v>44</v>
      </c>
      <c r="W428" t="s">
        <v>208</v>
      </c>
      <c r="X428" t="s">
        <v>228</v>
      </c>
      <c r="Y428" t="s">
        <v>206</v>
      </c>
    </row>
    <row r="429" spans="1:25" x14ac:dyDescent="0.2">
      <c r="A429" s="109" t="s">
        <v>818</v>
      </c>
      <c r="B429" s="110" t="s">
        <v>1193</v>
      </c>
      <c r="C429" s="111"/>
      <c r="D429" s="111"/>
      <c r="E429" s="111"/>
      <c r="F429" s="111"/>
      <c r="G429" s="111"/>
      <c r="H429" s="111"/>
      <c r="I429" s="111"/>
      <c r="T429" s="3" t="s">
        <v>85</v>
      </c>
      <c r="U429" s="6" t="s">
        <v>44</v>
      </c>
      <c r="W429" t="s">
        <v>207</v>
      </c>
    </row>
    <row r="430" spans="1:25" x14ac:dyDescent="0.2">
      <c r="A430" s="109" t="s">
        <v>819</v>
      </c>
      <c r="B430" s="110" t="s">
        <v>921</v>
      </c>
      <c r="C430" s="111"/>
      <c r="D430" s="111"/>
      <c r="E430" s="111"/>
      <c r="F430" s="111"/>
      <c r="G430" s="111"/>
      <c r="H430" s="111"/>
      <c r="I430" s="111"/>
      <c r="T430" s="3" t="s">
        <v>204</v>
      </c>
      <c r="U430" s="6" t="s">
        <v>205</v>
      </c>
    </row>
    <row r="431" spans="1:25" x14ac:dyDescent="0.2">
      <c r="A431" s="109" t="s">
        <v>970</v>
      </c>
      <c r="B431" s="110" t="s">
        <v>913</v>
      </c>
      <c r="C431" s="111"/>
      <c r="D431" s="111"/>
      <c r="E431" s="111"/>
      <c r="F431" s="111"/>
      <c r="G431" s="111"/>
      <c r="H431" s="111"/>
      <c r="I431" s="111"/>
      <c r="T431" s="3" t="s">
        <v>1</v>
      </c>
      <c r="U431" s="6"/>
    </row>
    <row r="432" spans="1:25" x14ac:dyDescent="0.2">
      <c r="A432" s="109" t="s">
        <v>820</v>
      </c>
      <c r="B432" s="110"/>
      <c r="C432" s="111"/>
      <c r="D432" s="111"/>
      <c r="E432" s="111"/>
      <c r="F432" s="111"/>
      <c r="G432" s="111"/>
      <c r="H432" s="111"/>
      <c r="I432" s="111"/>
      <c r="T432" s="3" t="s">
        <v>0</v>
      </c>
      <c r="U432" s="6"/>
    </row>
    <row r="433" spans="1:21" x14ac:dyDescent="0.2">
      <c r="A433" s="109" t="s">
        <v>821</v>
      </c>
      <c r="B433" s="110" t="s">
        <v>968</v>
      </c>
      <c r="C433" s="111"/>
      <c r="D433" s="111"/>
      <c r="E433" s="111"/>
      <c r="F433" s="111"/>
      <c r="G433" s="111"/>
      <c r="H433" s="111"/>
      <c r="I433" s="111"/>
      <c r="T433" s="8" t="s">
        <v>98</v>
      </c>
      <c r="U433" s="3" t="s">
        <v>421</v>
      </c>
    </row>
    <row r="434" spans="1:21" ht="17" thickBot="1" x14ac:dyDescent="0.25">
      <c r="A434" s="109" t="s">
        <v>793</v>
      </c>
      <c r="B434" s="112">
        <v>7</v>
      </c>
      <c r="C434" s="113"/>
      <c r="D434" s="113"/>
      <c r="E434" s="113"/>
      <c r="F434" s="113"/>
      <c r="G434" s="113"/>
      <c r="H434" s="113"/>
      <c r="I434" s="113" t="s">
        <v>932</v>
      </c>
      <c r="T434" s="4" t="s">
        <v>1</v>
      </c>
      <c r="U434" s="7"/>
    </row>
    <row r="435" spans="1:21" x14ac:dyDescent="0.2">
      <c r="A435" s="114" t="s">
        <v>784</v>
      </c>
      <c r="B435" s="115" t="s">
        <v>785</v>
      </c>
      <c r="C435" s="115" t="s">
        <v>787</v>
      </c>
      <c r="D435" s="115"/>
      <c r="E435" s="115" t="s">
        <v>788</v>
      </c>
      <c r="F435" s="115" t="s">
        <v>807</v>
      </c>
      <c r="G435" s="115" t="s">
        <v>808</v>
      </c>
      <c r="H435" s="115" t="s">
        <v>811</v>
      </c>
      <c r="I435" s="115" t="s">
        <v>812</v>
      </c>
    </row>
    <row r="436" spans="1:21" x14ac:dyDescent="0.2">
      <c r="A436" s="116">
        <v>0</v>
      </c>
      <c r="B436" s="117" t="s">
        <v>208</v>
      </c>
      <c r="C436" s="117" t="s">
        <v>1194</v>
      </c>
      <c r="D436" s="117"/>
      <c r="E436" s="118" t="s">
        <v>1195</v>
      </c>
      <c r="F436" s="118">
        <v>0</v>
      </c>
      <c r="G436" s="118">
        <v>1</v>
      </c>
      <c r="H436" s="118">
        <v>0</v>
      </c>
      <c r="I436" s="118" t="s">
        <v>1196</v>
      </c>
    </row>
    <row r="437" spans="1:21" ht="17" thickBot="1" x14ac:dyDescent="0.25"/>
    <row r="438" spans="1:21" x14ac:dyDescent="0.2">
      <c r="A438" s="132" t="s">
        <v>816</v>
      </c>
      <c r="B438" s="133" t="s">
        <v>1038</v>
      </c>
      <c r="C438" s="134"/>
      <c r="D438" s="134"/>
      <c r="E438" s="134"/>
      <c r="F438" s="134"/>
      <c r="G438" s="134"/>
      <c r="H438" s="134"/>
      <c r="I438" s="134"/>
    </row>
    <row r="439" spans="1:21" x14ac:dyDescent="0.2">
      <c r="A439" s="135" t="s">
        <v>817</v>
      </c>
      <c r="B439" s="136" t="s">
        <v>1234</v>
      </c>
      <c r="C439" s="137"/>
      <c r="D439" s="137"/>
      <c r="E439" s="137"/>
      <c r="F439" s="137"/>
      <c r="G439" s="137"/>
      <c r="H439" s="137"/>
      <c r="I439" s="137"/>
    </row>
    <row r="440" spans="1:21" x14ac:dyDescent="0.2">
      <c r="A440" s="135" t="s">
        <v>772</v>
      </c>
      <c r="B440" s="136" t="s">
        <v>1235</v>
      </c>
      <c r="C440" s="137"/>
      <c r="D440" s="137"/>
      <c r="E440" s="137"/>
      <c r="F440" s="137"/>
      <c r="G440" s="137"/>
      <c r="H440" s="137"/>
      <c r="I440" s="137"/>
    </row>
    <row r="441" spans="1:21" x14ac:dyDescent="0.2">
      <c r="A441" s="135" t="s">
        <v>818</v>
      </c>
      <c r="B441" s="136" t="s">
        <v>1234</v>
      </c>
      <c r="C441" s="137"/>
      <c r="D441" s="137"/>
      <c r="E441" s="137"/>
      <c r="F441" s="137"/>
      <c r="G441" s="137"/>
      <c r="H441" s="137"/>
      <c r="I441" s="137"/>
    </row>
    <row r="442" spans="1:21" x14ac:dyDescent="0.2">
      <c r="A442" s="135" t="s">
        <v>970</v>
      </c>
      <c r="B442" s="136" t="s">
        <v>1234</v>
      </c>
      <c r="C442" s="137"/>
      <c r="D442" s="137"/>
      <c r="E442" s="137"/>
      <c r="F442" s="137"/>
      <c r="G442" s="137"/>
      <c r="H442" s="137"/>
      <c r="I442" s="137"/>
    </row>
    <row r="443" spans="1:21" x14ac:dyDescent="0.2">
      <c r="A443" s="135" t="s">
        <v>940</v>
      </c>
      <c r="B443" s="136" t="s">
        <v>941</v>
      </c>
      <c r="C443" s="137"/>
      <c r="D443" s="137"/>
      <c r="E443" s="137"/>
      <c r="F443" s="137"/>
      <c r="G443" s="137"/>
      <c r="H443" s="137"/>
      <c r="I443" s="137"/>
    </row>
    <row r="444" spans="1:21" x14ac:dyDescent="0.2">
      <c r="A444" s="135" t="s">
        <v>820</v>
      </c>
      <c r="B444" s="136" t="s">
        <v>1236</v>
      </c>
      <c r="C444" s="137"/>
      <c r="D444" s="137"/>
      <c r="E444" s="137"/>
      <c r="F444" s="137"/>
      <c r="G444" s="137"/>
      <c r="H444" s="137"/>
      <c r="I444" s="137"/>
    </row>
    <row r="445" spans="1:21" x14ac:dyDescent="0.2">
      <c r="A445" s="135" t="s">
        <v>821</v>
      </c>
      <c r="B445" s="136"/>
      <c r="C445" s="137"/>
      <c r="D445" s="137"/>
      <c r="E445" s="137"/>
      <c r="F445" s="137"/>
      <c r="G445" s="137"/>
      <c r="H445" s="137"/>
      <c r="I445" s="137"/>
    </row>
    <row r="446" spans="1:21" ht="17" thickBot="1" x14ac:dyDescent="0.25">
      <c r="A446" s="135" t="s">
        <v>793</v>
      </c>
      <c r="B446" s="138">
        <v>10</v>
      </c>
      <c r="C446" s="139"/>
      <c r="D446" s="139"/>
      <c r="E446" s="139"/>
      <c r="F446" s="139"/>
      <c r="G446" s="139"/>
      <c r="H446" s="139"/>
      <c r="I446" s="139"/>
    </row>
    <row r="447" spans="1:21" x14ac:dyDescent="0.2">
      <c r="A447" s="140" t="s">
        <v>784</v>
      </c>
      <c r="B447" s="141" t="s">
        <v>785</v>
      </c>
      <c r="C447" s="141" t="s">
        <v>787</v>
      </c>
      <c r="D447" s="141"/>
      <c r="E447" s="142" t="s">
        <v>788</v>
      </c>
      <c r="F447" s="141" t="s">
        <v>807</v>
      </c>
      <c r="G447" s="141" t="s">
        <v>808</v>
      </c>
      <c r="H447" s="141" t="s">
        <v>811</v>
      </c>
      <c r="I447" s="141" t="s">
        <v>812</v>
      </c>
    </row>
    <row r="448" spans="1:21" x14ac:dyDescent="0.2">
      <c r="A448" s="143">
        <v>0</v>
      </c>
      <c r="B448" s="142" t="s">
        <v>208</v>
      </c>
      <c r="C448" s="142" t="s">
        <v>1041</v>
      </c>
      <c r="D448" s="142"/>
      <c r="E448" s="145" t="s">
        <v>1042</v>
      </c>
      <c r="F448" s="144"/>
      <c r="G448" s="144"/>
      <c r="H448" s="144"/>
      <c r="I448" s="144"/>
    </row>
    <row r="449" spans="1:9" x14ac:dyDescent="0.2">
      <c r="A449" s="143">
        <v>1</v>
      </c>
      <c r="B449" s="142" t="s">
        <v>208</v>
      </c>
      <c r="C449" s="142" t="s">
        <v>1043</v>
      </c>
      <c r="D449" s="142"/>
      <c r="E449" s="145" t="s">
        <v>1045</v>
      </c>
      <c r="F449" s="144"/>
      <c r="G449" s="144"/>
      <c r="H449" s="144"/>
      <c r="I449" s="144"/>
    </row>
    <row r="450" spans="1:9" x14ac:dyDescent="0.2">
      <c r="A450" s="143">
        <v>2</v>
      </c>
      <c r="B450" s="142" t="s">
        <v>208</v>
      </c>
      <c r="C450" s="142" t="s">
        <v>1044</v>
      </c>
      <c r="D450" s="142"/>
      <c r="E450" s="145" t="s">
        <v>1046</v>
      </c>
      <c r="F450" s="144"/>
      <c r="G450" s="144"/>
      <c r="H450" s="144"/>
      <c r="I450" s="144"/>
    </row>
    <row r="451" spans="1:9" x14ac:dyDescent="0.2">
      <c r="A451" s="143">
        <v>3</v>
      </c>
      <c r="B451" s="142" t="s">
        <v>208</v>
      </c>
      <c r="C451" s="142" t="s">
        <v>1047</v>
      </c>
      <c r="D451" s="142"/>
      <c r="E451" s="145" t="s">
        <v>1050</v>
      </c>
      <c r="F451" s="144"/>
      <c r="G451" s="144"/>
      <c r="H451" s="144"/>
      <c r="I451" s="144"/>
    </row>
    <row r="452" spans="1:9" x14ac:dyDescent="0.2">
      <c r="A452" s="143">
        <v>4</v>
      </c>
      <c r="B452" s="142" t="s">
        <v>208</v>
      </c>
      <c r="C452" s="142" t="s">
        <v>1048</v>
      </c>
      <c r="D452" s="142"/>
      <c r="E452" s="145" t="s">
        <v>1051</v>
      </c>
      <c r="F452" s="144"/>
      <c r="G452" s="144"/>
      <c r="H452" s="144"/>
      <c r="I452" s="144"/>
    </row>
    <row r="453" spans="1:9" x14ac:dyDescent="0.2">
      <c r="A453" s="143">
        <v>5</v>
      </c>
      <c r="B453" s="142" t="s">
        <v>208</v>
      </c>
      <c r="C453" s="142" t="s">
        <v>1049</v>
      </c>
      <c r="D453" s="142"/>
      <c r="E453" s="145" t="s">
        <v>1052</v>
      </c>
      <c r="F453" s="144"/>
      <c r="G453" s="144"/>
      <c r="H453" s="144"/>
      <c r="I453" s="144"/>
    </row>
    <row r="454" spans="1:9" x14ac:dyDescent="0.2">
      <c r="A454" s="143">
        <v>6</v>
      </c>
      <c r="B454" s="142" t="s">
        <v>208</v>
      </c>
      <c r="C454" s="142" t="s">
        <v>687</v>
      </c>
      <c r="D454" s="142"/>
      <c r="E454" s="145" t="s">
        <v>680</v>
      </c>
      <c r="F454" s="144"/>
      <c r="G454" s="144"/>
      <c r="H454" s="144"/>
      <c r="I454" s="144"/>
    </row>
    <row r="455" spans="1:9" x14ac:dyDescent="0.2">
      <c r="A455" s="143">
        <v>7</v>
      </c>
      <c r="B455" s="142" t="s">
        <v>208</v>
      </c>
      <c r="C455" s="142" t="s">
        <v>1053</v>
      </c>
      <c r="D455" s="142"/>
      <c r="E455" s="145" t="s">
        <v>1054</v>
      </c>
      <c r="F455" s="144"/>
      <c r="G455" s="144"/>
      <c r="H455" s="144"/>
      <c r="I455" s="144"/>
    </row>
    <row r="456" spans="1:9" x14ac:dyDescent="0.2">
      <c r="A456" s="143">
        <v>8</v>
      </c>
      <c r="B456" s="142" t="s">
        <v>208</v>
      </c>
      <c r="C456" s="142" t="s">
        <v>1083</v>
      </c>
      <c r="D456" s="142"/>
      <c r="E456" s="145"/>
      <c r="F456" s="144"/>
      <c r="G456" s="144"/>
      <c r="H456" s="144"/>
      <c r="I456" s="144"/>
    </row>
    <row r="457" spans="1:9" x14ac:dyDescent="0.2">
      <c r="A457" s="143">
        <v>9</v>
      </c>
      <c r="B457" s="142" t="s">
        <v>208</v>
      </c>
      <c r="C457" s="142" t="s">
        <v>1084</v>
      </c>
      <c r="D457" s="142"/>
      <c r="E457" s="145"/>
      <c r="F457" s="144"/>
      <c r="G457" s="144"/>
      <c r="H457" s="144"/>
      <c r="I457" s="144"/>
    </row>
    <row r="458" spans="1:9" x14ac:dyDescent="0.2">
      <c r="A458" s="143">
        <v>10</v>
      </c>
      <c r="B458" s="142" t="s">
        <v>208</v>
      </c>
      <c r="C458" s="142" t="s">
        <v>1085</v>
      </c>
      <c r="D458" s="142"/>
      <c r="E458" s="145"/>
      <c r="F458" s="144"/>
      <c r="G458" s="144"/>
      <c r="H458" s="144"/>
      <c r="I458" s="144"/>
    </row>
    <row r="459" spans="1:9" x14ac:dyDescent="0.2">
      <c r="A459" s="143">
        <v>11</v>
      </c>
      <c r="B459" s="142" t="s">
        <v>208</v>
      </c>
      <c r="C459" s="142" t="s">
        <v>1086</v>
      </c>
      <c r="D459" s="142"/>
      <c r="E459" s="145"/>
      <c r="F459" s="144"/>
      <c r="G459" s="144"/>
      <c r="H459" s="144"/>
      <c r="I459" s="144"/>
    </row>
    <row r="460" spans="1:9" x14ac:dyDescent="0.2">
      <c r="A460" s="143">
        <v>12</v>
      </c>
      <c r="B460" s="142" t="s">
        <v>208</v>
      </c>
      <c r="C460" s="142" t="s">
        <v>1087</v>
      </c>
      <c r="D460" s="142"/>
      <c r="E460" s="145"/>
      <c r="F460" s="144"/>
      <c r="G460" s="144"/>
      <c r="H460" s="144"/>
      <c r="I460" s="144"/>
    </row>
    <row r="461" spans="1:9" x14ac:dyDescent="0.2">
      <c r="A461" s="143">
        <v>13</v>
      </c>
      <c r="B461" s="142" t="s">
        <v>208</v>
      </c>
      <c r="C461" s="142" t="s">
        <v>1088</v>
      </c>
      <c r="D461" s="142"/>
      <c r="E461" s="145"/>
      <c r="F461" s="144"/>
      <c r="G461" s="144"/>
      <c r="H461" s="144"/>
      <c r="I461" s="144"/>
    </row>
    <row r="462" spans="1:9" x14ac:dyDescent="0.2">
      <c r="A462" s="143">
        <v>14</v>
      </c>
      <c r="B462" s="142" t="s">
        <v>208</v>
      </c>
      <c r="C462" s="142" t="s">
        <v>1089</v>
      </c>
      <c r="D462" s="142"/>
      <c r="E462" s="145"/>
      <c r="F462" s="144"/>
      <c r="G462" s="144"/>
      <c r="H462" s="144"/>
      <c r="I462" s="144"/>
    </row>
    <row r="463" spans="1:9" x14ac:dyDescent="0.2">
      <c r="A463" s="143">
        <v>15</v>
      </c>
      <c r="B463" s="142" t="s">
        <v>208</v>
      </c>
      <c r="C463" s="142" t="s">
        <v>1090</v>
      </c>
      <c r="D463" s="142"/>
      <c r="E463" s="145"/>
      <c r="F463" s="144"/>
      <c r="G463" s="144"/>
      <c r="H463" s="144"/>
      <c r="I463" s="144"/>
    </row>
    <row r="464" spans="1:9" x14ac:dyDescent="0.2">
      <c r="A464" s="143">
        <v>16</v>
      </c>
      <c r="B464" s="142" t="s">
        <v>208</v>
      </c>
      <c r="C464" s="142" t="s">
        <v>1091</v>
      </c>
      <c r="D464" s="142"/>
      <c r="E464" s="145"/>
      <c r="F464" s="144"/>
      <c r="G464" s="144"/>
      <c r="H464" s="144"/>
      <c r="I464" s="144"/>
    </row>
    <row r="465" spans="1:9" x14ac:dyDescent="0.2">
      <c r="A465" s="143">
        <v>17</v>
      </c>
      <c r="B465" s="142" t="s">
        <v>208</v>
      </c>
      <c r="C465" s="142" t="s">
        <v>1092</v>
      </c>
      <c r="D465" s="142"/>
      <c r="E465" s="145"/>
      <c r="F465" s="144"/>
      <c r="G465" s="144"/>
      <c r="H465" s="144"/>
      <c r="I465" s="144"/>
    </row>
    <row r="466" spans="1:9" x14ac:dyDescent="0.2">
      <c r="A466" s="143">
        <v>18</v>
      </c>
      <c r="B466" s="142" t="s">
        <v>208</v>
      </c>
      <c r="C466" s="142" t="s">
        <v>1093</v>
      </c>
      <c r="D466" s="142"/>
      <c r="E466" s="145"/>
      <c r="F466" s="144"/>
      <c r="G466" s="144"/>
      <c r="H466" s="144"/>
      <c r="I466" s="144"/>
    </row>
    <row r="467" spans="1:9" x14ac:dyDescent="0.2">
      <c r="A467" s="143">
        <v>19</v>
      </c>
      <c r="B467" s="142" t="s">
        <v>208</v>
      </c>
      <c r="C467" s="142" t="s">
        <v>1094</v>
      </c>
      <c r="D467" s="142"/>
      <c r="E467" s="145"/>
      <c r="F467" s="144"/>
      <c r="G467" s="144"/>
      <c r="H467" s="144"/>
      <c r="I467" s="144"/>
    </row>
    <row r="468" spans="1:9" ht="17" thickBot="1" x14ac:dyDescent="0.25"/>
    <row r="469" spans="1:9" x14ac:dyDescent="0.2">
      <c r="A469" s="183" t="s">
        <v>816</v>
      </c>
      <c r="B469" s="184"/>
      <c r="C469" s="185"/>
      <c r="D469" s="185"/>
      <c r="E469" s="185"/>
      <c r="F469" s="185"/>
      <c r="G469" s="185"/>
      <c r="H469" s="185"/>
      <c r="I469" s="185"/>
    </row>
    <row r="470" spans="1:9" x14ac:dyDescent="0.2">
      <c r="A470" s="186" t="s">
        <v>817</v>
      </c>
      <c r="B470" s="187" t="s">
        <v>245</v>
      </c>
      <c r="C470" s="188"/>
      <c r="D470" s="188"/>
      <c r="E470" s="188"/>
      <c r="F470" s="188"/>
      <c r="G470" s="188"/>
      <c r="H470" s="188"/>
      <c r="I470" s="188"/>
    </row>
    <row r="471" spans="1:9" x14ac:dyDescent="0.2">
      <c r="A471" s="186" t="s">
        <v>772</v>
      </c>
      <c r="B471" s="187" t="s">
        <v>1039</v>
      </c>
      <c r="C471" s="188"/>
      <c r="D471" s="188"/>
      <c r="E471" s="188"/>
      <c r="F471" s="188"/>
      <c r="G471" s="188"/>
      <c r="H471" s="188"/>
      <c r="I471" s="188"/>
    </row>
    <row r="472" spans="1:9" x14ac:dyDescent="0.2">
      <c r="A472" s="186" t="s">
        <v>818</v>
      </c>
      <c r="B472" s="187" t="s">
        <v>245</v>
      </c>
      <c r="C472" s="188"/>
      <c r="D472" s="188"/>
      <c r="E472" s="188"/>
      <c r="F472" s="188"/>
      <c r="G472" s="188"/>
      <c r="H472" s="188"/>
      <c r="I472" s="188"/>
    </row>
    <row r="473" spans="1:9" x14ac:dyDescent="0.2">
      <c r="A473" s="186" t="s">
        <v>970</v>
      </c>
      <c r="B473" s="187" t="s">
        <v>245</v>
      </c>
      <c r="C473" s="188"/>
      <c r="D473" s="188"/>
      <c r="E473" s="188"/>
      <c r="F473" s="188"/>
      <c r="G473" s="188"/>
      <c r="H473" s="188"/>
      <c r="I473" s="188"/>
    </row>
    <row r="474" spans="1:9" x14ac:dyDescent="0.2">
      <c r="A474" s="186" t="s">
        <v>940</v>
      </c>
      <c r="B474" s="187" t="s">
        <v>941</v>
      </c>
      <c r="C474" s="188"/>
      <c r="D474" s="188"/>
      <c r="E474" s="188"/>
      <c r="F474" s="188"/>
      <c r="G474" s="188"/>
      <c r="H474" s="188"/>
      <c r="I474" s="188"/>
    </row>
    <row r="475" spans="1:9" x14ac:dyDescent="0.2">
      <c r="A475" s="186" t="s">
        <v>820</v>
      </c>
      <c r="B475" s="187" t="s">
        <v>1040</v>
      </c>
      <c r="C475" s="188"/>
      <c r="D475" s="188"/>
      <c r="E475" s="188"/>
      <c r="F475" s="188"/>
      <c r="G475" s="188"/>
      <c r="H475" s="188"/>
      <c r="I475" s="188"/>
    </row>
    <row r="476" spans="1:9" x14ac:dyDescent="0.2">
      <c r="A476" s="186" t="s">
        <v>821</v>
      </c>
      <c r="B476" s="187"/>
      <c r="C476" s="188"/>
      <c r="D476" s="188"/>
      <c r="E476" s="188"/>
      <c r="F476" s="188"/>
      <c r="G476" s="188"/>
      <c r="H476" s="188"/>
      <c r="I476" s="188"/>
    </row>
    <row r="477" spans="1:9" ht="17" thickBot="1" x14ac:dyDescent="0.25">
      <c r="A477" s="186" t="s">
        <v>793</v>
      </c>
      <c r="B477" s="189">
        <v>8</v>
      </c>
      <c r="C477" s="190"/>
      <c r="D477" s="190"/>
      <c r="E477" s="190"/>
      <c r="F477" s="190"/>
      <c r="G477" s="190"/>
      <c r="H477" s="190"/>
      <c r="I477" s="190"/>
    </row>
    <row r="478" spans="1:9" x14ac:dyDescent="0.2">
      <c r="A478" s="191" t="s">
        <v>784</v>
      </c>
      <c r="B478" s="192" t="s">
        <v>785</v>
      </c>
      <c r="C478" s="192" t="s">
        <v>787</v>
      </c>
      <c r="D478" s="192"/>
      <c r="E478" s="193" t="s">
        <v>788</v>
      </c>
      <c r="F478" s="192" t="s">
        <v>807</v>
      </c>
      <c r="G478" s="192" t="s">
        <v>808</v>
      </c>
      <c r="H478" s="192" t="s">
        <v>811</v>
      </c>
      <c r="I478" s="192" t="s">
        <v>812</v>
      </c>
    </row>
    <row r="479" spans="1:9" x14ac:dyDescent="0.2">
      <c r="A479" s="194">
        <v>0</v>
      </c>
      <c r="B479" s="193" t="s">
        <v>208</v>
      </c>
      <c r="C479" s="193" t="s">
        <v>1095</v>
      </c>
      <c r="D479" s="193"/>
      <c r="E479" s="196" t="s">
        <v>1095</v>
      </c>
      <c r="F479" s="195">
        <v>1</v>
      </c>
      <c r="G479" s="195">
        <v>5</v>
      </c>
      <c r="H479" s="195">
        <v>1</v>
      </c>
      <c r="I479" s="195"/>
    </row>
    <row r="480" spans="1:9" x14ac:dyDescent="0.2">
      <c r="A480" s="194">
        <v>1</v>
      </c>
      <c r="B480" s="193" t="s">
        <v>208</v>
      </c>
      <c r="C480" s="193" t="s">
        <v>758</v>
      </c>
      <c r="D480" s="193"/>
      <c r="E480" s="196" t="s">
        <v>758</v>
      </c>
      <c r="F480" s="195">
        <v>1</v>
      </c>
      <c r="G480" s="195">
        <v>32</v>
      </c>
      <c r="H480" s="195">
        <v>1</v>
      </c>
      <c r="I480" s="195"/>
    </row>
    <row r="481" spans="1:9" x14ac:dyDescent="0.2">
      <c r="A481" s="194">
        <v>2</v>
      </c>
      <c r="B481" s="193" t="s">
        <v>87</v>
      </c>
      <c r="C481" s="193" t="s">
        <v>1200</v>
      </c>
      <c r="D481" s="193"/>
      <c r="E481" s="196" t="s">
        <v>1222</v>
      </c>
      <c r="F481" s="195">
        <v>0</v>
      </c>
      <c r="G481" s="195">
        <v>100</v>
      </c>
      <c r="H481" s="195">
        <v>65</v>
      </c>
      <c r="I481" s="195"/>
    </row>
    <row r="482" spans="1:9" x14ac:dyDescent="0.2">
      <c r="A482" s="194">
        <v>3</v>
      </c>
      <c r="B482" s="193" t="s">
        <v>87</v>
      </c>
      <c r="C482" s="193" t="s">
        <v>1201</v>
      </c>
      <c r="D482" s="193"/>
      <c r="E482" s="196" t="s">
        <v>1223</v>
      </c>
      <c r="F482" s="195">
        <v>0</v>
      </c>
      <c r="G482" s="195">
        <v>125</v>
      </c>
      <c r="H482" s="195">
        <v>80</v>
      </c>
      <c r="I482" s="195"/>
    </row>
    <row r="483" spans="1:9" x14ac:dyDescent="0.2">
      <c r="A483" s="194">
        <v>4</v>
      </c>
      <c r="B483" s="193" t="s">
        <v>87</v>
      </c>
      <c r="C483" s="193" t="s">
        <v>1047</v>
      </c>
      <c r="D483" s="193"/>
      <c r="E483" s="196" t="s">
        <v>1210</v>
      </c>
      <c r="F483" s="195">
        <v>0</v>
      </c>
      <c r="G483" s="195">
        <v>5</v>
      </c>
      <c r="H483" s="195">
        <v>0.5</v>
      </c>
      <c r="I483" s="195"/>
    </row>
    <row r="484" spans="1:9" x14ac:dyDescent="0.2">
      <c r="A484" s="194">
        <v>5</v>
      </c>
      <c r="B484" s="193" t="s">
        <v>87</v>
      </c>
      <c r="C484" s="193" t="s">
        <v>1049</v>
      </c>
      <c r="D484" s="193"/>
      <c r="E484" s="196" t="s">
        <v>1211</v>
      </c>
      <c r="F484" s="195">
        <v>0</v>
      </c>
      <c r="G484" s="195">
        <v>2024</v>
      </c>
      <c r="H484" s="195">
        <v>1000</v>
      </c>
      <c r="I484" s="195"/>
    </row>
    <row r="485" spans="1:9" x14ac:dyDescent="0.2">
      <c r="A485" s="194">
        <v>6</v>
      </c>
      <c r="B485" s="193" t="s">
        <v>87</v>
      </c>
      <c r="C485" s="193" t="s">
        <v>1240</v>
      </c>
      <c r="D485" s="193"/>
      <c r="E485" s="196" t="s">
        <v>1241</v>
      </c>
      <c r="F485" s="195">
        <v>0</v>
      </c>
      <c r="G485" s="195">
        <v>2024</v>
      </c>
      <c r="H485" s="195">
        <v>14400</v>
      </c>
      <c r="I485" s="195"/>
    </row>
    <row r="486" spans="1:9" x14ac:dyDescent="0.2">
      <c r="A486" s="194">
        <v>7</v>
      </c>
      <c r="B486" s="193" t="s">
        <v>87</v>
      </c>
      <c r="C486" s="193" t="s">
        <v>1246</v>
      </c>
      <c r="D486" s="193"/>
      <c r="E486" s="196" t="s">
        <v>1247</v>
      </c>
      <c r="F486" s="195">
        <v>0</v>
      </c>
      <c r="G486" s="195">
        <v>2024</v>
      </c>
      <c r="H486" s="195">
        <v>2000</v>
      </c>
      <c r="I486" s="195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1D3DF-F818-DF42-864B-301B132F98F3}">
  <sheetPr codeName="Sheet7">
    <tabColor rgb="FF92D050"/>
  </sheetPr>
  <dimension ref="A1:V55"/>
  <sheetViews>
    <sheetView workbookViewId="0">
      <selection activeCell="A2" sqref="A2:C9"/>
    </sheetView>
  </sheetViews>
  <sheetFormatPr baseColWidth="10" defaultRowHeight="16" x14ac:dyDescent="0.2"/>
  <cols>
    <col min="1" max="1" width="20.5" customWidth="1"/>
    <col min="22" max="22" width="13.33203125" customWidth="1"/>
  </cols>
  <sheetData>
    <row r="1" spans="1:22" x14ac:dyDescent="0.2">
      <c r="A1" s="204" t="s">
        <v>730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R1" s="53" t="s">
        <v>755</v>
      </c>
      <c r="S1" s="54" t="s">
        <v>741</v>
      </c>
      <c r="T1" s="54" t="s">
        <v>740</v>
      </c>
      <c r="U1" s="54" t="s">
        <v>769</v>
      </c>
      <c r="V1" s="55" t="s">
        <v>766</v>
      </c>
    </row>
    <row r="2" spans="1:22" x14ac:dyDescent="0.2">
      <c r="A2" t="s">
        <v>751</v>
      </c>
      <c r="C2" t="s">
        <v>740</v>
      </c>
      <c r="R2" s="56" t="s">
        <v>756</v>
      </c>
      <c r="S2" s="57"/>
      <c r="T2" s="57"/>
      <c r="U2" s="57"/>
      <c r="V2" s="58"/>
    </row>
    <row r="3" spans="1:22" x14ac:dyDescent="0.2">
      <c r="A3" t="s">
        <v>752</v>
      </c>
      <c r="C3" t="s">
        <v>741</v>
      </c>
      <c r="R3" s="56"/>
      <c r="S3" s="57"/>
      <c r="T3" s="57"/>
      <c r="U3" s="57"/>
      <c r="V3" s="58"/>
    </row>
    <row r="4" spans="1:22" x14ac:dyDescent="0.2">
      <c r="A4" t="s">
        <v>770</v>
      </c>
      <c r="C4" t="s">
        <v>769</v>
      </c>
      <c r="R4" s="56" t="s">
        <v>757</v>
      </c>
      <c r="S4" s="57"/>
      <c r="T4" s="57"/>
      <c r="U4" s="57"/>
      <c r="V4" s="58"/>
    </row>
    <row r="5" spans="1:22" x14ac:dyDescent="0.2">
      <c r="A5" t="s">
        <v>753</v>
      </c>
      <c r="C5" t="s">
        <v>740</v>
      </c>
      <c r="R5" s="56"/>
      <c r="S5" s="57"/>
      <c r="T5" s="57"/>
      <c r="U5" s="57"/>
      <c r="V5" s="58"/>
    </row>
    <row r="6" spans="1:22" x14ac:dyDescent="0.2">
      <c r="A6" t="s">
        <v>770</v>
      </c>
      <c r="C6" t="s">
        <v>769</v>
      </c>
      <c r="R6" s="56" t="s">
        <v>1037</v>
      </c>
      <c r="S6" s="57"/>
      <c r="T6" s="57"/>
      <c r="U6" s="57"/>
      <c r="V6" s="58"/>
    </row>
    <row r="7" spans="1:22" x14ac:dyDescent="0.2">
      <c r="A7" t="s">
        <v>754</v>
      </c>
      <c r="C7" t="s">
        <v>740</v>
      </c>
      <c r="R7" s="56"/>
      <c r="S7" s="57"/>
      <c r="T7" s="57"/>
      <c r="U7" s="57"/>
      <c r="V7" s="58"/>
    </row>
    <row r="8" spans="1:22" x14ac:dyDescent="0.2">
      <c r="A8" t="s">
        <v>115</v>
      </c>
      <c r="C8" t="s">
        <v>741</v>
      </c>
      <c r="R8" s="56"/>
      <c r="S8" s="57"/>
      <c r="T8" s="57"/>
      <c r="U8" s="57"/>
      <c r="V8" s="58"/>
    </row>
    <row r="9" spans="1:22" x14ac:dyDescent="0.2">
      <c r="A9" t="s">
        <v>770</v>
      </c>
      <c r="C9" t="s">
        <v>769</v>
      </c>
      <c r="R9" s="56" t="s">
        <v>758</v>
      </c>
      <c r="S9" s="57"/>
      <c r="T9" s="57"/>
      <c r="U9" s="57"/>
      <c r="V9" s="58"/>
    </row>
    <row r="10" spans="1:22" x14ac:dyDescent="0.2">
      <c r="R10" s="56" t="s">
        <v>759</v>
      </c>
      <c r="S10" s="57"/>
      <c r="T10" s="57"/>
      <c r="U10" s="57"/>
      <c r="V10" s="58"/>
    </row>
    <row r="11" spans="1:22" x14ac:dyDescent="0.2">
      <c r="R11" s="56" t="s">
        <v>760</v>
      </c>
      <c r="S11" s="57"/>
      <c r="T11" s="57"/>
      <c r="U11" s="57"/>
      <c r="V11" s="58"/>
    </row>
    <row r="12" spans="1:22" x14ac:dyDescent="0.2">
      <c r="A12" s="205" t="s">
        <v>731</v>
      </c>
      <c r="B12" s="205"/>
      <c r="C12" s="205"/>
      <c r="D12" s="205"/>
      <c r="E12" s="205"/>
      <c r="F12" s="205"/>
      <c r="G12" s="205"/>
      <c r="H12" s="205"/>
      <c r="I12" s="205"/>
      <c r="J12" s="205"/>
      <c r="K12" s="205"/>
      <c r="L12" s="205"/>
      <c r="M12" s="205"/>
      <c r="N12" s="205"/>
      <c r="O12" s="205"/>
      <c r="R12" s="56" t="s">
        <v>501</v>
      </c>
      <c r="S12" s="57"/>
      <c r="T12" s="57"/>
      <c r="U12" s="57"/>
      <c r="V12" s="58"/>
    </row>
    <row r="13" spans="1:22" x14ac:dyDescent="0.2">
      <c r="R13" s="56" t="s">
        <v>503</v>
      </c>
      <c r="S13" s="57"/>
      <c r="T13" s="57"/>
      <c r="U13" s="57"/>
      <c r="V13" s="58"/>
    </row>
    <row r="14" spans="1:22" x14ac:dyDescent="0.2">
      <c r="A14" t="s">
        <v>113</v>
      </c>
      <c r="C14" t="s">
        <v>740</v>
      </c>
      <c r="R14" s="56" t="s">
        <v>507</v>
      </c>
      <c r="S14" s="57"/>
      <c r="T14" s="57"/>
      <c r="U14" s="57"/>
      <c r="V14" s="58"/>
    </row>
    <row r="15" spans="1:22" x14ac:dyDescent="0.2">
      <c r="A15" t="s">
        <v>736</v>
      </c>
      <c r="C15" t="s">
        <v>742</v>
      </c>
      <c r="R15" s="56" t="s">
        <v>767</v>
      </c>
      <c r="S15" s="57"/>
      <c r="T15" s="57"/>
      <c r="U15" s="57"/>
      <c r="V15" s="58"/>
    </row>
    <row r="16" spans="1:22" x14ac:dyDescent="0.2">
      <c r="R16" s="56" t="s">
        <v>761</v>
      </c>
      <c r="S16" s="57"/>
      <c r="T16" s="57"/>
      <c r="U16" s="57"/>
      <c r="V16" s="58"/>
    </row>
    <row r="17" spans="1:22" x14ac:dyDescent="0.2">
      <c r="R17" s="56" t="s">
        <v>762</v>
      </c>
      <c r="S17" s="57"/>
      <c r="T17" s="57"/>
      <c r="U17" s="57"/>
      <c r="V17" s="58"/>
    </row>
    <row r="18" spans="1:22" x14ac:dyDescent="0.2">
      <c r="R18" s="56" t="s">
        <v>763</v>
      </c>
      <c r="S18" s="57"/>
      <c r="T18" s="57"/>
      <c r="U18" s="57"/>
      <c r="V18" s="58"/>
    </row>
    <row r="19" spans="1:22" x14ac:dyDescent="0.2">
      <c r="R19" s="56" t="s">
        <v>764</v>
      </c>
      <c r="S19" s="57"/>
      <c r="T19" s="57"/>
      <c r="U19" s="57"/>
      <c r="V19" s="58"/>
    </row>
    <row r="20" spans="1:22" x14ac:dyDescent="0.2">
      <c r="R20" s="56" t="s">
        <v>765</v>
      </c>
      <c r="S20" s="57"/>
      <c r="T20" s="57"/>
      <c r="U20" s="57"/>
      <c r="V20" s="58"/>
    </row>
    <row r="21" spans="1:22" x14ac:dyDescent="0.2">
      <c r="R21" s="56" t="s">
        <v>768</v>
      </c>
      <c r="S21" s="57"/>
      <c r="T21" s="57"/>
      <c r="U21" s="57"/>
      <c r="V21" s="58"/>
    </row>
    <row r="22" spans="1:22" x14ac:dyDescent="0.2">
      <c r="A22" s="206" t="s">
        <v>732</v>
      </c>
      <c r="B22" s="206"/>
      <c r="C22" s="206"/>
      <c r="D22" s="206"/>
      <c r="E22" s="206"/>
      <c r="F22" s="206"/>
      <c r="G22" s="206"/>
      <c r="H22" s="206"/>
      <c r="I22" s="206"/>
      <c r="J22" s="206"/>
      <c r="K22" s="206"/>
      <c r="L22" s="206"/>
      <c r="M22" s="206"/>
      <c r="N22" s="206"/>
      <c r="O22" s="206"/>
      <c r="R22" s="59"/>
      <c r="S22" s="60"/>
      <c r="T22" s="60"/>
      <c r="U22" s="60"/>
      <c r="V22" s="61"/>
    </row>
    <row r="24" spans="1:22" x14ac:dyDescent="0.2">
      <c r="A24" t="s">
        <v>737</v>
      </c>
      <c r="C24" t="s">
        <v>742</v>
      </c>
    </row>
    <row r="25" spans="1:22" x14ac:dyDescent="0.2">
      <c r="A25" t="s">
        <v>738</v>
      </c>
      <c r="C25" t="s">
        <v>743</v>
      </c>
    </row>
    <row r="26" spans="1:22" x14ac:dyDescent="0.2">
      <c r="A26" t="s">
        <v>739</v>
      </c>
      <c r="C26" t="s">
        <v>743</v>
      </c>
    </row>
    <row r="32" spans="1:22" x14ac:dyDescent="0.2">
      <c r="A32" s="207" t="s">
        <v>733</v>
      </c>
      <c r="B32" s="207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</row>
    <row r="34" spans="1:15" x14ac:dyDescent="0.2">
      <c r="A34" t="s">
        <v>744</v>
      </c>
      <c r="C34" t="s">
        <v>742</v>
      </c>
    </row>
    <row r="35" spans="1:15" x14ac:dyDescent="0.2">
      <c r="A35" t="s">
        <v>745</v>
      </c>
      <c r="C35" t="s">
        <v>742</v>
      </c>
    </row>
    <row r="36" spans="1:15" x14ac:dyDescent="0.2">
      <c r="A36" t="s">
        <v>738</v>
      </c>
      <c r="C36" t="s">
        <v>743</v>
      </c>
    </row>
    <row r="37" spans="1:15" x14ac:dyDescent="0.2">
      <c r="A37" t="s">
        <v>739</v>
      </c>
      <c r="C37" t="s">
        <v>743</v>
      </c>
    </row>
    <row r="42" spans="1:15" x14ac:dyDescent="0.2">
      <c r="A42" s="208" t="s">
        <v>734</v>
      </c>
      <c r="B42" s="208"/>
      <c r="C42" s="208"/>
      <c r="D42" s="208"/>
      <c r="E42" s="208"/>
      <c r="F42" s="208"/>
      <c r="G42" s="208"/>
      <c r="H42" s="208"/>
      <c r="I42" s="208"/>
      <c r="J42" s="208"/>
      <c r="K42" s="208"/>
      <c r="L42" s="208"/>
      <c r="M42" s="208"/>
      <c r="N42" s="208"/>
      <c r="O42" s="208"/>
    </row>
    <row r="44" spans="1:15" x14ac:dyDescent="0.2">
      <c r="A44" t="s">
        <v>746</v>
      </c>
      <c r="C44" t="s">
        <v>742</v>
      </c>
    </row>
    <row r="45" spans="1:15" x14ac:dyDescent="0.2">
      <c r="A45" t="s">
        <v>747</v>
      </c>
      <c r="C45" t="s">
        <v>742</v>
      </c>
    </row>
    <row r="46" spans="1:15" x14ac:dyDescent="0.2">
      <c r="A46" t="s">
        <v>748</v>
      </c>
      <c r="C46" t="s">
        <v>743</v>
      </c>
    </row>
    <row r="47" spans="1:15" x14ac:dyDescent="0.2">
      <c r="A47" t="s">
        <v>739</v>
      </c>
      <c r="C47" t="s">
        <v>743</v>
      </c>
    </row>
    <row r="52" spans="1:15" x14ac:dyDescent="0.2">
      <c r="A52" s="204" t="s">
        <v>735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204"/>
      <c r="O52" s="204"/>
    </row>
    <row r="54" spans="1:15" x14ac:dyDescent="0.2">
      <c r="A54" t="s">
        <v>749</v>
      </c>
      <c r="C54" t="s">
        <v>742</v>
      </c>
    </row>
    <row r="55" spans="1:15" x14ac:dyDescent="0.2">
      <c r="A55" t="s">
        <v>750</v>
      </c>
      <c r="C55" t="s">
        <v>742</v>
      </c>
    </row>
  </sheetData>
  <mergeCells count="6">
    <mergeCell ref="A52:O52"/>
    <mergeCell ref="A1:O1"/>
    <mergeCell ref="A12:O12"/>
    <mergeCell ref="A22:O22"/>
    <mergeCell ref="A32:O32"/>
    <mergeCell ref="A42:O4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F0447-FEAA-DE4B-B6F4-489E40F1B706}">
  <sheetPr codeName="Sheet8">
    <tabColor rgb="FFFF0000"/>
  </sheetPr>
  <dimension ref="A1:M32"/>
  <sheetViews>
    <sheetView topLeftCell="A9" workbookViewId="0">
      <selection activeCell="A5" sqref="A5"/>
    </sheetView>
  </sheetViews>
  <sheetFormatPr baseColWidth="10" defaultRowHeight="16" x14ac:dyDescent="0.2"/>
  <cols>
    <col min="1" max="1" width="11.1640625" customWidth="1"/>
    <col min="2" max="2" width="12.5" customWidth="1"/>
    <col min="3" max="3" width="31.33203125" customWidth="1"/>
    <col min="4" max="4" width="42.5" customWidth="1"/>
    <col min="5" max="5" width="25" style="18" customWidth="1"/>
    <col min="6" max="6" width="11.5" style="18" customWidth="1"/>
    <col min="7" max="7" width="10.6640625" style="18" customWidth="1"/>
    <col min="8" max="8" width="33.1640625" style="21" customWidth="1"/>
    <col min="9" max="9" width="21.1640625" style="18" customWidth="1"/>
    <col min="10" max="10" width="11.1640625" style="18" customWidth="1"/>
    <col min="11" max="12" width="19" style="18" customWidth="1"/>
    <col min="13" max="13" width="43" customWidth="1"/>
  </cols>
  <sheetData>
    <row r="1" spans="1:13" s="179" customFormat="1" ht="44" customHeight="1" x14ac:dyDescent="0.25">
      <c r="A1" s="178" t="s">
        <v>771</v>
      </c>
      <c r="B1" s="178" t="s">
        <v>1104</v>
      </c>
      <c r="C1" s="178" t="s">
        <v>1171</v>
      </c>
      <c r="D1" s="178" t="s">
        <v>1185</v>
      </c>
      <c r="E1" s="178" t="s">
        <v>1108</v>
      </c>
      <c r="F1" s="178" t="s">
        <v>1187</v>
      </c>
      <c r="G1" s="178" t="s">
        <v>773</v>
      </c>
      <c r="H1" s="178" t="s">
        <v>1186</v>
      </c>
      <c r="I1" s="178" t="s">
        <v>1109</v>
      </c>
      <c r="J1" s="178" t="s">
        <v>1188</v>
      </c>
      <c r="K1" s="178" t="s">
        <v>981</v>
      </c>
      <c r="L1" s="178" t="s">
        <v>1110</v>
      </c>
      <c r="M1" s="178" t="s">
        <v>1172</v>
      </c>
    </row>
    <row r="2" spans="1:13" s="179" customFormat="1" ht="23" customHeight="1" x14ac:dyDescent="0.25">
      <c r="A2" s="181">
        <v>0</v>
      </c>
      <c r="B2" s="180" t="s">
        <v>1107</v>
      </c>
      <c r="C2" s="180" t="s">
        <v>44</v>
      </c>
      <c r="D2" s="180" t="s">
        <v>1189</v>
      </c>
      <c r="E2" s="180">
        <v>0</v>
      </c>
      <c r="F2" s="180">
        <v>0</v>
      </c>
      <c r="G2" s="180">
        <v>0</v>
      </c>
      <c r="H2" s="180">
        <v>0</v>
      </c>
      <c r="I2" s="180">
        <v>0</v>
      </c>
      <c r="J2" s="180">
        <v>0</v>
      </c>
      <c r="K2" s="180">
        <v>0</v>
      </c>
      <c r="L2" s="180">
        <v>0</v>
      </c>
      <c r="M2" s="180" t="s">
        <v>44</v>
      </c>
    </row>
    <row r="3" spans="1:13" ht="27" customHeight="1" x14ac:dyDescent="0.2">
      <c r="A3">
        <v>1</v>
      </c>
      <c r="B3" t="s">
        <v>1105</v>
      </c>
      <c r="C3" t="s">
        <v>1184</v>
      </c>
      <c r="D3" t="s">
        <v>982</v>
      </c>
      <c r="E3" s="18" t="s">
        <v>978</v>
      </c>
      <c r="F3" s="18" t="b">
        <v>1</v>
      </c>
      <c r="I3" s="18">
        <v>0</v>
      </c>
      <c r="J3" s="18">
        <v>0</v>
      </c>
      <c r="K3" s="18">
        <v>5</v>
      </c>
      <c r="L3" s="18" t="b">
        <v>0</v>
      </c>
      <c r="M3" t="s">
        <v>230</v>
      </c>
    </row>
    <row r="4" spans="1:13" ht="27" customHeight="1" x14ac:dyDescent="0.2">
      <c r="A4">
        <v>2</v>
      </c>
      <c r="B4" t="s">
        <v>1106</v>
      </c>
      <c r="C4" t="s">
        <v>234</v>
      </c>
      <c r="D4" t="s">
        <v>986</v>
      </c>
      <c r="E4" s="18" t="s">
        <v>987</v>
      </c>
      <c r="F4" s="18">
        <v>2275</v>
      </c>
      <c r="I4" s="18">
        <v>0</v>
      </c>
      <c r="J4" s="18">
        <v>0</v>
      </c>
      <c r="K4" s="18">
        <v>5</v>
      </c>
      <c r="L4" s="18" t="b">
        <v>0</v>
      </c>
      <c r="M4" t="s">
        <v>235</v>
      </c>
    </row>
    <row r="5" spans="1:13" ht="27" customHeight="1" x14ac:dyDescent="0.2">
      <c r="A5">
        <v>3</v>
      </c>
      <c r="B5" t="s">
        <v>1105</v>
      </c>
      <c r="C5" t="s">
        <v>977</v>
      </c>
      <c r="D5" s="21" t="s">
        <v>983</v>
      </c>
      <c r="E5" s="18" t="s">
        <v>979</v>
      </c>
      <c r="F5" s="18">
        <v>35</v>
      </c>
      <c r="I5" s="18">
        <v>0</v>
      </c>
      <c r="J5" s="18">
        <v>0</v>
      </c>
      <c r="K5" s="18">
        <v>5</v>
      </c>
      <c r="L5" s="18" t="b">
        <v>0</v>
      </c>
      <c r="M5" t="s">
        <v>980</v>
      </c>
    </row>
    <row r="6" spans="1:13" ht="27" customHeight="1" x14ac:dyDescent="0.2">
      <c r="A6">
        <v>4</v>
      </c>
      <c r="B6" t="s">
        <v>1105</v>
      </c>
      <c r="C6" t="s">
        <v>984</v>
      </c>
      <c r="D6" t="s">
        <v>997</v>
      </c>
      <c r="E6" s="18" t="s">
        <v>979</v>
      </c>
      <c r="F6" s="18">
        <v>35</v>
      </c>
      <c r="I6" s="18">
        <v>0</v>
      </c>
      <c r="J6" s="18">
        <v>0</v>
      </c>
      <c r="K6" s="18">
        <v>5</v>
      </c>
      <c r="L6" s="18" t="b">
        <v>0</v>
      </c>
    </row>
    <row r="7" spans="1:13" ht="27" customHeight="1" x14ac:dyDescent="0.2">
      <c r="A7">
        <v>5</v>
      </c>
      <c r="B7" t="s">
        <v>1105</v>
      </c>
      <c r="C7" t="s">
        <v>231</v>
      </c>
      <c r="D7" t="s">
        <v>1099</v>
      </c>
      <c r="E7" s="18" t="s">
        <v>979</v>
      </c>
      <c r="F7" s="18">
        <v>40</v>
      </c>
      <c r="I7" s="18">
        <v>0</v>
      </c>
      <c r="J7" s="18">
        <v>0</v>
      </c>
      <c r="K7" s="18">
        <v>5</v>
      </c>
      <c r="L7" s="18" t="b">
        <v>0</v>
      </c>
      <c r="M7" t="s">
        <v>232</v>
      </c>
    </row>
    <row r="8" spans="1:13" ht="27" customHeight="1" x14ac:dyDescent="0.2">
      <c r="A8">
        <v>6</v>
      </c>
      <c r="B8" t="s">
        <v>1105</v>
      </c>
      <c r="C8" t="s">
        <v>985</v>
      </c>
      <c r="D8" t="s">
        <v>1100</v>
      </c>
      <c r="E8" s="18" t="s">
        <v>979</v>
      </c>
      <c r="F8" s="18">
        <v>40</v>
      </c>
      <c r="I8" s="18">
        <v>0</v>
      </c>
      <c r="J8" s="18">
        <v>0</v>
      </c>
      <c r="K8" s="18">
        <v>5</v>
      </c>
      <c r="L8" s="18" t="b">
        <v>0</v>
      </c>
      <c r="M8" t="s">
        <v>232</v>
      </c>
    </row>
    <row r="9" spans="1:13" ht="27" customHeight="1" x14ac:dyDescent="0.2">
      <c r="A9">
        <v>7</v>
      </c>
      <c r="B9" t="s">
        <v>1105</v>
      </c>
      <c r="C9" t="s">
        <v>236</v>
      </c>
      <c r="D9" t="s">
        <v>1096</v>
      </c>
      <c r="E9" s="18" t="s">
        <v>978</v>
      </c>
      <c r="F9" s="18" t="b">
        <v>1</v>
      </c>
      <c r="I9" s="18">
        <v>0</v>
      </c>
      <c r="J9" s="18">
        <v>0</v>
      </c>
      <c r="K9" s="18">
        <v>5</v>
      </c>
      <c r="L9" s="18" t="b">
        <v>0</v>
      </c>
      <c r="M9" t="s">
        <v>237</v>
      </c>
    </row>
    <row r="10" spans="1:13" ht="43" customHeight="1" x14ac:dyDescent="0.2">
      <c r="A10">
        <v>8</v>
      </c>
      <c r="B10" t="s">
        <v>1105</v>
      </c>
      <c r="C10" t="s">
        <v>238</v>
      </c>
      <c r="D10" t="s">
        <v>1097</v>
      </c>
      <c r="E10" s="18" t="s">
        <v>978</v>
      </c>
      <c r="F10" s="18" t="b">
        <v>1</v>
      </c>
      <c r="G10" s="18" t="s">
        <v>999</v>
      </c>
      <c r="H10" s="62" t="s">
        <v>1101</v>
      </c>
      <c r="I10" s="18" t="s">
        <v>979</v>
      </c>
      <c r="J10" s="18">
        <v>2</v>
      </c>
      <c r="K10" s="18">
        <v>5</v>
      </c>
      <c r="L10" s="18" t="b">
        <v>0</v>
      </c>
      <c r="M10" t="s">
        <v>239</v>
      </c>
    </row>
    <row r="11" spans="1:13" ht="27" customHeight="1" x14ac:dyDescent="0.2">
      <c r="A11">
        <v>9</v>
      </c>
      <c r="B11" t="s">
        <v>1105</v>
      </c>
      <c r="C11" t="s">
        <v>240</v>
      </c>
      <c r="D11" t="s">
        <v>1098</v>
      </c>
      <c r="E11" s="18" t="s">
        <v>978</v>
      </c>
      <c r="F11" s="18" t="b">
        <v>1</v>
      </c>
      <c r="G11" s="18" t="s">
        <v>999</v>
      </c>
      <c r="H11" s="21" t="s">
        <v>988</v>
      </c>
      <c r="I11" s="18" t="s">
        <v>979</v>
      </c>
      <c r="J11" s="18">
        <v>2</v>
      </c>
      <c r="K11" s="18">
        <v>5</v>
      </c>
      <c r="L11" s="18" t="b">
        <v>0</v>
      </c>
      <c r="M11" t="s">
        <v>241</v>
      </c>
    </row>
    <row r="12" spans="1:13" ht="56" customHeight="1" x14ac:dyDescent="0.2">
      <c r="A12">
        <v>10</v>
      </c>
      <c r="B12" t="s">
        <v>1106</v>
      </c>
      <c r="C12" t="s">
        <v>1173</v>
      </c>
      <c r="D12" s="21" t="s">
        <v>998</v>
      </c>
      <c r="E12" s="18" t="s">
        <v>978</v>
      </c>
      <c r="F12" s="18" t="b">
        <v>1</v>
      </c>
      <c r="G12" s="18" t="s">
        <v>999</v>
      </c>
      <c r="H12" s="21" t="s">
        <v>1102</v>
      </c>
      <c r="I12" s="18" t="s">
        <v>978</v>
      </c>
      <c r="J12" s="18" t="b">
        <v>0</v>
      </c>
      <c r="K12" s="18">
        <v>5</v>
      </c>
      <c r="L12" s="18" t="b">
        <v>0</v>
      </c>
      <c r="M12" t="s">
        <v>233</v>
      </c>
    </row>
    <row r="13" spans="1:13" ht="56" customHeight="1" x14ac:dyDescent="0.2">
      <c r="A13">
        <v>11</v>
      </c>
      <c r="B13" t="s">
        <v>1106</v>
      </c>
      <c r="C13" t="s">
        <v>1174</v>
      </c>
      <c r="D13" s="21" t="s">
        <v>998</v>
      </c>
      <c r="E13" s="18" t="s">
        <v>978</v>
      </c>
      <c r="F13" s="18" t="b">
        <v>1</v>
      </c>
      <c r="G13" s="18" t="s">
        <v>999</v>
      </c>
      <c r="H13" s="21" t="s">
        <v>1103</v>
      </c>
      <c r="I13" s="18" t="s">
        <v>978</v>
      </c>
      <c r="J13" s="18" t="b">
        <v>0</v>
      </c>
      <c r="K13" s="18">
        <v>5</v>
      </c>
      <c r="L13" s="18" t="b">
        <v>0</v>
      </c>
      <c r="M13" t="s">
        <v>233</v>
      </c>
    </row>
    <row r="14" spans="1:13" ht="56" customHeight="1" x14ac:dyDescent="0.2">
      <c r="A14">
        <v>12</v>
      </c>
      <c r="B14" t="s">
        <v>1106</v>
      </c>
      <c r="C14" t="s">
        <v>1175</v>
      </c>
      <c r="D14" s="21" t="s">
        <v>1098</v>
      </c>
      <c r="E14" s="18" t="s">
        <v>978</v>
      </c>
      <c r="F14" s="18" t="b">
        <v>1</v>
      </c>
      <c r="G14" s="18" t="s">
        <v>999</v>
      </c>
      <c r="H14" s="21" t="s">
        <v>988</v>
      </c>
      <c r="I14" s="18" t="s">
        <v>979</v>
      </c>
      <c r="J14" s="18">
        <v>2</v>
      </c>
      <c r="K14" s="18">
        <v>5</v>
      </c>
      <c r="L14" s="18" t="b">
        <v>0</v>
      </c>
      <c r="M14" t="s">
        <v>989</v>
      </c>
    </row>
    <row r="15" spans="1:13" ht="27" customHeight="1" x14ac:dyDescent="0.2">
      <c r="A15">
        <v>13</v>
      </c>
      <c r="B15" t="s">
        <v>1106</v>
      </c>
      <c r="C15" t="s">
        <v>1176</v>
      </c>
      <c r="D15" t="s">
        <v>990</v>
      </c>
      <c r="E15" s="18" t="s">
        <v>987</v>
      </c>
      <c r="F15" s="18">
        <v>25</v>
      </c>
      <c r="I15" s="18">
        <v>0</v>
      </c>
      <c r="J15" s="18">
        <v>0</v>
      </c>
      <c r="K15" s="18">
        <v>5</v>
      </c>
      <c r="L15" s="18" t="b">
        <v>0</v>
      </c>
      <c r="M15" t="s">
        <v>992</v>
      </c>
    </row>
    <row r="16" spans="1:13" ht="27" customHeight="1" x14ac:dyDescent="0.2">
      <c r="A16">
        <v>14</v>
      </c>
      <c r="B16" t="s">
        <v>1107</v>
      </c>
      <c r="C16" t="s">
        <v>1177</v>
      </c>
      <c r="D16" t="s">
        <v>991</v>
      </c>
      <c r="E16" s="18" t="s">
        <v>987</v>
      </c>
      <c r="F16" s="18">
        <v>15</v>
      </c>
      <c r="I16" s="18">
        <v>0</v>
      </c>
      <c r="J16" s="18">
        <v>0</v>
      </c>
      <c r="K16" s="18">
        <v>5</v>
      </c>
      <c r="L16" s="18" t="b">
        <v>0</v>
      </c>
      <c r="M16" t="s">
        <v>993</v>
      </c>
    </row>
    <row r="17" spans="1:13" ht="27" customHeight="1" x14ac:dyDescent="0.2">
      <c r="A17">
        <v>15</v>
      </c>
      <c r="B17" t="s">
        <v>1106</v>
      </c>
      <c r="C17" t="s">
        <v>1178</v>
      </c>
      <c r="D17" t="s">
        <v>994</v>
      </c>
      <c r="E17" s="18" t="s">
        <v>987</v>
      </c>
      <c r="F17" s="18">
        <v>25</v>
      </c>
      <c r="I17" s="18">
        <v>0</v>
      </c>
      <c r="J17" s="18">
        <v>0</v>
      </c>
      <c r="K17" s="18">
        <v>5</v>
      </c>
      <c r="L17" s="18" t="b">
        <v>0</v>
      </c>
      <c r="M17" t="s">
        <v>992</v>
      </c>
    </row>
    <row r="18" spans="1:13" ht="27" customHeight="1" x14ac:dyDescent="0.2">
      <c r="A18">
        <v>16</v>
      </c>
      <c r="B18" t="s">
        <v>1107</v>
      </c>
      <c r="C18" t="s">
        <v>1179</v>
      </c>
      <c r="D18" t="s">
        <v>991</v>
      </c>
      <c r="E18" s="18" t="s">
        <v>987</v>
      </c>
      <c r="F18" s="18">
        <v>15</v>
      </c>
      <c r="I18" s="18">
        <v>0</v>
      </c>
      <c r="J18" s="18">
        <v>0</v>
      </c>
      <c r="K18" s="18">
        <v>5</v>
      </c>
      <c r="L18" s="18" t="b">
        <v>0</v>
      </c>
      <c r="M18" t="s">
        <v>993</v>
      </c>
    </row>
    <row r="19" spans="1:13" ht="27" customHeight="1" x14ac:dyDescent="0.2">
      <c r="A19">
        <v>17</v>
      </c>
      <c r="B19" t="s">
        <v>1106</v>
      </c>
      <c r="C19" t="s">
        <v>1180</v>
      </c>
      <c r="D19" t="s">
        <v>995</v>
      </c>
      <c r="E19" s="18" t="s">
        <v>987</v>
      </c>
      <c r="F19" s="18">
        <v>300</v>
      </c>
      <c r="I19" s="18">
        <v>0</v>
      </c>
      <c r="J19" s="18">
        <v>0</v>
      </c>
      <c r="K19" s="18">
        <v>5</v>
      </c>
      <c r="L19" s="18" t="b">
        <v>0</v>
      </c>
      <c r="M19" t="s">
        <v>992</v>
      </c>
    </row>
    <row r="20" spans="1:13" ht="27" customHeight="1" x14ac:dyDescent="0.2">
      <c r="A20">
        <v>18</v>
      </c>
      <c r="B20" t="s">
        <v>1107</v>
      </c>
      <c r="C20" t="s">
        <v>1181</v>
      </c>
      <c r="D20" t="s">
        <v>991</v>
      </c>
      <c r="E20" s="18" t="s">
        <v>987</v>
      </c>
      <c r="F20" s="18">
        <v>5</v>
      </c>
      <c r="I20" s="18">
        <v>0</v>
      </c>
      <c r="J20" s="18">
        <v>0</v>
      </c>
      <c r="K20" s="18">
        <v>5</v>
      </c>
      <c r="L20" s="18" t="b">
        <v>0</v>
      </c>
      <c r="M20" t="s">
        <v>993</v>
      </c>
    </row>
    <row r="21" spans="1:13" ht="27" customHeight="1" x14ac:dyDescent="0.2">
      <c r="A21">
        <v>19</v>
      </c>
      <c r="B21" t="s">
        <v>1106</v>
      </c>
      <c r="C21" t="s">
        <v>1182</v>
      </c>
      <c r="D21" t="s">
        <v>996</v>
      </c>
      <c r="E21" s="18" t="s">
        <v>987</v>
      </c>
      <c r="F21" s="18">
        <v>300</v>
      </c>
      <c r="I21" s="18">
        <v>0</v>
      </c>
      <c r="J21" s="18">
        <v>0</v>
      </c>
      <c r="K21" s="18">
        <v>5</v>
      </c>
      <c r="L21" s="18" t="b">
        <v>0</v>
      </c>
      <c r="M21" t="s">
        <v>992</v>
      </c>
    </row>
    <row r="22" spans="1:13" ht="27" customHeight="1" x14ac:dyDescent="0.2">
      <c r="A22">
        <v>20</v>
      </c>
      <c r="B22" t="s">
        <v>1107</v>
      </c>
      <c r="C22" t="s">
        <v>1183</v>
      </c>
      <c r="D22" t="s">
        <v>991</v>
      </c>
      <c r="E22" s="18" t="s">
        <v>987</v>
      </c>
      <c r="F22" s="18">
        <v>20</v>
      </c>
      <c r="I22" s="18">
        <v>0</v>
      </c>
      <c r="J22" s="18">
        <v>0</v>
      </c>
      <c r="K22" s="18">
        <v>5</v>
      </c>
      <c r="L22" s="18" t="b">
        <v>0</v>
      </c>
      <c r="M22" t="s">
        <v>993</v>
      </c>
    </row>
    <row r="23" spans="1:13" ht="27" customHeight="1" x14ac:dyDescent="0.2"/>
    <row r="24" spans="1:13" ht="27" customHeight="1" x14ac:dyDescent="0.2"/>
    <row r="25" spans="1:13" ht="27" customHeight="1" x14ac:dyDescent="0.2"/>
    <row r="26" spans="1:13" ht="27" customHeight="1" x14ac:dyDescent="0.2"/>
    <row r="27" spans="1:13" ht="27" customHeight="1" x14ac:dyDescent="0.2"/>
    <row r="28" spans="1:13" ht="27" customHeight="1" x14ac:dyDescent="0.2"/>
    <row r="29" spans="1:13" ht="27" customHeight="1" x14ac:dyDescent="0.2"/>
    <row r="30" spans="1:13" ht="27" customHeight="1" x14ac:dyDescent="0.2"/>
    <row r="31" spans="1:13" ht="27" customHeight="1" x14ac:dyDescent="0.2"/>
    <row r="32" spans="1:13" ht="20" customHeight="1" x14ac:dyDescent="0.2"/>
  </sheetData>
  <phoneticPr fontId="2" type="noConversion"/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30EF6-CC67-FC4F-BD53-EEEF0DC38F92}">
  <sheetPr codeName="Sheet9">
    <tabColor theme="7" tint="0.39997558519241921"/>
  </sheetPr>
  <dimension ref="A1:AY33"/>
  <sheetViews>
    <sheetView zoomScaleNormal="100" workbookViewId="0">
      <selection activeCell="B10" sqref="B10:L16"/>
    </sheetView>
  </sheetViews>
  <sheetFormatPr baseColWidth="10" defaultRowHeight="16" x14ac:dyDescent="0.2"/>
  <cols>
    <col min="1" max="1" width="2.1640625" customWidth="1"/>
    <col min="2" max="6" width="12.83203125" customWidth="1"/>
    <col min="7" max="7" width="2.1640625" customWidth="1"/>
    <col min="14" max="15" width="7.33203125" customWidth="1"/>
    <col min="21" max="23" width="8.1640625" customWidth="1"/>
    <col min="29" max="29" width="2.33203125" customWidth="1"/>
    <col min="50" max="50" width="9.83203125" customWidth="1"/>
    <col min="51" max="51" width="1.83203125" customWidth="1"/>
  </cols>
  <sheetData>
    <row r="1" spans="2:10" ht="19" x14ac:dyDescent="0.25">
      <c r="B1" s="17" t="s">
        <v>352</v>
      </c>
    </row>
    <row r="2" spans="2:10" x14ac:dyDescent="0.2">
      <c r="B2" t="s">
        <v>242</v>
      </c>
      <c r="C2" t="s">
        <v>243</v>
      </c>
      <c r="D2" t="s">
        <v>244</v>
      </c>
    </row>
    <row r="3" spans="2:10" x14ac:dyDescent="0.2">
      <c r="B3" t="s">
        <v>245</v>
      </c>
      <c r="C3" t="s">
        <v>353</v>
      </c>
      <c r="D3" t="s">
        <v>246</v>
      </c>
    </row>
    <row r="7" spans="2:10" x14ac:dyDescent="0.2">
      <c r="B7" t="s">
        <v>258</v>
      </c>
      <c r="C7">
        <v>0</v>
      </c>
      <c r="D7" t="s">
        <v>259</v>
      </c>
    </row>
    <row r="8" spans="2:10" x14ac:dyDescent="0.2">
      <c r="C8" t="s">
        <v>260</v>
      </c>
      <c r="D8" t="s">
        <v>261</v>
      </c>
    </row>
    <row r="10" spans="2:10" x14ac:dyDescent="0.2">
      <c r="B10" t="s">
        <v>247</v>
      </c>
    </row>
    <row r="12" spans="2:10" x14ac:dyDescent="0.2">
      <c r="B12" t="s">
        <v>248</v>
      </c>
      <c r="C12" t="s">
        <v>249</v>
      </c>
      <c r="D12" s="210" t="s">
        <v>349</v>
      </c>
      <c r="E12" s="210"/>
      <c r="F12" t="s">
        <v>251</v>
      </c>
      <c r="H12" t="s">
        <v>250</v>
      </c>
    </row>
    <row r="13" spans="2:10" x14ac:dyDescent="0.2">
      <c r="B13" t="s">
        <v>252</v>
      </c>
      <c r="C13" t="s">
        <v>253</v>
      </c>
      <c r="D13" s="210" t="s">
        <v>349</v>
      </c>
      <c r="E13" s="210"/>
    </row>
    <row r="14" spans="2:10" x14ac:dyDescent="0.2">
      <c r="B14" t="s">
        <v>254</v>
      </c>
      <c r="C14" t="s">
        <v>255</v>
      </c>
      <c r="D14" s="210" t="s">
        <v>349</v>
      </c>
      <c r="E14" s="210"/>
      <c r="F14" t="s">
        <v>251</v>
      </c>
      <c r="H14" t="s">
        <v>250</v>
      </c>
      <c r="I14" t="s">
        <v>354</v>
      </c>
    </row>
    <row r="15" spans="2:10" x14ac:dyDescent="0.2">
      <c r="B15" t="s">
        <v>256</v>
      </c>
      <c r="C15" t="s">
        <v>257</v>
      </c>
      <c r="D15" s="210" t="s">
        <v>349</v>
      </c>
      <c r="E15" s="210"/>
      <c r="F15" t="s">
        <v>251</v>
      </c>
      <c r="H15" t="s">
        <v>250</v>
      </c>
    </row>
    <row r="16" spans="2:10" x14ac:dyDescent="0.2">
      <c r="B16" t="s">
        <v>343</v>
      </c>
      <c r="C16" t="s">
        <v>351</v>
      </c>
      <c r="D16" s="210" t="s">
        <v>351</v>
      </c>
      <c r="E16" s="210"/>
      <c r="F16" t="s">
        <v>251</v>
      </c>
      <c r="H16" t="s">
        <v>250</v>
      </c>
      <c r="J16" t="s">
        <v>350</v>
      </c>
    </row>
    <row r="19" spans="1:51" ht="22" customHeight="1" x14ac:dyDescent="0.2"/>
    <row r="20" spans="1:51" x14ac:dyDescent="0.2">
      <c r="A20" s="13"/>
      <c r="B20" s="209" t="s">
        <v>262</v>
      </c>
      <c r="C20" s="209"/>
      <c r="D20" s="209"/>
      <c r="E20" s="209"/>
      <c r="F20" s="209"/>
      <c r="G20" s="13"/>
      <c r="H20" s="209" t="s">
        <v>263</v>
      </c>
      <c r="I20" s="209"/>
      <c r="J20" s="209"/>
      <c r="K20" s="209"/>
      <c r="L20" s="209"/>
      <c r="M20" s="209"/>
      <c r="N20" s="209"/>
      <c r="O20" s="209"/>
      <c r="P20" s="209"/>
      <c r="Q20" s="209"/>
      <c r="R20" s="209"/>
      <c r="S20" s="209"/>
      <c r="T20" s="209"/>
      <c r="U20" s="209"/>
      <c r="V20" s="209"/>
      <c r="W20" s="209"/>
      <c r="X20" s="209"/>
      <c r="Y20" s="209"/>
      <c r="Z20" s="209"/>
      <c r="AA20" s="209"/>
      <c r="AB20" s="209"/>
      <c r="AC20" s="13"/>
      <c r="AD20" s="209" t="s">
        <v>264</v>
      </c>
      <c r="AE20" s="209"/>
      <c r="AF20" s="209"/>
      <c r="AG20" s="209"/>
      <c r="AH20" s="209"/>
      <c r="AI20" s="209"/>
      <c r="AJ20" s="209"/>
      <c r="AK20" s="209"/>
      <c r="AL20" s="209"/>
      <c r="AM20" s="209"/>
      <c r="AN20" s="209"/>
      <c r="AO20" s="209"/>
      <c r="AP20" s="209"/>
      <c r="AQ20" s="209"/>
      <c r="AR20" s="209"/>
      <c r="AS20" s="209"/>
      <c r="AT20" s="209"/>
      <c r="AU20" s="209"/>
      <c r="AV20" s="209"/>
      <c r="AW20" s="209"/>
      <c r="AX20" s="209"/>
      <c r="AY20" s="13"/>
    </row>
    <row r="21" spans="1:51" s="16" customFormat="1" ht="97" customHeight="1" x14ac:dyDescent="0.2">
      <c r="A21" s="14"/>
      <c r="B21" s="15" t="s">
        <v>109</v>
      </c>
      <c r="C21" s="15" t="s">
        <v>108</v>
      </c>
      <c r="D21" s="15" t="s">
        <v>110</v>
      </c>
      <c r="E21" s="15" t="s">
        <v>197</v>
      </c>
      <c r="F21" s="15" t="s">
        <v>198</v>
      </c>
      <c r="G21" s="14"/>
      <c r="H21" s="15" t="s">
        <v>3</v>
      </c>
      <c r="I21" s="15" t="s">
        <v>4</v>
      </c>
      <c r="J21" s="15" t="s">
        <v>5</v>
      </c>
      <c r="K21" s="15" t="s">
        <v>6</v>
      </c>
      <c r="L21" s="15" t="s">
        <v>199</v>
      </c>
      <c r="M21" s="15" t="s">
        <v>7</v>
      </c>
      <c r="N21" s="15" t="s">
        <v>8</v>
      </c>
      <c r="O21" s="15" t="s">
        <v>8</v>
      </c>
      <c r="P21" s="15" t="s">
        <v>200</v>
      </c>
      <c r="Q21" s="15" t="s">
        <v>9</v>
      </c>
      <c r="R21" s="15" t="s">
        <v>10</v>
      </c>
      <c r="S21" s="15" t="s">
        <v>11</v>
      </c>
      <c r="T21" s="15" t="s">
        <v>12</v>
      </c>
      <c r="U21" s="15" t="s">
        <v>13</v>
      </c>
      <c r="V21" s="15" t="s">
        <v>13</v>
      </c>
      <c r="W21" s="15" t="s">
        <v>13</v>
      </c>
      <c r="X21" s="15" t="s">
        <v>14</v>
      </c>
      <c r="Y21" s="15" t="s">
        <v>15</v>
      </c>
      <c r="Z21" s="15" t="s">
        <v>16</v>
      </c>
      <c r="AA21" s="15" t="s">
        <v>17</v>
      </c>
      <c r="AB21" s="15" t="s">
        <v>18</v>
      </c>
      <c r="AC21" s="14"/>
      <c r="AD21" s="15" t="s">
        <v>109</v>
      </c>
      <c r="AE21" s="15" t="s">
        <v>108</v>
      </c>
      <c r="AF21" s="15" t="s">
        <v>110</v>
      </c>
      <c r="AG21" s="15" t="s">
        <v>111</v>
      </c>
      <c r="AH21" s="15" t="s">
        <v>8</v>
      </c>
      <c r="AI21" s="15" t="s">
        <v>8</v>
      </c>
      <c r="AJ21" s="15" t="s">
        <v>8</v>
      </c>
      <c r="AK21" s="15" t="s">
        <v>8</v>
      </c>
      <c r="AL21" s="15" t="s">
        <v>8</v>
      </c>
      <c r="AM21" s="15" t="s">
        <v>8</v>
      </c>
      <c r="AN21" s="15" t="s">
        <v>8</v>
      </c>
      <c r="AO21" s="15" t="s">
        <v>8</v>
      </c>
      <c r="AP21" s="15" t="s">
        <v>12</v>
      </c>
      <c r="AQ21" s="15" t="s">
        <v>8</v>
      </c>
      <c r="AR21" s="15" t="s">
        <v>8</v>
      </c>
      <c r="AS21" s="15" t="s">
        <v>8</v>
      </c>
      <c r="AT21" s="15" t="s">
        <v>8</v>
      </c>
      <c r="AU21" s="15" t="s">
        <v>120</v>
      </c>
      <c r="AV21" s="15" t="s">
        <v>121</v>
      </c>
      <c r="AW21" s="15" t="s">
        <v>8</v>
      </c>
      <c r="AX21" s="15" t="s">
        <v>18</v>
      </c>
      <c r="AY21" s="14"/>
    </row>
    <row r="22" spans="1:51" s="21" customFormat="1" ht="45" customHeight="1" x14ac:dyDescent="0.2">
      <c r="A22" s="22"/>
      <c r="B22" s="23" t="s">
        <v>326</v>
      </c>
      <c r="C22" s="23" t="s">
        <v>327</v>
      </c>
      <c r="D22" s="23" t="s">
        <v>328</v>
      </c>
      <c r="E22" s="23" t="s">
        <v>340</v>
      </c>
      <c r="F22" s="23" t="s">
        <v>341</v>
      </c>
      <c r="G22" s="22"/>
      <c r="H22" s="21" t="s">
        <v>306</v>
      </c>
      <c r="I22" s="21" t="s">
        <v>307</v>
      </c>
      <c r="J22" s="21" t="s">
        <v>308</v>
      </c>
      <c r="K22" s="21" t="s">
        <v>309</v>
      </c>
      <c r="L22" s="21" t="s">
        <v>315</v>
      </c>
      <c r="M22" s="21" t="s">
        <v>314</v>
      </c>
      <c r="N22" s="21" t="s">
        <v>296</v>
      </c>
      <c r="O22" s="21" t="s">
        <v>297</v>
      </c>
      <c r="P22" s="21" t="s">
        <v>310</v>
      </c>
      <c r="Q22" s="21" t="s">
        <v>311</v>
      </c>
      <c r="R22" s="21" t="s">
        <v>312</v>
      </c>
      <c r="S22" s="21" t="s">
        <v>313</v>
      </c>
      <c r="T22" s="21" t="s">
        <v>316</v>
      </c>
      <c r="U22" s="21" t="s">
        <v>317</v>
      </c>
      <c r="V22" s="21" t="s">
        <v>318</v>
      </c>
      <c r="W22" s="21" t="s">
        <v>319</v>
      </c>
      <c r="X22" s="21" t="s">
        <v>320</v>
      </c>
      <c r="Y22" s="21" t="s">
        <v>321</v>
      </c>
      <c r="Z22" s="21" t="s">
        <v>322</v>
      </c>
      <c r="AA22" s="21" t="s">
        <v>323</v>
      </c>
      <c r="AB22" s="21" t="s">
        <v>324</v>
      </c>
      <c r="AC22" s="22"/>
      <c r="AD22" s="23" t="s">
        <v>326</v>
      </c>
      <c r="AE22" s="23" t="s">
        <v>327</v>
      </c>
      <c r="AF22" s="23" t="s">
        <v>328</v>
      </c>
      <c r="AG22" s="23" t="s">
        <v>329</v>
      </c>
      <c r="AH22" s="23" t="s">
        <v>296</v>
      </c>
      <c r="AI22" s="23" t="s">
        <v>297</v>
      </c>
      <c r="AJ22" s="23" t="s">
        <v>317</v>
      </c>
      <c r="AK22" s="23" t="s">
        <v>318</v>
      </c>
      <c r="AL22" s="23" t="s">
        <v>319</v>
      </c>
      <c r="AM22" s="23" t="s">
        <v>332</v>
      </c>
      <c r="AN22" s="23" t="s">
        <v>333</v>
      </c>
      <c r="AO22" s="23" t="s">
        <v>334</v>
      </c>
      <c r="AP22" s="23" t="s">
        <v>290</v>
      </c>
      <c r="AQ22" s="23" t="s">
        <v>335</v>
      </c>
      <c r="AR22" s="23" t="s">
        <v>336</v>
      </c>
      <c r="AS22" s="23" t="s">
        <v>337</v>
      </c>
      <c r="AT22" s="23" t="s">
        <v>338</v>
      </c>
      <c r="AU22" s="23" t="s">
        <v>330</v>
      </c>
      <c r="AV22" s="23" t="s">
        <v>331</v>
      </c>
      <c r="AW22" s="23" t="s">
        <v>339</v>
      </c>
      <c r="AX22" s="23" t="s">
        <v>289</v>
      </c>
      <c r="AY22" s="22"/>
    </row>
    <row r="30" spans="1:51" x14ac:dyDescent="0.2">
      <c r="B30" t="s">
        <v>265</v>
      </c>
    </row>
    <row r="31" spans="1:51" x14ac:dyDescent="0.2">
      <c r="C31" s="18" t="s">
        <v>248</v>
      </c>
      <c r="D31" s="24" t="s">
        <v>341</v>
      </c>
      <c r="E31" s="18" t="s">
        <v>342</v>
      </c>
      <c r="F31" s="18">
        <v>1</v>
      </c>
      <c r="G31" s="18">
        <v>5</v>
      </c>
    </row>
    <row r="32" spans="1:51" x14ac:dyDescent="0.2">
      <c r="C32" s="18" t="s">
        <v>254</v>
      </c>
      <c r="D32" s="24" t="s">
        <v>291</v>
      </c>
      <c r="E32" s="18" t="s">
        <v>343</v>
      </c>
      <c r="F32" s="18">
        <v>1</v>
      </c>
      <c r="G32" s="18"/>
    </row>
    <row r="33" spans="3:7" x14ac:dyDescent="0.2">
      <c r="C33" s="18"/>
      <c r="D33" s="18"/>
      <c r="E33" s="18"/>
      <c r="F33" s="18"/>
      <c r="G33" s="18"/>
    </row>
  </sheetData>
  <mergeCells count="8">
    <mergeCell ref="B20:F20"/>
    <mergeCell ref="H20:AB20"/>
    <mergeCell ref="AD20:AX20"/>
    <mergeCell ref="D12:E12"/>
    <mergeCell ref="D13:E13"/>
    <mergeCell ref="D14:E14"/>
    <mergeCell ref="D15:E15"/>
    <mergeCell ref="D16:E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771D5-F530-CA40-9B7F-ABED69F80906}">
  <sheetPr codeName="Sheet10">
    <tabColor rgb="FF00B0F0"/>
  </sheetPr>
  <dimension ref="O5:Q18"/>
  <sheetViews>
    <sheetView topLeftCell="J10" zoomScale="185" zoomScaleNormal="185" workbookViewId="0">
      <selection activeCell="O27" sqref="O27"/>
    </sheetView>
  </sheetViews>
  <sheetFormatPr baseColWidth="10" defaultRowHeight="16" x14ac:dyDescent="0.2"/>
  <sheetData>
    <row r="5" spans="15:17" x14ac:dyDescent="0.2">
      <c r="O5" t="s">
        <v>721</v>
      </c>
      <c r="P5">
        <v>72.5</v>
      </c>
    </row>
    <row r="6" spans="15:17" x14ac:dyDescent="0.2">
      <c r="O6">
        <v>226</v>
      </c>
      <c r="P6">
        <v>38.5</v>
      </c>
    </row>
    <row r="8" spans="15:17" x14ac:dyDescent="0.2">
      <c r="O8" t="s">
        <v>727</v>
      </c>
      <c r="P8">
        <f t="shared" ref="P8:P9" si="0">HEX2DEC(O8)</f>
        <v>1023</v>
      </c>
    </row>
    <row r="9" spans="15:17" x14ac:dyDescent="0.2">
      <c r="P9">
        <f t="shared" si="0"/>
        <v>0</v>
      </c>
    </row>
    <row r="10" spans="15:17" x14ac:dyDescent="0.2">
      <c r="O10" t="s">
        <v>726</v>
      </c>
      <c r="P10">
        <f>HEX2DEC(O10)</f>
        <v>845</v>
      </c>
      <c r="Q10">
        <v>97</v>
      </c>
    </row>
    <row r="11" spans="15:17" x14ac:dyDescent="0.2">
      <c r="O11" t="s">
        <v>490</v>
      </c>
      <c r="P11">
        <f>HEX2DEC(O11)</f>
        <v>766</v>
      </c>
      <c r="Q11">
        <v>95.3</v>
      </c>
    </row>
    <row r="12" spans="15:17" x14ac:dyDescent="0.2">
      <c r="O12" t="s">
        <v>722</v>
      </c>
      <c r="P12">
        <f t="shared" ref="P12:P18" si="1">HEX2DEC(O12)</f>
        <v>720</v>
      </c>
      <c r="Q12">
        <v>87.3</v>
      </c>
    </row>
    <row r="13" spans="15:17" x14ac:dyDescent="0.2">
      <c r="O13">
        <v>225</v>
      </c>
      <c r="P13">
        <f t="shared" si="1"/>
        <v>549</v>
      </c>
      <c r="Q13">
        <v>63.4</v>
      </c>
    </row>
    <row r="14" spans="15:17" x14ac:dyDescent="0.2">
      <c r="O14" t="s">
        <v>723</v>
      </c>
      <c r="P14">
        <f t="shared" si="1"/>
        <v>457</v>
      </c>
      <c r="Q14">
        <v>50.8</v>
      </c>
    </row>
    <row r="15" spans="15:17" x14ac:dyDescent="0.2">
      <c r="O15">
        <v>170</v>
      </c>
      <c r="P15">
        <f t="shared" si="1"/>
        <v>368</v>
      </c>
      <c r="Q15">
        <v>40.299999999999997</v>
      </c>
    </row>
    <row r="16" spans="15:17" x14ac:dyDescent="0.2">
      <c r="O16">
        <v>152</v>
      </c>
      <c r="P16">
        <f t="shared" si="1"/>
        <v>338</v>
      </c>
      <c r="Q16">
        <v>35</v>
      </c>
    </row>
    <row r="17" spans="15:17" x14ac:dyDescent="0.2">
      <c r="O17" t="s">
        <v>724</v>
      </c>
      <c r="P17">
        <f t="shared" si="1"/>
        <v>232</v>
      </c>
      <c r="Q17">
        <v>19</v>
      </c>
    </row>
    <row r="18" spans="15:17" x14ac:dyDescent="0.2">
      <c r="O18" t="s">
        <v>725</v>
      </c>
      <c r="P18">
        <f t="shared" si="1"/>
        <v>163</v>
      </c>
      <c r="Q18">
        <v>10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1C9A1-DABD-5748-A871-466FBF261D9F}">
  <sheetPr codeName="Sheet11"/>
  <dimension ref="B2:L10"/>
  <sheetViews>
    <sheetView workbookViewId="0">
      <selection activeCell="L4" sqref="L4"/>
    </sheetView>
  </sheetViews>
  <sheetFormatPr baseColWidth="10" defaultRowHeight="16" x14ac:dyDescent="0.2"/>
  <cols>
    <col min="6" max="7" width="14.83203125" hidden="1" customWidth="1"/>
    <col min="8" max="11" width="0" hidden="1" customWidth="1"/>
    <col min="12" max="12" width="12.6640625" bestFit="1" customWidth="1"/>
  </cols>
  <sheetData>
    <row r="2" spans="2:12" x14ac:dyDescent="0.2">
      <c r="B2" t="s">
        <v>446</v>
      </c>
      <c r="C2" t="s">
        <v>447</v>
      </c>
      <c r="D2" t="s">
        <v>448</v>
      </c>
      <c r="E2" t="s">
        <v>449</v>
      </c>
      <c r="F2" t="s">
        <v>450</v>
      </c>
      <c r="G2" t="s">
        <v>455</v>
      </c>
      <c r="H2" t="s">
        <v>451</v>
      </c>
      <c r="I2" t="s">
        <v>452</v>
      </c>
      <c r="J2" t="s">
        <v>456</v>
      </c>
      <c r="K2" t="s">
        <v>453</v>
      </c>
      <c r="L2" t="s">
        <v>454</v>
      </c>
    </row>
    <row r="3" spans="2:12" x14ac:dyDescent="0.2">
      <c r="B3">
        <v>135</v>
      </c>
      <c r="C3">
        <f>HEX2DEC(B3)</f>
        <v>309</v>
      </c>
      <c r="D3" s="27">
        <v>3.2258064499999998E-3</v>
      </c>
      <c r="E3">
        <f>D3*C3</f>
        <v>0.99677419304999992</v>
      </c>
      <c r="F3">
        <v>76.5</v>
      </c>
      <c r="G3">
        <f>F3/12</f>
        <v>6.375</v>
      </c>
      <c r="H3">
        <v>3.1419000000000001</v>
      </c>
      <c r="I3">
        <v>4</v>
      </c>
      <c r="J3">
        <f>(I3*I3)*H3</f>
        <v>50.270400000000002</v>
      </c>
      <c r="K3">
        <f>(G3*J3)*7.048052</f>
        <v>2258.7160070376003</v>
      </c>
      <c r="L3" s="28">
        <f>K3</f>
        <v>2258.7160070376003</v>
      </c>
    </row>
    <row r="4" spans="2:12" x14ac:dyDescent="0.2">
      <c r="B4">
        <v>117</v>
      </c>
      <c r="C4">
        <f>HEX2DEC(B4)</f>
        <v>279</v>
      </c>
      <c r="D4" s="27">
        <v>3.2258064499999998E-3</v>
      </c>
      <c r="E4">
        <f>D4*C4</f>
        <v>0.89999999954999998</v>
      </c>
      <c r="F4">
        <v>66.5</v>
      </c>
      <c r="G4">
        <f>F4/12</f>
        <v>5.541666666666667</v>
      </c>
      <c r="H4">
        <v>3.1419000000000001</v>
      </c>
      <c r="I4">
        <v>4</v>
      </c>
      <c r="J4">
        <f>(I4*I4)*H4</f>
        <v>50.270400000000002</v>
      </c>
      <c r="K4">
        <f>(G4*J4)*7.048052</f>
        <v>1963.4590126536004</v>
      </c>
      <c r="L4" s="28">
        <f>K4</f>
        <v>1963.4590126536004</v>
      </c>
    </row>
    <row r="8" spans="2:12" x14ac:dyDescent="0.2">
      <c r="E8" t="s">
        <v>342</v>
      </c>
      <c r="L8" t="s">
        <v>457</v>
      </c>
    </row>
    <row r="9" spans="2:12" x14ac:dyDescent="0.2">
      <c r="E9">
        <v>0.99677419304999992</v>
      </c>
      <c r="F9">
        <v>76.5</v>
      </c>
      <c r="G9">
        <v>6.375</v>
      </c>
      <c r="H9">
        <v>3.1419000000000001</v>
      </c>
      <c r="I9">
        <v>4</v>
      </c>
      <c r="J9">
        <v>50.270400000000002</v>
      </c>
      <c r="K9">
        <v>2258.7160070376003</v>
      </c>
      <c r="L9">
        <v>2258.7160070376003</v>
      </c>
    </row>
    <row r="10" spans="2:12" x14ac:dyDescent="0.2">
      <c r="E10">
        <v>0.89999999954999998</v>
      </c>
      <c r="F10">
        <v>66.5</v>
      </c>
      <c r="G10">
        <v>5.541666666666667</v>
      </c>
      <c r="H10">
        <v>3.1419000000000001</v>
      </c>
      <c r="I10">
        <v>4</v>
      </c>
      <c r="J10">
        <v>50.270400000000002</v>
      </c>
      <c r="K10">
        <v>1963.4590126536004</v>
      </c>
      <c r="L10">
        <v>1963.4590126536004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706B-9ECB-5744-BC59-C11D58CA612E}">
  <sheetPr codeName="Sheet12"/>
  <dimension ref="A1:AC141"/>
  <sheetViews>
    <sheetView topLeftCell="A75" workbookViewId="0">
      <selection activeCell="W107" sqref="W107"/>
    </sheetView>
  </sheetViews>
  <sheetFormatPr baseColWidth="10" defaultRowHeight="16" x14ac:dyDescent="0.2"/>
  <cols>
    <col min="1" max="2" width="18.33203125" customWidth="1"/>
  </cols>
  <sheetData>
    <row r="1" spans="1:5" x14ac:dyDescent="0.2">
      <c r="A1" t="s">
        <v>460</v>
      </c>
      <c r="B1">
        <v>0.93951600000000002</v>
      </c>
    </row>
    <row r="2" spans="1:5" x14ac:dyDescent="0.2">
      <c r="A2" t="s">
        <v>458</v>
      </c>
    </row>
    <row r="3" spans="1:5" x14ac:dyDescent="0.2">
      <c r="A3" t="s">
        <v>459</v>
      </c>
    </row>
    <row r="4" spans="1:5" x14ac:dyDescent="0.2">
      <c r="A4" t="s">
        <v>460</v>
      </c>
      <c r="B4">
        <v>0.94032300000000002</v>
      </c>
      <c r="C4">
        <f>B1-B4</f>
        <v>-8.0700000000000216E-4</v>
      </c>
      <c r="E4">
        <v>0.93951600000000002</v>
      </c>
    </row>
    <row r="5" spans="1:5" x14ac:dyDescent="0.2">
      <c r="A5" t="s">
        <v>458</v>
      </c>
      <c r="E5">
        <v>0.94032300000000002</v>
      </c>
    </row>
    <row r="6" spans="1:5" x14ac:dyDescent="0.2">
      <c r="A6" t="s">
        <v>459</v>
      </c>
      <c r="E6">
        <v>0.94064499999999995</v>
      </c>
    </row>
    <row r="7" spans="1:5" x14ac:dyDescent="0.2">
      <c r="A7" t="s">
        <v>460</v>
      </c>
      <c r="B7">
        <v>0.94064499999999995</v>
      </c>
      <c r="C7">
        <f>B4-B7</f>
        <v>-3.2199999999993345E-4</v>
      </c>
      <c r="E7">
        <v>0.94128999999999996</v>
      </c>
    </row>
    <row r="8" spans="1:5" x14ac:dyDescent="0.2">
      <c r="A8" t="s">
        <v>458</v>
      </c>
      <c r="E8">
        <v>0.941774</v>
      </c>
    </row>
    <row r="9" spans="1:5" x14ac:dyDescent="0.2">
      <c r="A9" t="s">
        <v>459</v>
      </c>
      <c r="E9">
        <v>0.94225800000000004</v>
      </c>
    </row>
    <row r="10" spans="1:5" x14ac:dyDescent="0.2">
      <c r="A10" t="s">
        <v>460</v>
      </c>
      <c r="B10">
        <v>0.94128999999999996</v>
      </c>
      <c r="C10">
        <f>B7-B10</f>
        <v>-6.4500000000000668E-4</v>
      </c>
      <c r="E10">
        <v>0.942581</v>
      </c>
    </row>
    <row r="11" spans="1:5" x14ac:dyDescent="0.2">
      <c r="A11" t="s">
        <v>458</v>
      </c>
      <c r="E11">
        <v>0.94274199999999997</v>
      </c>
    </row>
    <row r="12" spans="1:5" x14ac:dyDescent="0.2">
      <c r="A12" t="s">
        <v>459</v>
      </c>
      <c r="E12">
        <v>0.94241900000000001</v>
      </c>
    </row>
    <row r="13" spans="1:5" x14ac:dyDescent="0.2">
      <c r="A13" t="s">
        <v>460</v>
      </c>
      <c r="B13">
        <v>0.941774</v>
      </c>
      <c r="C13">
        <f>B10-B13</f>
        <v>-4.8400000000003995E-4</v>
      </c>
      <c r="E13">
        <v>0.94161300000000003</v>
      </c>
    </row>
    <row r="14" spans="1:5" x14ac:dyDescent="0.2">
      <c r="A14" t="s">
        <v>458</v>
      </c>
      <c r="E14">
        <v>0.94080600000000003</v>
      </c>
    </row>
    <row r="15" spans="1:5" x14ac:dyDescent="0.2">
      <c r="A15" t="s">
        <v>459</v>
      </c>
      <c r="E15">
        <v>0.94064499999999995</v>
      </c>
    </row>
    <row r="16" spans="1:5" x14ac:dyDescent="0.2">
      <c r="A16" t="s">
        <v>460</v>
      </c>
      <c r="B16">
        <v>0.94225800000000004</v>
      </c>
      <c r="C16">
        <f>B13-B16</f>
        <v>-4.8400000000003995E-4</v>
      </c>
      <c r="E16">
        <v>0.94016100000000002</v>
      </c>
    </row>
    <row r="17" spans="1:5" x14ac:dyDescent="0.2">
      <c r="A17" t="s">
        <v>458</v>
      </c>
      <c r="E17">
        <v>0.93983899999999998</v>
      </c>
    </row>
    <row r="18" spans="1:5" x14ac:dyDescent="0.2">
      <c r="A18" t="s">
        <v>459</v>
      </c>
      <c r="E18">
        <v>0.94</v>
      </c>
    </row>
    <row r="19" spans="1:5" x14ac:dyDescent="0.2">
      <c r="A19" t="s">
        <v>460</v>
      </c>
      <c r="B19">
        <v>0.942581</v>
      </c>
      <c r="C19">
        <f>B16-B19</f>
        <v>-3.2299999999996221E-4</v>
      </c>
      <c r="E19">
        <v>0.94064499999999995</v>
      </c>
    </row>
    <row r="20" spans="1:5" x14ac:dyDescent="0.2">
      <c r="A20" t="s">
        <v>458</v>
      </c>
      <c r="E20">
        <v>0.94112899999999999</v>
      </c>
    </row>
    <row r="21" spans="1:5" x14ac:dyDescent="0.2">
      <c r="A21" t="s">
        <v>459</v>
      </c>
      <c r="E21">
        <v>0.94161300000000003</v>
      </c>
    </row>
    <row r="22" spans="1:5" x14ac:dyDescent="0.2">
      <c r="A22" t="s">
        <v>460</v>
      </c>
      <c r="B22">
        <v>0.94274199999999997</v>
      </c>
      <c r="C22">
        <f>B19-B22</f>
        <v>-1.6099999999996673E-4</v>
      </c>
      <c r="E22">
        <v>0.94257999999999997</v>
      </c>
    </row>
    <row r="23" spans="1:5" x14ac:dyDescent="0.2">
      <c r="A23" t="s">
        <v>458</v>
      </c>
      <c r="E23">
        <v>0.94306400000000001</v>
      </c>
    </row>
    <row r="24" spans="1:5" x14ac:dyDescent="0.2">
      <c r="A24" t="s">
        <v>459</v>
      </c>
      <c r="E24">
        <v>0.94322600000000001</v>
      </c>
    </row>
    <row r="25" spans="1:5" x14ac:dyDescent="0.2">
      <c r="A25" t="s">
        <v>460</v>
      </c>
      <c r="B25">
        <v>0.94241900000000001</v>
      </c>
      <c r="C25">
        <f>B22-B25</f>
        <v>3.2299999999996221E-4</v>
      </c>
      <c r="E25">
        <v>0.94306400000000001</v>
      </c>
    </row>
    <row r="26" spans="1:5" x14ac:dyDescent="0.2">
      <c r="A26" t="s">
        <v>458</v>
      </c>
      <c r="E26">
        <v>0.94338699999999998</v>
      </c>
    </row>
    <row r="27" spans="1:5" x14ac:dyDescent="0.2">
      <c r="A27" t="s">
        <v>459</v>
      </c>
      <c r="E27">
        <v>0.94338699999999998</v>
      </c>
    </row>
    <row r="28" spans="1:5" x14ac:dyDescent="0.2">
      <c r="A28" t="s">
        <v>460</v>
      </c>
      <c r="B28">
        <v>0.94161300000000003</v>
      </c>
      <c r="C28">
        <f>B25-B28</f>
        <v>8.059999999999734E-4</v>
      </c>
    </row>
    <row r="29" spans="1:5" x14ac:dyDescent="0.2">
      <c r="A29" t="s">
        <v>458</v>
      </c>
    </row>
    <row r="30" spans="1:5" x14ac:dyDescent="0.2">
      <c r="A30" t="s">
        <v>459</v>
      </c>
    </row>
    <row r="31" spans="1:5" x14ac:dyDescent="0.2">
      <c r="A31" t="s">
        <v>460</v>
      </c>
      <c r="B31">
        <v>0.94080600000000003</v>
      </c>
      <c r="C31">
        <f>B28-B31</f>
        <v>8.0700000000000216E-4</v>
      </c>
    </row>
    <row r="32" spans="1:5" x14ac:dyDescent="0.2">
      <c r="A32" t="s">
        <v>458</v>
      </c>
    </row>
    <row r="33" spans="1:3" x14ac:dyDescent="0.2">
      <c r="A33" t="s">
        <v>459</v>
      </c>
    </row>
    <row r="34" spans="1:3" x14ac:dyDescent="0.2">
      <c r="A34" t="s">
        <v>460</v>
      </c>
      <c r="B34">
        <v>0.94064499999999995</v>
      </c>
      <c r="C34">
        <f>B31-B34</f>
        <v>1.6100000000007775E-4</v>
      </c>
    </row>
    <row r="35" spans="1:3" x14ac:dyDescent="0.2">
      <c r="A35" t="s">
        <v>458</v>
      </c>
    </row>
    <row r="36" spans="1:3" x14ac:dyDescent="0.2">
      <c r="A36" t="s">
        <v>459</v>
      </c>
    </row>
    <row r="37" spans="1:3" x14ac:dyDescent="0.2">
      <c r="A37" t="s">
        <v>460</v>
      </c>
      <c r="B37">
        <v>0.94016100000000002</v>
      </c>
      <c r="C37">
        <f>B34-B37</f>
        <v>4.8399999999992893E-4</v>
      </c>
    </row>
    <row r="38" spans="1:3" x14ac:dyDescent="0.2">
      <c r="A38" t="s">
        <v>458</v>
      </c>
    </row>
    <row r="39" spans="1:3" x14ac:dyDescent="0.2">
      <c r="A39" t="s">
        <v>459</v>
      </c>
    </row>
    <row r="40" spans="1:3" x14ac:dyDescent="0.2">
      <c r="A40" t="s">
        <v>460</v>
      </c>
      <c r="B40">
        <v>0.93983899999999998</v>
      </c>
      <c r="C40">
        <f>B37-B40</f>
        <v>3.2200000000004447E-4</v>
      </c>
    </row>
    <row r="41" spans="1:3" x14ac:dyDescent="0.2">
      <c r="A41" t="s">
        <v>458</v>
      </c>
    </row>
    <row r="42" spans="1:3" x14ac:dyDescent="0.2">
      <c r="A42" t="s">
        <v>459</v>
      </c>
    </row>
    <row r="43" spans="1:3" x14ac:dyDescent="0.2">
      <c r="A43" t="s">
        <v>460</v>
      </c>
      <c r="B43">
        <v>0.94</v>
      </c>
      <c r="C43">
        <f>B40-B43</f>
        <v>-1.6099999999996673E-4</v>
      </c>
    </row>
    <row r="44" spans="1:3" x14ac:dyDescent="0.2">
      <c r="A44" t="s">
        <v>458</v>
      </c>
    </row>
    <row r="45" spans="1:3" x14ac:dyDescent="0.2">
      <c r="A45" t="s">
        <v>459</v>
      </c>
    </row>
    <row r="46" spans="1:3" x14ac:dyDescent="0.2">
      <c r="A46" t="s">
        <v>460</v>
      </c>
      <c r="B46">
        <v>0.94064499999999995</v>
      </c>
      <c r="C46">
        <f>B43-B46</f>
        <v>-6.4500000000000668E-4</v>
      </c>
    </row>
    <row r="47" spans="1:3" x14ac:dyDescent="0.2">
      <c r="A47" t="s">
        <v>458</v>
      </c>
    </row>
    <row r="48" spans="1:3" x14ac:dyDescent="0.2">
      <c r="A48" t="s">
        <v>459</v>
      </c>
    </row>
    <row r="49" spans="1:29" x14ac:dyDescent="0.2">
      <c r="A49" t="s">
        <v>460</v>
      </c>
      <c r="B49">
        <v>0.94112899999999999</v>
      </c>
      <c r="C49">
        <f>B46-B49</f>
        <v>-4.8400000000003995E-4</v>
      </c>
      <c r="AA49">
        <f>AB49*Z61</f>
        <v>0.98064516129032253</v>
      </c>
      <c r="AB49">
        <f>HEX2DEC(AC49)</f>
        <v>304</v>
      </c>
      <c r="AC49">
        <v>130</v>
      </c>
    </row>
    <row r="50" spans="1:29" x14ac:dyDescent="0.2">
      <c r="A50" t="s">
        <v>458</v>
      </c>
    </row>
    <row r="51" spans="1:29" x14ac:dyDescent="0.2">
      <c r="A51" t="s">
        <v>459</v>
      </c>
    </row>
    <row r="52" spans="1:29" x14ac:dyDescent="0.2">
      <c r="A52" t="s">
        <v>460</v>
      </c>
      <c r="B52">
        <v>0.94161300000000003</v>
      </c>
      <c r="C52">
        <f>B49-B52</f>
        <v>-4.8400000000003995E-4</v>
      </c>
      <c r="AA52">
        <v>0.98599999999999999</v>
      </c>
      <c r="AB52">
        <f>AA52/Z61</f>
        <v>305.65999999999997</v>
      </c>
      <c r="AC52" t="str">
        <f>DEC2HEX(AB52)</f>
        <v>131</v>
      </c>
    </row>
    <row r="53" spans="1:29" x14ac:dyDescent="0.2">
      <c r="A53" t="s">
        <v>458</v>
      </c>
    </row>
    <row r="54" spans="1:29" x14ac:dyDescent="0.2">
      <c r="A54" t="s">
        <v>459</v>
      </c>
    </row>
    <row r="55" spans="1:29" x14ac:dyDescent="0.2">
      <c r="A55" t="s">
        <v>460</v>
      </c>
      <c r="B55">
        <v>0.94257999999999997</v>
      </c>
      <c r="C55">
        <f>B52-B55</f>
        <v>-9.6699999999994013E-4</v>
      </c>
      <c r="AA55">
        <f>AB55*Z61</f>
        <v>0.98709677419354835</v>
      </c>
      <c r="AB55">
        <f>HEX2DEC(AC55)</f>
        <v>306</v>
      </c>
      <c r="AC55">
        <v>132</v>
      </c>
    </row>
    <row r="56" spans="1:29" x14ac:dyDescent="0.2">
      <c r="A56" t="s">
        <v>458</v>
      </c>
    </row>
    <row r="57" spans="1:29" x14ac:dyDescent="0.2">
      <c r="A57" t="s">
        <v>459</v>
      </c>
    </row>
    <row r="58" spans="1:29" x14ac:dyDescent="0.2">
      <c r="A58" t="s">
        <v>460</v>
      </c>
      <c r="B58">
        <v>0.94306400000000001</v>
      </c>
      <c r="C58">
        <f>B55-B58</f>
        <v>-4.8400000000003995E-4</v>
      </c>
      <c r="AA58">
        <f>AB58*Z61</f>
        <v>0.99032258064516132</v>
      </c>
      <c r="AB58">
        <f>HEX2DEC(AC58)</f>
        <v>307</v>
      </c>
      <c r="AC58">
        <v>133</v>
      </c>
    </row>
    <row r="59" spans="1:29" x14ac:dyDescent="0.2">
      <c r="A59" t="s">
        <v>458</v>
      </c>
    </row>
    <row r="60" spans="1:29" x14ac:dyDescent="0.2">
      <c r="A60" t="s">
        <v>459</v>
      </c>
    </row>
    <row r="61" spans="1:29" x14ac:dyDescent="0.2">
      <c r="A61" t="s">
        <v>460</v>
      </c>
      <c r="B61">
        <v>0.94322600000000001</v>
      </c>
      <c r="C61">
        <f>B58-B61</f>
        <v>-1.6199999999999548E-4</v>
      </c>
      <c r="X61">
        <v>3.3</v>
      </c>
      <c r="Y61">
        <v>1023</v>
      </c>
      <c r="Z61">
        <f>X61/Y61</f>
        <v>3.2258064516129032E-3</v>
      </c>
      <c r="AA61">
        <f>AB61*Z67</f>
        <v>0</v>
      </c>
      <c r="AB61">
        <f>HEX2DEC(AC61)</f>
        <v>308</v>
      </c>
      <c r="AC61">
        <v>134</v>
      </c>
    </row>
    <row r="62" spans="1:29" x14ac:dyDescent="0.2">
      <c r="A62" t="s">
        <v>458</v>
      </c>
    </row>
    <row r="63" spans="1:29" x14ac:dyDescent="0.2">
      <c r="A63" t="s">
        <v>459</v>
      </c>
    </row>
    <row r="64" spans="1:29" x14ac:dyDescent="0.2">
      <c r="A64" t="s">
        <v>460</v>
      </c>
      <c r="B64">
        <v>0.94306400000000001</v>
      </c>
      <c r="C64">
        <f>B61-B64</f>
        <v>1.6199999999999548E-4</v>
      </c>
    </row>
    <row r="65" spans="1:26" x14ac:dyDescent="0.2">
      <c r="A65" t="s">
        <v>458</v>
      </c>
    </row>
    <row r="66" spans="1:26" x14ac:dyDescent="0.2">
      <c r="A66" t="s">
        <v>459</v>
      </c>
    </row>
    <row r="67" spans="1:26" x14ac:dyDescent="0.2">
      <c r="A67" t="s">
        <v>460</v>
      </c>
      <c r="B67">
        <v>0.94338699999999998</v>
      </c>
      <c r="C67">
        <f>B64-B67</f>
        <v>-3.2299999999996221E-4</v>
      </c>
    </row>
    <row r="68" spans="1:26" x14ac:dyDescent="0.2">
      <c r="A68" t="s">
        <v>458</v>
      </c>
    </row>
    <row r="69" spans="1:26" x14ac:dyDescent="0.2">
      <c r="A69" t="s">
        <v>459</v>
      </c>
    </row>
    <row r="70" spans="1:26" x14ac:dyDescent="0.2">
      <c r="A70" t="s">
        <v>460</v>
      </c>
      <c r="B70">
        <v>0.94338699999999998</v>
      </c>
      <c r="C70">
        <f>B67-B70</f>
        <v>0</v>
      </c>
    </row>
    <row r="71" spans="1:26" x14ac:dyDescent="0.2">
      <c r="A71" t="s">
        <v>458</v>
      </c>
    </row>
    <row r="72" spans="1:26" x14ac:dyDescent="0.2">
      <c r="A72" t="s">
        <v>459</v>
      </c>
    </row>
    <row r="73" spans="1:26" x14ac:dyDescent="0.2">
      <c r="A73" t="s">
        <v>460</v>
      </c>
      <c r="B73">
        <v>0.94290300000000005</v>
      </c>
      <c r="C73">
        <f>B70-B73</f>
        <v>4.8399999999992893E-4</v>
      </c>
    </row>
    <row r="74" spans="1:26" x14ac:dyDescent="0.2">
      <c r="A74" t="s">
        <v>458</v>
      </c>
    </row>
    <row r="75" spans="1:26" x14ac:dyDescent="0.2">
      <c r="A75" t="s">
        <v>459</v>
      </c>
    </row>
    <row r="76" spans="1:26" x14ac:dyDescent="0.2">
      <c r="A76" t="s">
        <v>460</v>
      </c>
      <c r="B76">
        <v>0.94209699999999996</v>
      </c>
      <c r="C76">
        <f>B73-B76</f>
        <v>8.0600000000008443E-4</v>
      </c>
    </row>
    <row r="77" spans="1:26" x14ac:dyDescent="0.2">
      <c r="A77" t="s">
        <v>458</v>
      </c>
    </row>
    <row r="78" spans="1:26" x14ac:dyDescent="0.2">
      <c r="A78" t="s">
        <v>459</v>
      </c>
      <c r="W78">
        <v>2.0739999999999998</v>
      </c>
      <c r="X78">
        <v>1.95</v>
      </c>
    </row>
    <row r="79" spans="1:26" x14ac:dyDescent="0.2">
      <c r="A79" t="s">
        <v>460</v>
      </c>
      <c r="B79">
        <v>0.94145100000000004</v>
      </c>
      <c r="C79">
        <f>B76-B79</f>
        <v>6.4599999999992441E-4</v>
      </c>
      <c r="V79">
        <v>76.5</v>
      </c>
      <c r="W79">
        <f>V79/12</f>
        <v>6.375</v>
      </c>
      <c r="X79">
        <v>6</v>
      </c>
      <c r="Y79">
        <v>2.4</v>
      </c>
      <c r="Z79">
        <v>2258</v>
      </c>
    </row>
    <row r="80" spans="1:26" x14ac:dyDescent="0.2">
      <c r="A80" t="s">
        <v>458</v>
      </c>
    </row>
    <row r="81" spans="1:26" x14ac:dyDescent="0.2">
      <c r="A81" t="s">
        <v>459</v>
      </c>
    </row>
    <row r="82" spans="1:26" x14ac:dyDescent="0.2">
      <c r="A82" t="s">
        <v>460</v>
      </c>
      <c r="B82">
        <v>0.94096800000000003</v>
      </c>
      <c r="C82">
        <f>B79-B82</f>
        <v>4.830000000000112E-4</v>
      </c>
      <c r="Y82">
        <v>2.2000000000000002</v>
      </c>
      <c r="Z82">
        <v>2058</v>
      </c>
    </row>
    <row r="83" spans="1:26" x14ac:dyDescent="0.2">
      <c r="A83" t="s">
        <v>458</v>
      </c>
    </row>
    <row r="84" spans="1:26" x14ac:dyDescent="0.2">
      <c r="A84" t="s">
        <v>459</v>
      </c>
    </row>
    <row r="85" spans="1:26" x14ac:dyDescent="0.2">
      <c r="A85" t="s">
        <v>460</v>
      </c>
      <c r="B85">
        <v>0.94048399999999999</v>
      </c>
      <c r="C85">
        <f>B82-B85</f>
        <v>4.8400000000003995E-4</v>
      </c>
      <c r="Y85">
        <v>2</v>
      </c>
      <c r="Z85">
        <v>1800</v>
      </c>
    </row>
    <row r="86" spans="1:26" x14ac:dyDescent="0.2">
      <c r="A86" t="s">
        <v>458</v>
      </c>
    </row>
    <row r="87" spans="1:26" x14ac:dyDescent="0.2">
      <c r="A87" t="s">
        <v>459</v>
      </c>
    </row>
    <row r="88" spans="1:26" x14ac:dyDescent="0.2">
      <c r="A88" t="s">
        <v>460</v>
      </c>
      <c r="B88">
        <v>0.94048399999999999</v>
      </c>
      <c r="C88">
        <f>B85-B88</f>
        <v>0</v>
      </c>
      <c r="Y88">
        <v>1.8</v>
      </c>
      <c r="Z88">
        <v>1650</v>
      </c>
    </row>
    <row r="89" spans="1:26" x14ac:dyDescent="0.2">
      <c r="A89" t="s">
        <v>458</v>
      </c>
    </row>
    <row r="90" spans="1:26" x14ac:dyDescent="0.2">
      <c r="A90" t="s">
        <v>459</v>
      </c>
    </row>
    <row r="91" spans="1:26" x14ac:dyDescent="0.2">
      <c r="A91" t="s">
        <v>460</v>
      </c>
      <c r="B91">
        <v>0.94016100000000002</v>
      </c>
      <c r="C91">
        <f>B88-B91</f>
        <v>3.2299999999996221E-4</v>
      </c>
      <c r="Y91">
        <v>1.6</v>
      </c>
      <c r="Z91">
        <v>1400</v>
      </c>
    </row>
    <row r="92" spans="1:26" x14ac:dyDescent="0.2">
      <c r="A92" t="s">
        <v>458</v>
      </c>
    </row>
    <row r="93" spans="1:26" x14ac:dyDescent="0.2">
      <c r="A93" t="s">
        <v>460</v>
      </c>
      <c r="B93">
        <v>0.93983899999999998</v>
      </c>
      <c r="C93">
        <f>B90-B93</f>
        <v>-0.93983899999999998</v>
      </c>
      <c r="Y93">
        <v>1.4</v>
      </c>
      <c r="Z93">
        <v>1200</v>
      </c>
    </row>
    <row r="94" spans="1:26" x14ac:dyDescent="0.2">
      <c r="A94" t="s">
        <v>459</v>
      </c>
    </row>
    <row r="95" spans="1:26" x14ac:dyDescent="0.2">
      <c r="A95" t="s">
        <v>458</v>
      </c>
    </row>
    <row r="96" spans="1:26" x14ac:dyDescent="0.2">
      <c r="A96" t="s">
        <v>460</v>
      </c>
      <c r="B96">
        <v>0.93983899999999998</v>
      </c>
      <c r="C96">
        <f>B93-B96</f>
        <v>0</v>
      </c>
    </row>
    <row r="97" spans="1:23" x14ac:dyDescent="0.2">
      <c r="A97" t="s">
        <v>459</v>
      </c>
    </row>
    <row r="98" spans="1:23" x14ac:dyDescent="0.2">
      <c r="A98" t="s">
        <v>458</v>
      </c>
    </row>
    <row r="99" spans="1:23" x14ac:dyDescent="0.2">
      <c r="A99" t="s">
        <v>460</v>
      </c>
      <c r="B99">
        <v>0.94</v>
      </c>
    </row>
    <row r="100" spans="1:23" x14ac:dyDescent="0.2">
      <c r="A100" t="s">
        <v>459</v>
      </c>
    </row>
    <row r="101" spans="1:23" x14ac:dyDescent="0.2">
      <c r="A101" t="s">
        <v>458</v>
      </c>
    </row>
    <row r="102" spans="1:23" x14ac:dyDescent="0.2">
      <c r="A102" t="s">
        <v>460</v>
      </c>
      <c r="B102">
        <v>0.94032199999999999</v>
      </c>
      <c r="V102" t="s">
        <v>462</v>
      </c>
      <c r="W102">
        <v>0.34</v>
      </c>
    </row>
    <row r="103" spans="1:23" x14ac:dyDescent="0.2">
      <c r="A103" t="s">
        <v>459</v>
      </c>
    </row>
    <row r="104" spans="1:23" x14ac:dyDescent="0.2">
      <c r="A104" t="s">
        <v>458</v>
      </c>
    </row>
    <row r="105" spans="1:23" x14ac:dyDescent="0.2">
      <c r="A105" t="s">
        <v>460</v>
      </c>
      <c r="B105">
        <v>0.94048399999999999</v>
      </c>
      <c r="V105" t="s">
        <v>463</v>
      </c>
      <c r="W105">
        <v>9.6199999999999994E-2</v>
      </c>
    </row>
    <row r="106" spans="1:23" x14ac:dyDescent="0.2">
      <c r="A106" t="s">
        <v>459</v>
      </c>
    </row>
    <row r="107" spans="1:23" x14ac:dyDescent="0.2">
      <c r="A107" t="s">
        <v>458</v>
      </c>
    </row>
    <row r="108" spans="1:23" x14ac:dyDescent="0.2">
      <c r="A108" t="s">
        <v>460</v>
      </c>
      <c r="B108">
        <v>0.94064499999999995</v>
      </c>
    </row>
    <row r="109" spans="1:23" x14ac:dyDescent="0.2">
      <c r="A109" t="s">
        <v>459</v>
      </c>
    </row>
    <row r="110" spans="1:23" x14ac:dyDescent="0.2">
      <c r="A110" t="s">
        <v>458</v>
      </c>
    </row>
    <row r="111" spans="1:23" x14ac:dyDescent="0.2">
      <c r="A111" t="s">
        <v>460</v>
      </c>
      <c r="B111">
        <v>0.94064499999999995</v>
      </c>
      <c r="V111" s="29" t="s">
        <v>461</v>
      </c>
    </row>
    <row r="112" spans="1:23" x14ac:dyDescent="0.2">
      <c r="A112" t="s">
        <v>458</v>
      </c>
    </row>
    <row r="113" spans="1:22" x14ac:dyDescent="0.2">
      <c r="A113" t="s">
        <v>460</v>
      </c>
      <c r="B113">
        <v>0.94016100000000002</v>
      </c>
      <c r="V113">
        <f>((E4-$W$102)/$W$105)+0.1</f>
        <v>6.3319750519750517</v>
      </c>
    </row>
    <row r="114" spans="1:22" x14ac:dyDescent="0.2">
      <c r="A114" t="s">
        <v>458</v>
      </c>
      <c r="V114">
        <f t="shared" ref="V114:V121" si="0">((E5-$W$102)/$W$105)+0.1</f>
        <v>6.3403638253638244</v>
      </c>
    </row>
    <row r="115" spans="1:22" x14ac:dyDescent="0.2">
      <c r="A115" t="s">
        <v>459</v>
      </c>
      <c r="V115">
        <f t="shared" si="0"/>
        <v>6.3437110187110175</v>
      </c>
    </row>
    <row r="116" spans="1:22" x14ac:dyDescent="0.2">
      <c r="A116" t="s">
        <v>459</v>
      </c>
      <c r="V116">
        <f t="shared" si="0"/>
        <v>6.3504158004157993</v>
      </c>
    </row>
    <row r="117" spans="1:22" x14ac:dyDescent="0.2">
      <c r="A117" t="s">
        <v>460</v>
      </c>
      <c r="B117">
        <v>0.93967699999999998</v>
      </c>
      <c r="V117">
        <f t="shared" si="0"/>
        <v>6.3554469854469859</v>
      </c>
    </row>
    <row r="118" spans="1:22" x14ac:dyDescent="0.2">
      <c r="A118" t="s">
        <v>459</v>
      </c>
      <c r="V118">
        <f t="shared" si="0"/>
        <v>6.3604781704781699</v>
      </c>
    </row>
    <row r="119" spans="1:22" x14ac:dyDescent="0.2">
      <c r="A119" t="s">
        <v>458</v>
      </c>
      <c r="V119">
        <f t="shared" si="0"/>
        <v>6.3638357588357595</v>
      </c>
    </row>
    <row r="120" spans="1:22" x14ac:dyDescent="0.2">
      <c r="A120" t="s">
        <v>460</v>
      </c>
      <c r="B120">
        <v>0.93935500000000005</v>
      </c>
      <c r="V120">
        <f t="shared" si="0"/>
        <v>6.3655093555093547</v>
      </c>
    </row>
    <row r="121" spans="1:22" x14ac:dyDescent="0.2">
      <c r="A121" t="s">
        <v>459</v>
      </c>
      <c r="V121">
        <f t="shared" si="0"/>
        <v>6.3621517671517678</v>
      </c>
    </row>
    <row r="122" spans="1:22" x14ac:dyDescent="0.2">
      <c r="A122" t="s">
        <v>458</v>
      </c>
    </row>
    <row r="123" spans="1:22" x14ac:dyDescent="0.2">
      <c r="A123" t="s">
        <v>460</v>
      </c>
      <c r="B123">
        <v>0.93903199999999998</v>
      </c>
    </row>
    <row r="124" spans="1:22" x14ac:dyDescent="0.2">
      <c r="A124" t="s">
        <v>459</v>
      </c>
    </row>
    <row r="125" spans="1:22" x14ac:dyDescent="0.2">
      <c r="A125" t="s">
        <v>458</v>
      </c>
    </row>
    <row r="126" spans="1:22" x14ac:dyDescent="0.2">
      <c r="A126" t="s">
        <v>460</v>
      </c>
      <c r="B126">
        <v>0.93838699999999997</v>
      </c>
    </row>
    <row r="127" spans="1:22" x14ac:dyDescent="0.2">
      <c r="A127" t="s">
        <v>459</v>
      </c>
    </row>
    <row r="128" spans="1:22" x14ac:dyDescent="0.2">
      <c r="A128" t="s">
        <v>458</v>
      </c>
    </row>
    <row r="129" spans="1:2" x14ac:dyDescent="0.2">
      <c r="A129" t="s">
        <v>460</v>
      </c>
      <c r="B129">
        <v>0.93774199999999996</v>
      </c>
    </row>
    <row r="130" spans="1:2" x14ac:dyDescent="0.2">
      <c r="A130" t="s">
        <v>459</v>
      </c>
    </row>
    <row r="131" spans="1:2" x14ac:dyDescent="0.2">
      <c r="A131" t="s">
        <v>458</v>
      </c>
    </row>
    <row r="132" spans="1:2" x14ac:dyDescent="0.2">
      <c r="A132" t="s">
        <v>460</v>
      </c>
      <c r="B132">
        <v>0.937581</v>
      </c>
    </row>
    <row r="133" spans="1:2" x14ac:dyDescent="0.2">
      <c r="A133" t="s">
        <v>458</v>
      </c>
    </row>
    <row r="134" spans="1:2" x14ac:dyDescent="0.2">
      <c r="A134" t="s">
        <v>459</v>
      </c>
    </row>
    <row r="135" spans="1:2" x14ac:dyDescent="0.2">
      <c r="A135" t="s">
        <v>460</v>
      </c>
      <c r="B135">
        <v>0.937581</v>
      </c>
    </row>
    <row r="136" spans="1:2" x14ac:dyDescent="0.2">
      <c r="A136" t="s">
        <v>458</v>
      </c>
    </row>
    <row r="137" spans="1:2" x14ac:dyDescent="0.2">
      <c r="A137" t="s">
        <v>459</v>
      </c>
    </row>
    <row r="138" spans="1:2" x14ac:dyDescent="0.2">
      <c r="A138" t="s">
        <v>460</v>
      </c>
      <c r="B138">
        <v>0.937419</v>
      </c>
    </row>
    <row r="139" spans="1:2" x14ac:dyDescent="0.2">
      <c r="A139" t="s">
        <v>458</v>
      </c>
    </row>
    <row r="140" spans="1:2" x14ac:dyDescent="0.2">
      <c r="A140" t="s">
        <v>459</v>
      </c>
    </row>
    <row r="141" spans="1:2" x14ac:dyDescent="0.2">
      <c r="A141" t="s">
        <v>460</v>
      </c>
      <c r="B141">
        <v>0.93725800000000004</v>
      </c>
    </row>
  </sheetData>
  <autoFilter ref="A1:B142" xr:uid="{227A706B-9ECB-5744-BC59-C11D58CA612E}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61E9D-B2A5-9B45-9750-8B639A717A36}">
  <sheetPr codeName="Sheet13" filterMode="1"/>
  <dimension ref="A1:AG567"/>
  <sheetViews>
    <sheetView topLeftCell="A20" zoomScale="90" zoomScaleNormal="90" workbookViewId="0">
      <selection activeCell="H53" sqref="H53"/>
    </sheetView>
  </sheetViews>
  <sheetFormatPr baseColWidth="10" defaultRowHeight="16" x14ac:dyDescent="0.2"/>
  <cols>
    <col min="1" max="1" width="32.1640625" customWidth="1"/>
    <col min="5" max="5" width="13.1640625" bestFit="1" customWidth="1"/>
  </cols>
  <sheetData>
    <row r="1" spans="1:24" x14ac:dyDescent="0.2">
      <c r="K1" t="s">
        <v>565</v>
      </c>
      <c r="L1" s="33" t="s">
        <v>565</v>
      </c>
      <c r="N1" s="33" t="s">
        <v>566</v>
      </c>
    </row>
    <row r="2" spans="1:24" x14ac:dyDescent="0.2">
      <c r="A2" s="30" t="s">
        <v>472</v>
      </c>
      <c r="K2">
        <v>13</v>
      </c>
      <c r="L2" s="33">
        <f>HEX2DEC(K2)</f>
        <v>19</v>
      </c>
      <c r="M2" t="s">
        <v>488</v>
      </c>
      <c r="N2" s="33">
        <f>HEX2DEC(M2)</f>
        <v>3017</v>
      </c>
      <c r="O2" t="s">
        <v>489</v>
      </c>
      <c r="R2">
        <f>((L2/(N2/1000))/0.5)/0.5</f>
        <v>25.190586675505468</v>
      </c>
      <c r="S2">
        <f>((R2*0.00026417)/(N2/1000))</f>
        <v>2.205700126638475E-3</v>
      </c>
      <c r="T2">
        <f>S2*60</f>
        <v>0.1323420075983085</v>
      </c>
      <c r="U2">
        <f>T2*30</f>
        <v>3.9702602279492547</v>
      </c>
      <c r="V2">
        <f>T2</f>
        <v>0.1323420075983085</v>
      </c>
      <c r="W2">
        <f>S2*X2</f>
        <v>4.3865431752836762E-2</v>
      </c>
      <c r="X2">
        <f>60/(N2/1000)</f>
        <v>19.887305270135897</v>
      </c>
    </row>
    <row r="3" spans="1:24" x14ac:dyDescent="0.2">
      <c r="A3" s="30" t="s">
        <v>473</v>
      </c>
      <c r="K3" t="s">
        <v>497</v>
      </c>
      <c r="L3" s="33">
        <f t="shared" ref="L3:L62" si="0">HEX2DEC(K3)</f>
        <v>28</v>
      </c>
      <c r="M3" t="s">
        <v>498</v>
      </c>
      <c r="N3" s="33">
        <f t="shared" ref="N3:N62" si="1">HEX2DEC(M3)</f>
        <v>3015</v>
      </c>
      <c r="O3" t="s">
        <v>499</v>
      </c>
      <c r="R3">
        <f>((L3/(N3/1000))/0.5)/0.5</f>
        <v>37.147595356550582</v>
      </c>
      <c r="S3">
        <f t="shared" ref="S3:S25" si="2">((R3*0.00026417)/(N3/1000))</f>
        <v>3.2548193251542173E-3</v>
      </c>
      <c r="T3">
        <f t="shared" ref="T3:T62" si="3">S3*60</f>
        <v>0.19528915950925305</v>
      </c>
      <c r="U3">
        <f t="shared" ref="U3:U62" si="4">T3*30</f>
        <v>5.8586747852775911</v>
      </c>
      <c r="V3">
        <f>V2+T3</f>
        <v>0.32763116710756157</v>
      </c>
      <c r="W3">
        <f t="shared" ref="W3:W25" si="5">S3*X3</f>
        <v>6.4772523883666014E-2</v>
      </c>
      <c r="X3">
        <f t="shared" ref="X3:X25" si="6">60/(N3/1000)</f>
        <v>19.900497512437809</v>
      </c>
    </row>
    <row r="4" spans="1:24" x14ac:dyDescent="0.2">
      <c r="A4" s="30" t="s">
        <v>474</v>
      </c>
      <c r="K4" t="s">
        <v>502</v>
      </c>
      <c r="L4" s="33">
        <f t="shared" si="0"/>
        <v>122</v>
      </c>
      <c r="M4" t="s">
        <v>498</v>
      </c>
      <c r="N4" s="33">
        <f t="shared" si="1"/>
        <v>3015</v>
      </c>
      <c r="O4" t="s">
        <v>503</v>
      </c>
      <c r="R4">
        <f t="shared" ref="R4:R25" si="7">((L4/(N4/1000))/0.5)/0.5</f>
        <v>161.85737976782752</v>
      </c>
      <c r="S4">
        <f t="shared" si="2"/>
        <v>1.4181712773886234E-2</v>
      </c>
      <c r="T4">
        <f t="shared" si="3"/>
        <v>0.85090276643317397</v>
      </c>
      <c r="U4">
        <f t="shared" si="4"/>
        <v>25.527082992995219</v>
      </c>
      <c r="V4">
        <f t="shared" ref="V4:V25" si="8">V3+T4</f>
        <v>1.1785339335407357</v>
      </c>
      <c r="W4">
        <f t="shared" si="5"/>
        <v>0.28222313977883051</v>
      </c>
      <c r="X4">
        <f t="shared" si="6"/>
        <v>19.900497512437809</v>
      </c>
    </row>
    <row r="5" spans="1:24" x14ac:dyDescent="0.2">
      <c r="A5" s="30" t="s">
        <v>475</v>
      </c>
      <c r="K5">
        <v>77</v>
      </c>
      <c r="L5" s="33">
        <f t="shared" si="0"/>
        <v>119</v>
      </c>
      <c r="M5" t="s">
        <v>488</v>
      </c>
      <c r="N5" s="33">
        <f t="shared" si="1"/>
        <v>3017</v>
      </c>
      <c r="O5" t="s">
        <v>503</v>
      </c>
      <c r="R5">
        <f t="shared" si="7"/>
        <v>157.77262180974478</v>
      </c>
      <c r="S5">
        <f t="shared" si="2"/>
        <v>1.3814648161577818E-2</v>
      </c>
      <c r="T5">
        <f t="shared" si="3"/>
        <v>0.82887888969466905</v>
      </c>
      <c r="U5">
        <f t="shared" si="4"/>
        <v>24.866366690840071</v>
      </c>
      <c r="V5">
        <f t="shared" si="8"/>
        <v>2.0074128232354047</v>
      </c>
      <c r="W5">
        <f t="shared" si="5"/>
        <v>0.27473612518881974</v>
      </c>
      <c r="X5">
        <f t="shared" si="6"/>
        <v>19.887305270135897</v>
      </c>
    </row>
    <row r="6" spans="1:24" x14ac:dyDescent="0.2">
      <c r="A6" s="30" t="s">
        <v>476</v>
      </c>
      <c r="K6">
        <v>77</v>
      </c>
      <c r="L6" s="33">
        <f t="shared" si="0"/>
        <v>119</v>
      </c>
      <c r="M6" t="s">
        <v>506</v>
      </c>
      <c r="N6" s="33">
        <f t="shared" si="1"/>
        <v>3016</v>
      </c>
      <c r="O6" t="s">
        <v>507</v>
      </c>
      <c r="R6">
        <f t="shared" si="7"/>
        <v>157.82493368700264</v>
      </c>
      <c r="S6">
        <f t="shared" si="2"/>
        <v>1.3823810587564817E-2</v>
      </c>
      <c r="T6">
        <f t="shared" si="3"/>
        <v>0.82942863525388899</v>
      </c>
      <c r="U6">
        <f t="shared" si="4"/>
        <v>24.88285905761667</v>
      </c>
      <c r="V6">
        <f t="shared" si="8"/>
        <v>2.8368414584892938</v>
      </c>
      <c r="W6">
        <f t="shared" si="5"/>
        <v>0.27500949444757594</v>
      </c>
      <c r="X6">
        <f t="shared" si="6"/>
        <v>19.893899204244033</v>
      </c>
    </row>
    <row r="7" spans="1:24" x14ac:dyDescent="0.2">
      <c r="A7" s="30" t="s">
        <v>464</v>
      </c>
      <c r="K7">
        <v>77</v>
      </c>
      <c r="L7" s="33">
        <f t="shared" si="0"/>
        <v>119</v>
      </c>
      <c r="M7" t="s">
        <v>506</v>
      </c>
      <c r="N7" s="33">
        <f t="shared" si="1"/>
        <v>3016</v>
      </c>
      <c r="O7" t="s">
        <v>504</v>
      </c>
      <c r="R7">
        <f t="shared" si="7"/>
        <v>157.82493368700264</v>
      </c>
      <c r="S7">
        <f t="shared" si="2"/>
        <v>1.3823810587564817E-2</v>
      </c>
      <c r="T7">
        <f t="shared" si="3"/>
        <v>0.82942863525388899</v>
      </c>
      <c r="U7">
        <f t="shared" si="4"/>
        <v>24.88285905761667</v>
      </c>
      <c r="V7">
        <f t="shared" si="8"/>
        <v>3.6662700937431829</v>
      </c>
      <c r="W7">
        <f t="shared" si="5"/>
        <v>0.27500949444757594</v>
      </c>
      <c r="X7">
        <f t="shared" si="6"/>
        <v>19.893899204244033</v>
      </c>
    </row>
    <row r="8" spans="1:24" x14ac:dyDescent="0.2">
      <c r="A8" s="30" t="s">
        <v>474</v>
      </c>
      <c r="K8">
        <v>76</v>
      </c>
      <c r="L8" s="33">
        <f t="shared" si="0"/>
        <v>118</v>
      </c>
      <c r="M8" t="s">
        <v>506</v>
      </c>
      <c r="N8" s="33">
        <f t="shared" si="1"/>
        <v>3016</v>
      </c>
      <c r="O8" t="s">
        <v>510</v>
      </c>
      <c r="R8">
        <f t="shared" si="7"/>
        <v>156.49867374005305</v>
      </c>
      <c r="S8">
        <f t="shared" si="2"/>
        <v>1.3707644112039062E-2</v>
      </c>
      <c r="T8">
        <f t="shared" si="3"/>
        <v>0.8224586467223437</v>
      </c>
      <c r="U8">
        <f t="shared" si="4"/>
        <v>24.67375940167031</v>
      </c>
      <c r="V8">
        <f t="shared" si="8"/>
        <v>4.4887287404655263</v>
      </c>
      <c r="W8">
        <f t="shared" si="5"/>
        <v>0.27269849029255427</v>
      </c>
      <c r="X8">
        <f t="shared" si="6"/>
        <v>19.893899204244033</v>
      </c>
    </row>
    <row r="9" spans="1:24" x14ac:dyDescent="0.2">
      <c r="A9" s="30" t="s">
        <v>465</v>
      </c>
      <c r="K9">
        <v>75</v>
      </c>
      <c r="L9" s="33">
        <f t="shared" si="0"/>
        <v>117</v>
      </c>
      <c r="M9" t="s">
        <v>506</v>
      </c>
      <c r="N9" s="33">
        <f t="shared" si="1"/>
        <v>3016</v>
      </c>
      <c r="O9" t="s">
        <v>514</v>
      </c>
      <c r="R9">
        <f t="shared" si="7"/>
        <v>155.17241379310346</v>
      </c>
      <c r="S9">
        <f t="shared" si="2"/>
        <v>1.3591477636513308E-2</v>
      </c>
      <c r="T9">
        <f t="shared" si="3"/>
        <v>0.81548865819079852</v>
      </c>
      <c r="U9">
        <f t="shared" si="4"/>
        <v>24.464659745723957</v>
      </c>
      <c r="V9">
        <f t="shared" si="8"/>
        <v>5.3042173986563252</v>
      </c>
      <c r="W9">
        <f t="shared" si="5"/>
        <v>0.27038748613753266</v>
      </c>
      <c r="X9">
        <f t="shared" si="6"/>
        <v>19.893899204244033</v>
      </c>
    </row>
    <row r="10" spans="1:24" x14ac:dyDescent="0.2">
      <c r="A10" s="30" t="s">
        <v>477</v>
      </c>
      <c r="D10" s="33"/>
      <c r="E10" s="33"/>
      <c r="G10" s="33" t="s">
        <v>567</v>
      </c>
      <c r="K10">
        <v>74</v>
      </c>
      <c r="L10" s="33">
        <f t="shared" si="0"/>
        <v>116</v>
      </c>
      <c r="M10" t="s">
        <v>506</v>
      </c>
      <c r="N10" s="33">
        <f t="shared" si="1"/>
        <v>3016</v>
      </c>
      <c r="O10" t="s">
        <v>518</v>
      </c>
      <c r="R10">
        <f t="shared" si="7"/>
        <v>153.84615384615384</v>
      </c>
      <c r="S10">
        <f t="shared" si="2"/>
        <v>1.3475311160987552E-2</v>
      </c>
      <c r="T10">
        <f t="shared" si="3"/>
        <v>0.80851866965925312</v>
      </c>
      <c r="U10">
        <f t="shared" si="4"/>
        <v>24.255560089777592</v>
      </c>
      <c r="V10">
        <f t="shared" si="8"/>
        <v>6.112736068315578</v>
      </c>
      <c r="W10">
        <f t="shared" si="5"/>
        <v>0.26807648198251099</v>
      </c>
      <c r="X10">
        <f t="shared" si="6"/>
        <v>19.893899204244033</v>
      </c>
    </row>
    <row r="11" spans="1:24" x14ac:dyDescent="0.2">
      <c r="A11" s="30" t="s">
        <v>478</v>
      </c>
      <c r="E11" s="33"/>
      <c r="K11">
        <v>71</v>
      </c>
      <c r="L11" s="33">
        <f t="shared" si="0"/>
        <v>113</v>
      </c>
      <c r="M11" t="s">
        <v>506</v>
      </c>
      <c r="N11" s="33">
        <f t="shared" si="1"/>
        <v>3016</v>
      </c>
      <c r="O11" t="s">
        <v>522</v>
      </c>
      <c r="R11">
        <f t="shared" si="7"/>
        <v>149.86737400530504</v>
      </c>
      <c r="S11">
        <f t="shared" si="2"/>
        <v>1.3126811734410288E-2</v>
      </c>
      <c r="T11">
        <f t="shared" si="3"/>
        <v>0.78760870406461725</v>
      </c>
      <c r="U11">
        <f t="shared" si="4"/>
        <v>23.628261121938518</v>
      </c>
      <c r="V11">
        <f t="shared" si="8"/>
        <v>6.9003447723801949</v>
      </c>
      <c r="W11">
        <f t="shared" si="5"/>
        <v>0.26114346951744605</v>
      </c>
      <c r="X11">
        <f t="shared" si="6"/>
        <v>19.893899204244033</v>
      </c>
    </row>
    <row r="12" spans="1:24" x14ac:dyDescent="0.2">
      <c r="A12" s="35" t="s">
        <v>479</v>
      </c>
      <c r="B12" t="s">
        <v>568</v>
      </c>
      <c r="K12">
        <v>69</v>
      </c>
      <c r="L12" s="33">
        <f t="shared" si="0"/>
        <v>105</v>
      </c>
      <c r="M12" t="s">
        <v>506</v>
      </c>
      <c r="N12" s="33">
        <f t="shared" si="1"/>
        <v>3016</v>
      </c>
      <c r="O12">
        <v>118</v>
      </c>
      <c r="R12">
        <f t="shared" si="7"/>
        <v>139.25729442970822</v>
      </c>
      <c r="S12">
        <f t="shared" si="2"/>
        <v>1.2197479930204251E-2</v>
      </c>
      <c r="T12">
        <f t="shared" si="3"/>
        <v>0.73184879581225504</v>
      </c>
      <c r="U12">
        <f t="shared" si="4"/>
        <v>21.955463874367652</v>
      </c>
      <c r="V12">
        <f t="shared" si="8"/>
        <v>7.6321935681924504</v>
      </c>
      <c r="W12">
        <f t="shared" si="5"/>
        <v>0.2426554362772729</v>
      </c>
      <c r="X12">
        <f t="shared" si="6"/>
        <v>19.893899204244033</v>
      </c>
    </row>
    <row r="13" spans="1:24" x14ac:dyDescent="0.2">
      <c r="A13" s="30" t="s">
        <v>480</v>
      </c>
      <c r="K13" t="s">
        <v>528</v>
      </c>
      <c r="L13" s="33">
        <f t="shared" si="0"/>
        <v>95</v>
      </c>
      <c r="M13" t="s">
        <v>506</v>
      </c>
      <c r="N13" s="33">
        <f t="shared" si="1"/>
        <v>3016</v>
      </c>
      <c r="O13">
        <v>126</v>
      </c>
      <c r="R13">
        <f t="shared" si="7"/>
        <v>125.9946949602122</v>
      </c>
      <c r="S13">
        <f t="shared" si="2"/>
        <v>1.1035815174946702E-2</v>
      </c>
      <c r="T13">
        <f t="shared" si="3"/>
        <v>0.66214891049680213</v>
      </c>
      <c r="U13">
        <f t="shared" si="4"/>
        <v>19.864467314904065</v>
      </c>
      <c r="V13">
        <f t="shared" si="8"/>
        <v>8.2943424786892521</v>
      </c>
      <c r="W13">
        <f t="shared" si="5"/>
        <v>0.21954539472705642</v>
      </c>
      <c r="X13">
        <f t="shared" si="6"/>
        <v>19.893899204244033</v>
      </c>
    </row>
    <row r="14" spans="1:24" x14ac:dyDescent="0.2">
      <c r="A14" s="30" t="s">
        <v>481</v>
      </c>
      <c r="K14">
        <v>54</v>
      </c>
      <c r="L14" s="33">
        <f t="shared" si="0"/>
        <v>84</v>
      </c>
      <c r="M14" t="s">
        <v>498</v>
      </c>
      <c r="N14" s="33">
        <f t="shared" si="1"/>
        <v>3015</v>
      </c>
      <c r="O14">
        <v>134</v>
      </c>
      <c r="R14">
        <f t="shared" si="7"/>
        <v>111.44278606965173</v>
      </c>
      <c r="S14">
        <f t="shared" si="2"/>
        <v>9.7644579754626523E-3</v>
      </c>
      <c r="T14">
        <f t="shared" si="3"/>
        <v>0.58586747852775911</v>
      </c>
      <c r="U14">
        <f t="shared" si="4"/>
        <v>17.576024355832772</v>
      </c>
      <c r="V14">
        <f t="shared" si="8"/>
        <v>8.8802099572170121</v>
      </c>
      <c r="W14">
        <f t="shared" si="5"/>
        <v>0.19431757165099803</v>
      </c>
      <c r="X14">
        <f t="shared" si="6"/>
        <v>19.900497512437809</v>
      </c>
    </row>
    <row r="15" spans="1:24" x14ac:dyDescent="0.2">
      <c r="A15" s="30" t="s">
        <v>482</v>
      </c>
      <c r="K15">
        <v>49</v>
      </c>
      <c r="L15" s="33">
        <f t="shared" si="0"/>
        <v>73</v>
      </c>
      <c r="M15" t="s">
        <v>498</v>
      </c>
      <c r="N15" s="33">
        <f t="shared" si="1"/>
        <v>3015</v>
      </c>
      <c r="O15" t="s">
        <v>534</v>
      </c>
      <c r="R15">
        <f t="shared" si="7"/>
        <v>96.849087893864009</v>
      </c>
      <c r="S15">
        <f t="shared" si="2"/>
        <v>8.485778954866352E-3</v>
      </c>
      <c r="T15">
        <f t="shared" si="3"/>
        <v>0.50914673729198112</v>
      </c>
      <c r="U15">
        <f t="shared" si="4"/>
        <v>15.274402118759433</v>
      </c>
      <c r="V15">
        <f t="shared" si="8"/>
        <v>9.3893566945089937</v>
      </c>
      <c r="W15">
        <f t="shared" si="5"/>
        <v>0.16887122298241494</v>
      </c>
      <c r="X15">
        <f t="shared" si="6"/>
        <v>19.900497512437809</v>
      </c>
    </row>
    <row r="16" spans="1:24" x14ac:dyDescent="0.2">
      <c r="A16" s="30" t="s">
        <v>483</v>
      </c>
      <c r="K16">
        <v>44</v>
      </c>
      <c r="L16" s="33">
        <f t="shared" si="0"/>
        <v>68</v>
      </c>
      <c r="M16" t="s">
        <v>506</v>
      </c>
      <c r="N16" s="33">
        <f t="shared" si="1"/>
        <v>3016</v>
      </c>
      <c r="O16" t="s">
        <v>538</v>
      </c>
      <c r="R16">
        <f t="shared" si="7"/>
        <v>90.185676392572944</v>
      </c>
      <c r="S16">
        <f t="shared" si="2"/>
        <v>7.8993203357513239E-3</v>
      </c>
      <c r="T16">
        <f t="shared" si="3"/>
        <v>0.47395922014507941</v>
      </c>
      <c r="U16">
        <f t="shared" si="4"/>
        <v>14.218776604352382</v>
      </c>
      <c r="V16">
        <f t="shared" si="8"/>
        <v>9.8633159146540734</v>
      </c>
      <c r="W16">
        <f t="shared" si="5"/>
        <v>0.15714828254147198</v>
      </c>
      <c r="X16">
        <f t="shared" si="6"/>
        <v>19.893899204244033</v>
      </c>
    </row>
    <row r="17" spans="1:24" x14ac:dyDescent="0.2">
      <c r="A17" s="30" t="s">
        <v>325</v>
      </c>
      <c r="K17">
        <v>43</v>
      </c>
      <c r="L17" s="33">
        <f t="shared" si="0"/>
        <v>67</v>
      </c>
      <c r="M17" t="s">
        <v>506</v>
      </c>
      <c r="N17" s="33">
        <f t="shared" si="1"/>
        <v>3016</v>
      </c>
      <c r="O17" t="s">
        <v>536</v>
      </c>
      <c r="R17">
        <f t="shared" si="7"/>
        <v>88.859416445623339</v>
      </c>
      <c r="S17">
        <f t="shared" si="2"/>
        <v>7.7831538602255697E-3</v>
      </c>
      <c r="T17">
        <f t="shared" si="3"/>
        <v>0.46698923161353417</v>
      </c>
      <c r="U17">
        <f t="shared" si="4"/>
        <v>14.009676948406025</v>
      </c>
      <c r="V17">
        <f t="shared" si="8"/>
        <v>10.330305146267607</v>
      </c>
      <c r="W17">
        <f t="shared" si="5"/>
        <v>0.15483727838645034</v>
      </c>
      <c r="X17">
        <f t="shared" si="6"/>
        <v>19.893899204244033</v>
      </c>
    </row>
    <row r="18" spans="1:24" x14ac:dyDescent="0.2">
      <c r="A18" s="30" t="s">
        <v>484</v>
      </c>
      <c r="K18">
        <v>43</v>
      </c>
      <c r="L18" s="33">
        <f t="shared" si="0"/>
        <v>67</v>
      </c>
      <c r="M18" t="s">
        <v>498</v>
      </c>
      <c r="N18" s="33">
        <f t="shared" si="1"/>
        <v>3015</v>
      </c>
      <c r="O18" t="s">
        <v>544</v>
      </c>
      <c r="R18">
        <f t="shared" si="7"/>
        <v>88.888888888888886</v>
      </c>
      <c r="S18">
        <f t="shared" si="2"/>
        <v>7.788317670904734E-3</v>
      </c>
      <c r="T18">
        <f t="shared" si="3"/>
        <v>0.46729906025428403</v>
      </c>
      <c r="U18">
        <f t="shared" si="4"/>
        <v>14.018971807628521</v>
      </c>
      <c r="V18">
        <f t="shared" si="8"/>
        <v>10.797604206521891</v>
      </c>
      <c r="W18">
        <f t="shared" si="5"/>
        <v>0.15499139643591509</v>
      </c>
      <c r="X18">
        <f t="shared" si="6"/>
        <v>19.900497512437809</v>
      </c>
    </row>
    <row r="19" spans="1:24" x14ac:dyDescent="0.2">
      <c r="A19" s="30" t="s">
        <v>485</v>
      </c>
      <c r="K19">
        <v>43</v>
      </c>
      <c r="L19" s="33">
        <f t="shared" si="0"/>
        <v>67</v>
      </c>
      <c r="M19" t="s">
        <v>498</v>
      </c>
      <c r="N19" s="33">
        <f t="shared" si="1"/>
        <v>3015</v>
      </c>
      <c r="O19">
        <v>140</v>
      </c>
      <c r="R19">
        <f t="shared" si="7"/>
        <v>88.888888888888886</v>
      </c>
      <c r="S19">
        <f t="shared" si="2"/>
        <v>7.788317670904734E-3</v>
      </c>
      <c r="T19">
        <f t="shared" si="3"/>
        <v>0.46729906025428403</v>
      </c>
      <c r="U19">
        <f t="shared" si="4"/>
        <v>14.018971807628521</v>
      </c>
      <c r="V19">
        <f t="shared" si="8"/>
        <v>11.264903266776175</v>
      </c>
      <c r="W19">
        <f t="shared" si="5"/>
        <v>0.15499139643591509</v>
      </c>
      <c r="X19">
        <f t="shared" si="6"/>
        <v>19.900497512437809</v>
      </c>
    </row>
    <row r="20" spans="1:24" x14ac:dyDescent="0.2">
      <c r="A20" s="30" t="s">
        <v>486</v>
      </c>
      <c r="K20">
        <v>43</v>
      </c>
      <c r="L20" s="33">
        <f t="shared" si="0"/>
        <v>67</v>
      </c>
      <c r="M20" t="s">
        <v>506</v>
      </c>
      <c r="N20" s="33">
        <f t="shared" si="1"/>
        <v>3016</v>
      </c>
      <c r="O20" t="s">
        <v>544</v>
      </c>
      <c r="R20">
        <f t="shared" si="7"/>
        <v>88.859416445623339</v>
      </c>
      <c r="S20">
        <f t="shared" si="2"/>
        <v>7.7831538602255697E-3</v>
      </c>
      <c r="T20">
        <f t="shared" si="3"/>
        <v>0.46698923161353417</v>
      </c>
      <c r="U20">
        <f t="shared" si="4"/>
        <v>14.009676948406025</v>
      </c>
      <c r="V20">
        <f t="shared" si="8"/>
        <v>11.731892498389708</v>
      </c>
      <c r="W20">
        <f t="shared" si="5"/>
        <v>0.15483727838645034</v>
      </c>
      <c r="X20">
        <f t="shared" si="6"/>
        <v>19.893899204244033</v>
      </c>
    </row>
    <row r="21" spans="1:24" x14ac:dyDescent="0.2">
      <c r="A21" s="30" t="s">
        <v>466</v>
      </c>
      <c r="K21">
        <v>43</v>
      </c>
      <c r="L21" s="33">
        <f t="shared" si="0"/>
        <v>67</v>
      </c>
      <c r="M21" t="s">
        <v>498</v>
      </c>
      <c r="N21" s="33">
        <f t="shared" si="1"/>
        <v>3015</v>
      </c>
      <c r="O21">
        <v>140</v>
      </c>
      <c r="R21">
        <f t="shared" si="7"/>
        <v>88.888888888888886</v>
      </c>
      <c r="S21">
        <f t="shared" si="2"/>
        <v>7.788317670904734E-3</v>
      </c>
      <c r="T21">
        <f t="shared" si="3"/>
        <v>0.46729906025428403</v>
      </c>
      <c r="U21">
        <f t="shared" si="4"/>
        <v>14.018971807628521</v>
      </c>
      <c r="V21">
        <f t="shared" si="8"/>
        <v>12.199191558643992</v>
      </c>
      <c r="W21">
        <f t="shared" si="5"/>
        <v>0.15499139643591509</v>
      </c>
      <c r="X21">
        <f t="shared" si="6"/>
        <v>19.900497512437809</v>
      </c>
    </row>
    <row r="22" spans="1:24" x14ac:dyDescent="0.2">
      <c r="A22" s="30" t="s">
        <v>325</v>
      </c>
      <c r="K22">
        <v>43</v>
      </c>
      <c r="L22" s="33">
        <f t="shared" si="0"/>
        <v>67</v>
      </c>
      <c r="M22" t="s">
        <v>506</v>
      </c>
      <c r="N22" s="33">
        <f t="shared" si="1"/>
        <v>3016</v>
      </c>
      <c r="O22" t="s">
        <v>536</v>
      </c>
      <c r="R22">
        <f t="shared" si="7"/>
        <v>88.859416445623339</v>
      </c>
      <c r="S22">
        <f t="shared" si="2"/>
        <v>7.7831538602255697E-3</v>
      </c>
      <c r="T22">
        <f t="shared" si="3"/>
        <v>0.46698923161353417</v>
      </c>
      <c r="U22">
        <f t="shared" si="4"/>
        <v>14.009676948406025</v>
      </c>
      <c r="V22">
        <f t="shared" si="8"/>
        <v>12.666180790257526</v>
      </c>
      <c r="W22">
        <f t="shared" si="5"/>
        <v>0.15483727838645034</v>
      </c>
      <c r="X22">
        <f t="shared" si="6"/>
        <v>19.893899204244033</v>
      </c>
    </row>
    <row r="23" spans="1:24" x14ac:dyDescent="0.2">
      <c r="A23" s="30" t="s">
        <v>487</v>
      </c>
      <c r="K23">
        <v>43</v>
      </c>
      <c r="L23" s="33">
        <f t="shared" si="0"/>
        <v>67</v>
      </c>
      <c r="M23" t="s">
        <v>506</v>
      </c>
      <c r="N23" s="33">
        <f t="shared" si="1"/>
        <v>3016</v>
      </c>
      <c r="O23" t="s">
        <v>536</v>
      </c>
      <c r="R23">
        <f t="shared" si="7"/>
        <v>88.859416445623339</v>
      </c>
      <c r="S23">
        <f t="shared" si="2"/>
        <v>7.7831538602255697E-3</v>
      </c>
      <c r="T23">
        <f t="shared" si="3"/>
        <v>0.46698923161353417</v>
      </c>
      <c r="U23">
        <f t="shared" si="4"/>
        <v>14.009676948406025</v>
      </c>
      <c r="V23">
        <f t="shared" si="8"/>
        <v>13.133170021871059</v>
      </c>
      <c r="W23">
        <f t="shared" si="5"/>
        <v>0.15483727838645034</v>
      </c>
      <c r="X23">
        <f t="shared" si="6"/>
        <v>19.893899204244033</v>
      </c>
    </row>
    <row r="24" spans="1:24" x14ac:dyDescent="0.2">
      <c r="A24" s="30" t="s">
        <v>0</v>
      </c>
      <c r="K24">
        <v>43</v>
      </c>
      <c r="L24" s="33">
        <f t="shared" si="0"/>
        <v>67</v>
      </c>
      <c r="M24" t="s">
        <v>506</v>
      </c>
      <c r="N24" s="33">
        <f t="shared" si="1"/>
        <v>3016</v>
      </c>
      <c r="O24" t="s">
        <v>536</v>
      </c>
      <c r="R24">
        <f t="shared" si="7"/>
        <v>88.859416445623339</v>
      </c>
      <c r="S24">
        <f t="shared" si="2"/>
        <v>7.7831538602255697E-3</v>
      </c>
      <c r="T24">
        <f t="shared" si="3"/>
        <v>0.46698923161353417</v>
      </c>
      <c r="U24">
        <f t="shared" si="4"/>
        <v>14.009676948406025</v>
      </c>
      <c r="V24">
        <f t="shared" si="8"/>
        <v>13.600159253484593</v>
      </c>
      <c r="W24">
        <f t="shared" si="5"/>
        <v>0.15483727838645034</v>
      </c>
      <c r="X24">
        <f t="shared" si="6"/>
        <v>19.893899204244033</v>
      </c>
    </row>
    <row r="25" spans="1:24" x14ac:dyDescent="0.2">
      <c r="A25" s="30" t="s">
        <v>467</v>
      </c>
      <c r="K25">
        <v>42</v>
      </c>
      <c r="L25" s="33">
        <f t="shared" si="0"/>
        <v>66</v>
      </c>
      <c r="M25" t="s">
        <v>561</v>
      </c>
      <c r="N25" s="33">
        <f t="shared" si="1"/>
        <v>3014</v>
      </c>
      <c r="O25" t="s">
        <v>536</v>
      </c>
      <c r="R25">
        <f t="shared" si="7"/>
        <v>87.591240875912419</v>
      </c>
      <c r="S25">
        <f t="shared" si="2"/>
        <v>7.6771659264066967E-3</v>
      </c>
      <c r="T25">
        <f t="shared" si="3"/>
        <v>0.46062995558440178</v>
      </c>
      <c r="U25">
        <f t="shared" si="4"/>
        <v>13.818898667532054</v>
      </c>
      <c r="V25">
        <f t="shared" si="8"/>
        <v>14.060789209068995</v>
      </c>
      <c r="W25">
        <f t="shared" si="5"/>
        <v>0.15283011134187188</v>
      </c>
      <c r="X25">
        <f t="shared" si="6"/>
        <v>19.907100199071003</v>
      </c>
    </row>
    <row r="26" spans="1:24" x14ac:dyDescent="0.2">
      <c r="A26" s="30" t="s">
        <v>468</v>
      </c>
      <c r="K26">
        <v>14</v>
      </c>
      <c r="L26" s="174">
        <v>20</v>
      </c>
      <c r="M26" s="174" t="s">
        <v>569</v>
      </c>
      <c r="N26" s="174">
        <v>2041</v>
      </c>
      <c r="O26">
        <f>P26*((N26/1000)/60)</f>
        <v>0.17259237333333335</v>
      </c>
      <c r="P26" s="124">
        <f>((((L26/(N26/1000))*2))*$H$56)*$H$57</f>
        <v>5.0737591376776097</v>
      </c>
      <c r="Q26" s="174">
        <f>((((L26/N26)*60*60)*0.5)/$E$48)*0.2641720524</f>
        <v>10.100000001600097</v>
      </c>
      <c r="R26" s="36">
        <f>((L26/(N26/1000))/0.5)/0.5</f>
        <v>39.196472317491427</v>
      </c>
      <c r="S26" s="36">
        <f>((R26*0.00026417)/(N26/1000))</f>
        <v>5.0732641313629154E-3</v>
      </c>
      <c r="T26" s="36">
        <f t="shared" si="3"/>
        <v>0.30439584788177493</v>
      </c>
      <c r="U26" s="36">
        <f t="shared" si="4"/>
        <v>9.1318754364532477</v>
      </c>
      <c r="V26" s="36">
        <f>T26</f>
        <v>0.30439584788177493</v>
      </c>
      <c r="W26" s="36">
        <f>S26*X26</f>
        <v>0.14914054281321654</v>
      </c>
      <c r="X26" s="36">
        <f>60/(N26/1000)</f>
        <v>29.39735423811857</v>
      </c>
    </row>
    <row r="27" spans="1:24" x14ac:dyDescent="0.2">
      <c r="A27" s="30" t="s">
        <v>469</v>
      </c>
      <c r="K27">
        <v>14</v>
      </c>
      <c r="L27" s="174">
        <v>20</v>
      </c>
      <c r="M27" s="174" t="s">
        <v>569</v>
      </c>
      <c r="N27" s="174">
        <v>1021</v>
      </c>
      <c r="O27">
        <f>P27*((N27/1000)/60)+O26</f>
        <v>0.34518474666666671</v>
      </c>
      <c r="P27" s="124">
        <f t="shared" ref="P27:P62" si="9">((((L27/(N27/1000))*2))*$H$56)*$H$57</f>
        <v>10.142548873653283</v>
      </c>
      <c r="Q27" s="174">
        <f t="shared" ref="Q27:Q62" si="10">((((L27/N27)*60*60)*0.5)/$E$48)*0.2641720524</f>
        <v>20.190107740710879</v>
      </c>
      <c r="R27" s="36">
        <f>((L27/(N27/1000))/0.5)/0.5</f>
        <v>78.3545543584721</v>
      </c>
      <c r="S27" s="36">
        <f>((R27*0.00026417)/(N27/1000))</f>
        <v>2.0273185724659724E-2</v>
      </c>
      <c r="T27" s="36">
        <f t="shared" si="3"/>
        <v>1.2163911434795833</v>
      </c>
      <c r="U27" s="36">
        <f t="shared" si="4"/>
        <v>36.491734304387499</v>
      </c>
      <c r="V27" s="36">
        <f>T27+V26</f>
        <v>1.5207869913613583</v>
      </c>
      <c r="W27" s="36">
        <f>S27*X27</f>
        <v>1.1913723246616881</v>
      </c>
      <c r="X27" s="36">
        <f>60/(N27/1000)</f>
        <v>58.765915768854072</v>
      </c>
    </row>
    <row r="28" spans="1:24" x14ac:dyDescent="0.2">
      <c r="A28" s="30" t="s">
        <v>470</v>
      </c>
      <c r="K28">
        <v>14</v>
      </c>
      <c r="L28" s="36">
        <f t="shared" si="0"/>
        <v>20</v>
      </c>
      <c r="M28" t="s">
        <v>569</v>
      </c>
      <c r="N28" s="36">
        <f t="shared" si="1"/>
        <v>2038</v>
      </c>
      <c r="O28">
        <f t="shared" ref="O28:O62" si="11">P28*((N28/1000)/60)+O27</f>
        <v>0.51777712000000009</v>
      </c>
      <c r="P28" s="124">
        <f t="shared" si="9"/>
        <v>5.0812278704612366</v>
      </c>
      <c r="Q28" s="174">
        <f t="shared" si="10"/>
        <v>10.114867518776157</v>
      </c>
      <c r="R28" s="36">
        <f t="shared" ref="R28:R62" si="12">((L28/(N28/1000))/0.5)/0.5</f>
        <v>39.254170755642789</v>
      </c>
      <c r="S28" s="36">
        <f t="shared" ref="S28:S62" si="13">((R28*0.00026417)/(N28/1000))</f>
        <v>5.0882111327370735E-3</v>
      </c>
      <c r="T28" s="36">
        <f t="shared" si="3"/>
        <v>0.30529266796422438</v>
      </c>
      <c r="U28" s="36">
        <f t="shared" si="4"/>
        <v>9.1587800389267322</v>
      </c>
      <c r="V28" s="36">
        <f t="shared" ref="V28:V62" si="14">T28+V27</f>
        <v>1.8260796593255826</v>
      </c>
      <c r="W28" s="36">
        <f t="shared" ref="W28:W62" si="15">S28*X28</f>
        <v>0.14980013148391777</v>
      </c>
      <c r="X28" s="36">
        <f t="shared" ref="X28:X62" si="16">60/(N28/1000)</f>
        <v>29.440628066732092</v>
      </c>
    </row>
    <row r="29" spans="1:24" x14ac:dyDescent="0.2">
      <c r="A29" s="30" t="s">
        <v>2</v>
      </c>
      <c r="K29">
        <v>14</v>
      </c>
      <c r="L29" s="36">
        <f t="shared" si="0"/>
        <v>20</v>
      </c>
      <c r="M29" t="s">
        <v>569</v>
      </c>
      <c r="N29" s="36">
        <f t="shared" si="1"/>
        <v>2038</v>
      </c>
      <c r="O29">
        <f t="shared" si="11"/>
        <v>0.69036949333333342</v>
      </c>
      <c r="P29" s="124">
        <f t="shared" si="9"/>
        <v>5.0812278704612366</v>
      </c>
      <c r="Q29" s="174">
        <f t="shared" si="10"/>
        <v>10.114867518776157</v>
      </c>
      <c r="R29" s="36">
        <f t="shared" si="12"/>
        <v>39.254170755642789</v>
      </c>
      <c r="S29" s="36">
        <f t="shared" si="13"/>
        <v>5.0882111327370735E-3</v>
      </c>
      <c r="T29" s="36">
        <f t="shared" si="3"/>
        <v>0.30529266796422438</v>
      </c>
      <c r="U29" s="36">
        <f t="shared" si="4"/>
        <v>9.1587800389267322</v>
      </c>
      <c r="V29" s="36">
        <f t="shared" si="14"/>
        <v>2.1313723272898071</v>
      </c>
      <c r="W29" s="36">
        <f t="shared" si="15"/>
        <v>0.14980013148391777</v>
      </c>
      <c r="X29" s="36">
        <f t="shared" si="16"/>
        <v>29.440628066732092</v>
      </c>
    </row>
    <row r="30" spans="1:24" x14ac:dyDescent="0.2">
      <c r="A30" s="30" t="s">
        <v>471</v>
      </c>
      <c r="K30">
        <v>14</v>
      </c>
      <c r="L30" s="36">
        <f t="shared" si="0"/>
        <v>20</v>
      </c>
      <c r="M30" t="s">
        <v>569</v>
      </c>
      <c r="N30" s="36">
        <f t="shared" si="1"/>
        <v>2038</v>
      </c>
      <c r="O30">
        <f t="shared" si="11"/>
        <v>0.86296186666666674</v>
      </c>
      <c r="P30" s="124">
        <f t="shared" si="9"/>
        <v>5.0812278704612366</v>
      </c>
      <c r="Q30" s="174">
        <f t="shared" si="10"/>
        <v>10.114867518776157</v>
      </c>
      <c r="R30" s="36">
        <f t="shared" si="12"/>
        <v>39.254170755642789</v>
      </c>
      <c r="S30" s="36">
        <f t="shared" si="13"/>
        <v>5.0882111327370735E-3</v>
      </c>
      <c r="T30" s="36">
        <f t="shared" si="3"/>
        <v>0.30529266796422438</v>
      </c>
      <c r="U30" s="36">
        <f t="shared" si="4"/>
        <v>9.1587800389267322</v>
      </c>
      <c r="V30" s="36">
        <f t="shared" si="14"/>
        <v>2.4366649952540316</v>
      </c>
      <c r="W30" s="36">
        <f t="shared" si="15"/>
        <v>0.14980013148391777</v>
      </c>
      <c r="X30" s="36">
        <f t="shared" si="16"/>
        <v>29.440628066732092</v>
      </c>
    </row>
    <row r="31" spans="1:24" x14ac:dyDescent="0.2">
      <c r="A31" s="30"/>
      <c r="K31">
        <v>14</v>
      </c>
      <c r="L31" s="36">
        <f t="shared" si="0"/>
        <v>20</v>
      </c>
      <c r="M31" t="s">
        <v>569</v>
      </c>
      <c r="N31" s="36">
        <f t="shared" si="1"/>
        <v>2038</v>
      </c>
      <c r="O31">
        <f t="shared" si="11"/>
        <v>1.0355542400000002</v>
      </c>
      <c r="P31" s="124">
        <f t="shared" si="9"/>
        <v>5.0812278704612366</v>
      </c>
      <c r="Q31" s="174">
        <f t="shared" si="10"/>
        <v>10.114867518776157</v>
      </c>
      <c r="R31" s="36">
        <f t="shared" si="12"/>
        <v>39.254170755642789</v>
      </c>
      <c r="S31" s="36">
        <f t="shared" si="13"/>
        <v>5.0882111327370735E-3</v>
      </c>
      <c r="T31" s="36">
        <f t="shared" si="3"/>
        <v>0.30529266796422438</v>
      </c>
      <c r="U31" s="36">
        <f t="shared" si="4"/>
        <v>9.1587800389267322</v>
      </c>
      <c r="V31" s="36">
        <f t="shared" si="14"/>
        <v>2.7419576632182561</v>
      </c>
      <c r="W31" s="36">
        <f t="shared" si="15"/>
        <v>0.14980013148391777</v>
      </c>
      <c r="X31" s="36">
        <f t="shared" si="16"/>
        <v>29.440628066732092</v>
      </c>
    </row>
    <row r="32" spans="1:24" x14ac:dyDescent="0.2">
      <c r="A32" s="30"/>
      <c r="K32">
        <v>13</v>
      </c>
      <c r="L32" s="36">
        <f t="shared" si="0"/>
        <v>19</v>
      </c>
      <c r="M32" t="s">
        <v>569</v>
      </c>
      <c r="N32" s="36">
        <f t="shared" si="1"/>
        <v>2038</v>
      </c>
      <c r="O32">
        <f t="shared" si="11"/>
        <v>1.1995169946666668</v>
      </c>
      <c r="P32" s="124">
        <f t="shared" si="9"/>
        <v>4.8271664769381752</v>
      </c>
      <c r="Q32" s="174">
        <f t="shared" si="10"/>
        <v>9.6091241428373486</v>
      </c>
      <c r="R32" s="36">
        <f t="shared" si="12"/>
        <v>37.291462217860648</v>
      </c>
      <c r="S32" s="36">
        <f t="shared" si="13"/>
        <v>4.8338005761002197E-3</v>
      </c>
      <c r="T32" s="36">
        <f t="shared" si="3"/>
        <v>0.29002803456601317</v>
      </c>
      <c r="U32" s="36">
        <f t="shared" si="4"/>
        <v>8.7008410369803943</v>
      </c>
      <c r="V32" s="36">
        <f t="shared" si="14"/>
        <v>3.0319856977842692</v>
      </c>
      <c r="W32" s="36">
        <f t="shared" si="15"/>
        <v>0.14231012490972189</v>
      </c>
      <c r="X32" s="36">
        <f t="shared" si="16"/>
        <v>29.440628066732092</v>
      </c>
    </row>
    <row r="33" spans="1:24" x14ac:dyDescent="0.2">
      <c r="A33" s="173" t="s">
        <v>1000</v>
      </c>
      <c r="B33" s="174"/>
      <c r="C33" s="174"/>
      <c r="D33" s="174"/>
      <c r="E33" s="174"/>
      <c r="F33" s="174"/>
      <c r="G33" s="174"/>
      <c r="H33" s="174"/>
      <c r="I33" s="174"/>
      <c r="J33" s="174"/>
      <c r="K33">
        <v>14</v>
      </c>
      <c r="L33" s="36">
        <f t="shared" si="0"/>
        <v>20</v>
      </c>
      <c r="M33" t="s">
        <v>569</v>
      </c>
      <c r="N33" s="36">
        <f t="shared" si="1"/>
        <v>2038</v>
      </c>
      <c r="O33">
        <f t="shared" si="11"/>
        <v>1.3721093680000003</v>
      </c>
      <c r="P33" s="124">
        <f t="shared" si="9"/>
        <v>5.0812278704612366</v>
      </c>
      <c r="Q33" s="174">
        <f t="shared" si="10"/>
        <v>10.114867518776157</v>
      </c>
      <c r="R33" s="36">
        <f t="shared" si="12"/>
        <v>39.254170755642789</v>
      </c>
      <c r="S33" s="36">
        <f t="shared" si="13"/>
        <v>5.0882111327370735E-3</v>
      </c>
      <c r="T33" s="36">
        <f t="shared" si="3"/>
        <v>0.30529266796422438</v>
      </c>
      <c r="U33" s="36">
        <f t="shared" si="4"/>
        <v>9.1587800389267322</v>
      </c>
      <c r="V33" s="36">
        <f t="shared" si="14"/>
        <v>3.3372783657484937</v>
      </c>
      <c r="W33" s="36">
        <f t="shared" si="15"/>
        <v>0.14980013148391777</v>
      </c>
      <c r="X33" s="36">
        <f t="shared" si="16"/>
        <v>29.440628066732092</v>
      </c>
    </row>
    <row r="34" spans="1:24" x14ac:dyDescent="0.2">
      <c r="A34" s="173" t="s">
        <v>1001</v>
      </c>
      <c r="B34" s="174"/>
      <c r="C34" s="174"/>
      <c r="D34" s="174"/>
      <c r="E34" s="174"/>
      <c r="F34" s="174"/>
      <c r="G34" s="174"/>
      <c r="H34" s="174"/>
      <c r="I34" s="174"/>
      <c r="J34" s="174"/>
      <c r="K34">
        <v>14</v>
      </c>
      <c r="L34" s="36">
        <f t="shared" si="0"/>
        <v>20</v>
      </c>
      <c r="M34" t="s">
        <v>569</v>
      </c>
      <c r="N34" s="36">
        <f t="shared" si="1"/>
        <v>2038</v>
      </c>
      <c r="O34">
        <f t="shared" si="11"/>
        <v>1.5447017413333337</v>
      </c>
      <c r="P34" s="124">
        <f t="shared" si="9"/>
        <v>5.0812278704612366</v>
      </c>
      <c r="Q34" s="174">
        <f t="shared" si="10"/>
        <v>10.114867518776157</v>
      </c>
      <c r="R34" s="36">
        <f t="shared" si="12"/>
        <v>39.254170755642789</v>
      </c>
      <c r="S34" s="36">
        <f t="shared" si="13"/>
        <v>5.0882111327370735E-3</v>
      </c>
      <c r="T34" s="36">
        <f t="shared" si="3"/>
        <v>0.30529266796422438</v>
      </c>
      <c r="U34" s="36">
        <f t="shared" si="4"/>
        <v>9.1587800389267322</v>
      </c>
      <c r="V34" s="36">
        <f t="shared" si="14"/>
        <v>3.6425710337127182</v>
      </c>
      <c r="W34" s="36">
        <f t="shared" si="15"/>
        <v>0.14980013148391777</v>
      </c>
      <c r="X34" s="36">
        <f t="shared" si="16"/>
        <v>29.440628066732092</v>
      </c>
    </row>
    <row r="35" spans="1:24" x14ac:dyDescent="0.2">
      <c r="A35" s="30"/>
      <c r="K35">
        <v>14</v>
      </c>
      <c r="L35" s="36">
        <f t="shared" si="0"/>
        <v>20</v>
      </c>
      <c r="M35" t="s">
        <v>614</v>
      </c>
      <c r="N35" s="36">
        <f t="shared" si="1"/>
        <v>2041</v>
      </c>
      <c r="O35">
        <f t="shared" si="11"/>
        <v>1.7172941146666671</v>
      </c>
      <c r="P35" s="124">
        <f t="shared" si="9"/>
        <v>5.0737591376776097</v>
      </c>
      <c r="Q35" s="174">
        <f t="shared" si="10"/>
        <v>10.100000001600097</v>
      </c>
      <c r="R35" s="36">
        <f t="shared" si="12"/>
        <v>39.196472317491427</v>
      </c>
      <c r="S35" s="36">
        <f t="shared" si="13"/>
        <v>5.0732641313629154E-3</v>
      </c>
      <c r="T35" s="36">
        <f t="shared" si="3"/>
        <v>0.30439584788177493</v>
      </c>
      <c r="U35" s="36">
        <f t="shared" si="4"/>
        <v>9.1318754364532477</v>
      </c>
      <c r="V35" s="36">
        <f t="shared" si="14"/>
        <v>3.9469668815944932</v>
      </c>
      <c r="W35" s="36">
        <f t="shared" si="15"/>
        <v>0.14914054281321654</v>
      </c>
      <c r="X35" s="36">
        <f t="shared" si="16"/>
        <v>29.39735423811857</v>
      </c>
    </row>
    <row r="36" spans="1:24" x14ac:dyDescent="0.2">
      <c r="A36" s="30"/>
      <c r="K36">
        <v>14</v>
      </c>
      <c r="L36" s="36">
        <f t="shared" si="0"/>
        <v>20</v>
      </c>
      <c r="M36" t="s">
        <v>619</v>
      </c>
      <c r="N36" s="36">
        <f t="shared" si="1"/>
        <v>2039</v>
      </c>
      <c r="O36">
        <f t="shared" si="11"/>
        <v>1.8898864880000006</v>
      </c>
      <c r="P36" s="124">
        <f t="shared" si="9"/>
        <v>5.0787358509073073</v>
      </c>
      <c r="Q36" s="174">
        <f t="shared" si="10"/>
        <v>10.109906818668859</v>
      </c>
      <c r="R36" s="36">
        <f t="shared" si="12"/>
        <v>39.234919077979399</v>
      </c>
      <c r="S36" s="36">
        <f t="shared" si="13"/>
        <v>5.0832214677929456E-3</v>
      </c>
      <c r="T36" s="36">
        <f t="shared" si="3"/>
        <v>0.30499328806757675</v>
      </c>
      <c r="U36" s="36">
        <f t="shared" si="4"/>
        <v>9.149798642027303</v>
      </c>
      <c r="V36" s="36">
        <f t="shared" si="14"/>
        <v>4.2519601696620697</v>
      </c>
      <c r="W36" s="36">
        <f t="shared" si="15"/>
        <v>0.1495798372082279</v>
      </c>
      <c r="X36" s="36">
        <f t="shared" si="16"/>
        <v>29.426189308484549</v>
      </c>
    </row>
    <row r="37" spans="1:24" x14ac:dyDescent="0.2">
      <c r="A37" s="30"/>
      <c r="E37">
        <f>(L26*60)/0.5</f>
        <v>2400</v>
      </c>
      <c r="F37">
        <f>E37*0.264172</f>
        <v>634.01280000000008</v>
      </c>
      <c r="K37">
        <v>14</v>
      </c>
      <c r="L37" s="36">
        <f t="shared" si="0"/>
        <v>20</v>
      </c>
      <c r="M37" t="s">
        <v>619</v>
      </c>
      <c r="N37" s="36">
        <f t="shared" si="1"/>
        <v>2039</v>
      </c>
      <c r="O37">
        <f t="shared" si="11"/>
        <v>2.062478861333334</v>
      </c>
      <c r="P37" s="124">
        <f t="shared" si="9"/>
        <v>5.0787358509073073</v>
      </c>
      <c r="Q37" s="174">
        <f t="shared" si="10"/>
        <v>10.109906818668859</v>
      </c>
      <c r="R37" s="36">
        <f t="shared" si="12"/>
        <v>39.234919077979399</v>
      </c>
      <c r="S37" s="36">
        <f t="shared" si="13"/>
        <v>5.0832214677929456E-3</v>
      </c>
      <c r="T37" s="36">
        <f t="shared" si="3"/>
        <v>0.30499328806757675</v>
      </c>
      <c r="U37" s="36">
        <f t="shared" si="4"/>
        <v>9.149798642027303</v>
      </c>
      <c r="V37" s="36">
        <f t="shared" si="14"/>
        <v>4.5569534577296462</v>
      </c>
      <c r="W37" s="36">
        <f t="shared" si="15"/>
        <v>0.1495798372082279</v>
      </c>
      <c r="X37" s="36">
        <f t="shared" si="16"/>
        <v>29.426189308484549</v>
      </c>
    </row>
    <row r="38" spans="1:24" x14ac:dyDescent="0.2">
      <c r="A38" s="30"/>
      <c r="E38">
        <f>(((L27/N27)*1000)*60)/0.5</f>
        <v>2350.6366307541625</v>
      </c>
      <c r="F38">
        <f>E38*0.264172</f>
        <v>620.97238001958863</v>
      </c>
      <c r="K38">
        <v>14</v>
      </c>
      <c r="L38" s="36">
        <f t="shared" si="0"/>
        <v>20</v>
      </c>
      <c r="M38" t="s">
        <v>569</v>
      </c>
      <c r="N38" s="36">
        <f t="shared" si="1"/>
        <v>2038</v>
      </c>
      <c r="O38">
        <f t="shared" si="11"/>
        <v>2.2350712346666675</v>
      </c>
      <c r="P38" s="124">
        <f t="shared" si="9"/>
        <v>5.0812278704612366</v>
      </c>
      <c r="Q38" s="174">
        <f t="shared" si="10"/>
        <v>10.114867518776157</v>
      </c>
      <c r="R38" s="36">
        <f t="shared" si="12"/>
        <v>39.254170755642789</v>
      </c>
      <c r="S38" s="36">
        <f t="shared" si="13"/>
        <v>5.0882111327370735E-3</v>
      </c>
      <c r="T38" s="36">
        <f t="shared" si="3"/>
        <v>0.30529266796422438</v>
      </c>
      <c r="U38" s="36">
        <f t="shared" si="4"/>
        <v>9.1587800389267322</v>
      </c>
      <c r="V38" s="36">
        <f t="shared" si="14"/>
        <v>4.8622461256938703</v>
      </c>
      <c r="W38" s="36">
        <f t="shared" si="15"/>
        <v>0.14980013148391777</v>
      </c>
      <c r="X38" s="36">
        <f t="shared" si="16"/>
        <v>29.440628066732092</v>
      </c>
    </row>
    <row r="39" spans="1:24" x14ac:dyDescent="0.2">
      <c r="A39" s="30"/>
      <c r="K39">
        <v>13</v>
      </c>
      <c r="L39" s="36">
        <f t="shared" si="0"/>
        <v>19</v>
      </c>
      <c r="M39" t="s">
        <v>569</v>
      </c>
      <c r="N39" s="36">
        <f t="shared" si="1"/>
        <v>2038</v>
      </c>
      <c r="O39">
        <f t="shared" si="11"/>
        <v>2.3990339893333341</v>
      </c>
      <c r="P39" s="124">
        <f t="shared" si="9"/>
        <v>4.8271664769381752</v>
      </c>
      <c r="Q39" s="174">
        <f t="shared" si="10"/>
        <v>9.6091241428373486</v>
      </c>
      <c r="R39" s="36">
        <f t="shared" si="12"/>
        <v>37.291462217860648</v>
      </c>
      <c r="S39" s="36">
        <f t="shared" si="13"/>
        <v>4.8338005761002197E-3</v>
      </c>
      <c r="T39" s="36">
        <f t="shared" si="3"/>
        <v>0.29002803456601317</v>
      </c>
      <c r="U39" s="36">
        <f t="shared" si="4"/>
        <v>8.7008410369803943</v>
      </c>
      <c r="V39" s="36">
        <f t="shared" si="14"/>
        <v>5.1522741602598838</v>
      </c>
      <c r="W39" s="36">
        <f t="shared" si="15"/>
        <v>0.14231012490972189</v>
      </c>
      <c r="X39" s="36">
        <f t="shared" si="16"/>
        <v>29.440628066732092</v>
      </c>
    </row>
    <row r="40" spans="1:24" x14ac:dyDescent="0.2">
      <c r="A40" s="30"/>
      <c r="B40">
        <v>10.104799999999999</v>
      </c>
      <c r="C40">
        <f>B40*60</f>
        <v>606.2879999999999</v>
      </c>
      <c r="K40">
        <v>14</v>
      </c>
      <c r="L40" s="36">
        <f t="shared" si="0"/>
        <v>20</v>
      </c>
      <c r="M40" t="s">
        <v>569</v>
      </c>
      <c r="N40" s="36">
        <f t="shared" si="1"/>
        <v>2038</v>
      </c>
      <c r="O40">
        <f t="shared" si="11"/>
        <v>2.5716263626666676</v>
      </c>
      <c r="P40" s="124">
        <f t="shared" si="9"/>
        <v>5.0812278704612366</v>
      </c>
      <c r="Q40" s="174">
        <f t="shared" si="10"/>
        <v>10.114867518776157</v>
      </c>
      <c r="R40" s="36">
        <f t="shared" si="12"/>
        <v>39.254170755642789</v>
      </c>
      <c r="S40" s="36">
        <f t="shared" si="13"/>
        <v>5.0882111327370735E-3</v>
      </c>
      <c r="T40" s="36">
        <f t="shared" si="3"/>
        <v>0.30529266796422438</v>
      </c>
      <c r="U40" s="36">
        <f t="shared" si="4"/>
        <v>9.1587800389267322</v>
      </c>
      <c r="V40" s="36">
        <f t="shared" si="14"/>
        <v>5.4575668282241079</v>
      </c>
      <c r="W40" s="36">
        <f t="shared" si="15"/>
        <v>0.14980013148391777</v>
      </c>
      <c r="X40" s="36">
        <f t="shared" si="16"/>
        <v>29.440628066732092</v>
      </c>
    </row>
    <row r="41" spans="1:24" x14ac:dyDescent="0.2">
      <c r="A41" s="30"/>
      <c r="K41">
        <v>14</v>
      </c>
      <c r="L41" s="36">
        <f t="shared" si="0"/>
        <v>20</v>
      </c>
      <c r="M41" t="s">
        <v>569</v>
      </c>
      <c r="N41" s="36">
        <f t="shared" si="1"/>
        <v>2038</v>
      </c>
      <c r="O41">
        <f t="shared" si="11"/>
        <v>2.744218736000001</v>
      </c>
      <c r="P41" s="124">
        <f t="shared" si="9"/>
        <v>5.0812278704612366</v>
      </c>
      <c r="Q41" s="174">
        <f t="shared" si="10"/>
        <v>10.114867518776157</v>
      </c>
      <c r="R41" s="36">
        <f t="shared" si="12"/>
        <v>39.254170755642789</v>
      </c>
      <c r="S41" s="36">
        <f t="shared" si="13"/>
        <v>5.0882111327370735E-3</v>
      </c>
      <c r="T41" s="36">
        <f t="shared" si="3"/>
        <v>0.30529266796422438</v>
      </c>
      <c r="U41" s="36">
        <f t="shared" si="4"/>
        <v>9.1587800389267322</v>
      </c>
      <c r="V41" s="36">
        <f t="shared" si="14"/>
        <v>5.7628594961883319</v>
      </c>
      <c r="W41" s="36">
        <f t="shared" si="15"/>
        <v>0.14980013148391777</v>
      </c>
      <c r="X41" s="36">
        <f t="shared" si="16"/>
        <v>29.440628066732092</v>
      </c>
    </row>
    <row r="42" spans="1:24" x14ac:dyDescent="0.2">
      <c r="A42" s="30"/>
      <c r="K42">
        <v>14</v>
      </c>
      <c r="L42" s="36">
        <f t="shared" si="0"/>
        <v>20</v>
      </c>
      <c r="M42" t="s">
        <v>569</v>
      </c>
      <c r="N42" s="36">
        <f t="shared" si="1"/>
        <v>2038</v>
      </c>
      <c r="O42">
        <f t="shared" si="11"/>
        <v>2.9168111093333344</v>
      </c>
      <c r="P42" s="124">
        <f t="shared" si="9"/>
        <v>5.0812278704612366</v>
      </c>
      <c r="Q42" s="174">
        <f t="shared" si="10"/>
        <v>10.114867518776157</v>
      </c>
      <c r="R42" s="36">
        <f t="shared" si="12"/>
        <v>39.254170755642789</v>
      </c>
      <c r="S42" s="36">
        <f t="shared" si="13"/>
        <v>5.0882111327370735E-3</v>
      </c>
      <c r="T42" s="36">
        <f t="shared" si="3"/>
        <v>0.30529266796422438</v>
      </c>
      <c r="U42" s="36">
        <f t="shared" si="4"/>
        <v>9.1587800389267322</v>
      </c>
      <c r="V42" s="36">
        <f t="shared" si="14"/>
        <v>6.068152164152556</v>
      </c>
      <c r="W42" s="36">
        <f t="shared" si="15"/>
        <v>0.14980013148391777</v>
      </c>
      <c r="X42" s="36">
        <f t="shared" si="16"/>
        <v>29.440628066732092</v>
      </c>
    </row>
    <row r="43" spans="1:24" x14ac:dyDescent="0.2">
      <c r="A43" s="173" t="s">
        <v>1002</v>
      </c>
      <c r="B43" s="174" t="s">
        <v>1003</v>
      </c>
      <c r="C43" s="174" t="s">
        <v>1004</v>
      </c>
      <c r="D43" s="174" t="s">
        <v>1005</v>
      </c>
      <c r="E43" s="174" t="s">
        <v>1009</v>
      </c>
      <c r="F43" s="174" t="s">
        <v>1006</v>
      </c>
      <c r="G43" s="174" t="s">
        <v>1007</v>
      </c>
      <c r="H43" s="174"/>
      <c r="I43" s="174"/>
      <c r="J43" s="174"/>
      <c r="K43">
        <v>14</v>
      </c>
      <c r="L43" s="36">
        <f t="shared" si="0"/>
        <v>20</v>
      </c>
      <c r="M43" t="s">
        <v>569</v>
      </c>
      <c r="N43" s="36">
        <f t="shared" si="1"/>
        <v>2038</v>
      </c>
      <c r="O43">
        <f t="shared" si="11"/>
        <v>3.0894034826666679</v>
      </c>
      <c r="P43" s="124">
        <f t="shared" si="9"/>
        <v>5.0812278704612366</v>
      </c>
      <c r="Q43" s="174">
        <f t="shared" si="10"/>
        <v>10.114867518776157</v>
      </c>
      <c r="R43" s="36">
        <f t="shared" si="12"/>
        <v>39.254170755642789</v>
      </c>
      <c r="S43" s="36">
        <f t="shared" si="13"/>
        <v>5.0882111327370735E-3</v>
      </c>
      <c r="T43" s="36">
        <f t="shared" si="3"/>
        <v>0.30529266796422438</v>
      </c>
      <c r="U43" s="36">
        <f t="shared" si="4"/>
        <v>9.1587800389267322</v>
      </c>
      <c r="V43" s="36">
        <f t="shared" si="14"/>
        <v>6.37344483211678</v>
      </c>
      <c r="W43" s="36">
        <f t="shared" si="15"/>
        <v>0.14980013148391777</v>
      </c>
      <c r="X43" s="36">
        <f t="shared" si="16"/>
        <v>29.440628066732092</v>
      </c>
    </row>
    <row r="44" spans="1:24" x14ac:dyDescent="0.2">
      <c r="A44" s="173">
        <f>L26/N26</f>
        <v>9.7991180793728563E-3</v>
      </c>
      <c r="B44" s="174">
        <f>A44*60</f>
        <v>0.58794708476237134</v>
      </c>
      <c r="C44" s="174">
        <f>(B44*60)</f>
        <v>35.276825085742281</v>
      </c>
      <c r="D44" s="174">
        <f>C44*0.5</f>
        <v>17.638412542871141</v>
      </c>
      <c r="E44" s="174">
        <f>D44*E47</f>
        <v>38.232659018400007</v>
      </c>
      <c r="F44" s="174">
        <f>E44*0.2641720524</f>
        <v>10.100000001600099</v>
      </c>
      <c r="G44" s="174">
        <f>F44*60</f>
        <v>606.00000009600592</v>
      </c>
      <c r="H44" s="174"/>
      <c r="I44" s="174"/>
      <c r="J44" s="174"/>
      <c r="K44">
        <v>13</v>
      </c>
      <c r="L44" s="36">
        <f t="shared" si="0"/>
        <v>19</v>
      </c>
      <c r="M44" t="s">
        <v>569</v>
      </c>
      <c r="N44" s="36">
        <f t="shared" si="1"/>
        <v>2038</v>
      </c>
      <c r="O44">
        <f t="shared" si="11"/>
        <v>3.2533662373333345</v>
      </c>
      <c r="P44" s="124">
        <f t="shared" si="9"/>
        <v>4.8271664769381752</v>
      </c>
      <c r="Q44" s="174">
        <f t="shared" si="10"/>
        <v>9.6091241428373486</v>
      </c>
      <c r="R44" s="36">
        <f t="shared" si="12"/>
        <v>37.291462217860648</v>
      </c>
      <c r="S44" s="36">
        <f t="shared" si="13"/>
        <v>4.8338005761002197E-3</v>
      </c>
      <c r="T44" s="36">
        <f t="shared" si="3"/>
        <v>0.29002803456601317</v>
      </c>
      <c r="U44" s="36">
        <f t="shared" si="4"/>
        <v>8.7008410369803943</v>
      </c>
      <c r="V44" s="36">
        <f t="shared" si="14"/>
        <v>6.6634728666827936</v>
      </c>
      <c r="W44" s="36">
        <f t="shared" si="15"/>
        <v>0.14231012490972189</v>
      </c>
      <c r="X44" s="36">
        <f t="shared" si="16"/>
        <v>29.440628066732092</v>
      </c>
    </row>
    <row r="45" spans="1:24" x14ac:dyDescent="0.2">
      <c r="A45" s="173"/>
      <c r="B45" s="174"/>
      <c r="C45" s="174"/>
      <c r="D45" s="174"/>
      <c r="E45" s="174"/>
      <c r="F45" s="174"/>
      <c r="G45" s="174"/>
      <c r="H45" s="174"/>
      <c r="I45" s="174"/>
      <c r="J45" s="174"/>
      <c r="K45">
        <v>14</v>
      </c>
      <c r="L45" s="36">
        <f t="shared" si="0"/>
        <v>20</v>
      </c>
      <c r="M45" t="s">
        <v>569</v>
      </c>
      <c r="N45" s="36">
        <f t="shared" si="1"/>
        <v>2038</v>
      </c>
      <c r="O45">
        <f t="shared" si="11"/>
        <v>3.425958610666668</v>
      </c>
      <c r="P45" s="124">
        <f t="shared" si="9"/>
        <v>5.0812278704612366</v>
      </c>
      <c r="Q45" s="174">
        <f t="shared" si="10"/>
        <v>10.114867518776157</v>
      </c>
      <c r="R45" s="36">
        <f t="shared" si="12"/>
        <v>39.254170755642789</v>
      </c>
      <c r="S45" s="36">
        <f t="shared" si="13"/>
        <v>5.0882111327370735E-3</v>
      </c>
      <c r="T45" s="36">
        <f t="shared" si="3"/>
        <v>0.30529266796422438</v>
      </c>
      <c r="U45" s="36">
        <f t="shared" si="4"/>
        <v>9.1587800389267322</v>
      </c>
      <c r="V45" s="36">
        <f t="shared" si="14"/>
        <v>6.9687655346470176</v>
      </c>
      <c r="W45" s="36">
        <f t="shared" si="15"/>
        <v>0.14980013148391777</v>
      </c>
      <c r="X45" s="36">
        <f t="shared" si="16"/>
        <v>29.440628066732092</v>
      </c>
    </row>
    <row r="46" spans="1:24" x14ac:dyDescent="0.2">
      <c r="A46" s="30"/>
      <c r="E46">
        <f>F46*3.785411784</f>
        <v>38.2326590184</v>
      </c>
      <c r="F46">
        <v>10.1</v>
      </c>
      <c r="G46">
        <f>F46*60</f>
        <v>606</v>
      </c>
      <c r="K46">
        <v>13</v>
      </c>
      <c r="L46" s="36">
        <f t="shared" si="0"/>
        <v>19</v>
      </c>
      <c r="M46" t="s">
        <v>569</v>
      </c>
      <c r="N46" s="36">
        <f t="shared" si="1"/>
        <v>2038</v>
      </c>
      <c r="O46">
        <f t="shared" si="11"/>
        <v>3.5899213653333346</v>
      </c>
      <c r="P46" s="124">
        <f t="shared" si="9"/>
        <v>4.8271664769381752</v>
      </c>
      <c r="Q46" s="174">
        <f t="shared" si="10"/>
        <v>9.6091241428373486</v>
      </c>
      <c r="R46" s="36">
        <f t="shared" si="12"/>
        <v>37.291462217860648</v>
      </c>
      <c r="S46" s="36">
        <f t="shared" si="13"/>
        <v>4.8338005761002197E-3</v>
      </c>
      <c r="T46" s="36">
        <f t="shared" si="3"/>
        <v>0.29002803456601317</v>
      </c>
      <c r="U46" s="36">
        <f t="shared" si="4"/>
        <v>8.7008410369803943</v>
      </c>
      <c r="V46" s="36">
        <f t="shared" si="14"/>
        <v>7.2587935692130312</v>
      </c>
      <c r="W46" s="36">
        <f t="shared" si="15"/>
        <v>0.14231012490972189</v>
      </c>
      <c r="X46" s="36">
        <f t="shared" si="16"/>
        <v>29.440628066732092</v>
      </c>
    </row>
    <row r="47" spans="1:24" x14ac:dyDescent="0.2">
      <c r="A47" s="30"/>
      <c r="D47" s="175" t="s">
        <v>1008</v>
      </c>
      <c r="E47" s="175">
        <f>E46/D44</f>
        <v>2.167579362682067</v>
      </c>
      <c r="K47">
        <v>14</v>
      </c>
      <c r="L47" s="36">
        <f t="shared" si="0"/>
        <v>20</v>
      </c>
      <c r="M47" t="s">
        <v>569</v>
      </c>
      <c r="N47" s="36">
        <f t="shared" si="1"/>
        <v>2038</v>
      </c>
      <c r="O47">
        <f t="shared" si="11"/>
        <v>3.7625137386666681</v>
      </c>
      <c r="P47" s="124">
        <f t="shared" si="9"/>
        <v>5.0812278704612366</v>
      </c>
      <c r="Q47" s="174">
        <f t="shared" si="10"/>
        <v>10.114867518776157</v>
      </c>
      <c r="R47" s="36">
        <f t="shared" si="12"/>
        <v>39.254170755642789</v>
      </c>
      <c r="S47" s="36">
        <f t="shared" si="13"/>
        <v>5.0882111327370735E-3</v>
      </c>
      <c r="T47" s="36">
        <f t="shared" si="3"/>
        <v>0.30529266796422438</v>
      </c>
      <c r="U47" s="36">
        <f t="shared" si="4"/>
        <v>9.1587800389267322</v>
      </c>
      <c r="V47" s="36">
        <f t="shared" si="14"/>
        <v>7.5640862371772553</v>
      </c>
      <c r="W47" s="36">
        <f t="shared" si="15"/>
        <v>0.14980013148391777</v>
      </c>
      <c r="X47" s="36">
        <f t="shared" si="16"/>
        <v>29.440628066732092</v>
      </c>
    </row>
    <row r="48" spans="1:24" x14ac:dyDescent="0.2">
      <c r="A48" s="30"/>
      <c r="E48" s="175">
        <f>1/E47</f>
        <v>0.46134412294950261</v>
      </c>
      <c r="K48">
        <v>14</v>
      </c>
      <c r="L48" s="36">
        <f t="shared" si="0"/>
        <v>20</v>
      </c>
      <c r="M48" t="s">
        <v>639</v>
      </c>
      <c r="N48" s="36">
        <f t="shared" si="1"/>
        <v>2040</v>
      </c>
      <c r="O48">
        <f t="shared" si="11"/>
        <v>3.9351061120000015</v>
      </c>
      <c r="P48" s="124">
        <f t="shared" si="9"/>
        <v>5.0762462745098054</v>
      </c>
      <c r="Q48" s="174">
        <f t="shared" si="10"/>
        <v>10.104950981993042</v>
      </c>
      <c r="R48" s="36">
        <f t="shared" si="12"/>
        <v>39.215686274509807</v>
      </c>
      <c r="S48" s="36">
        <f t="shared" si="13"/>
        <v>5.0782391387927716E-3</v>
      </c>
      <c r="T48" s="36">
        <f t="shared" si="3"/>
        <v>0.30469434832756631</v>
      </c>
      <c r="U48" s="36">
        <f t="shared" si="4"/>
        <v>9.1408304498269892</v>
      </c>
      <c r="V48" s="36">
        <f t="shared" si="14"/>
        <v>7.8687805855048216</v>
      </c>
      <c r="W48" s="36">
        <f t="shared" si="15"/>
        <v>0.14935997467037562</v>
      </c>
      <c r="X48" s="36">
        <f t="shared" si="16"/>
        <v>29.411764705882351</v>
      </c>
    </row>
    <row r="49" spans="1:24" x14ac:dyDescent="0.2">
      <c r="A49" s="30"/>
      <c r="K49">
        <v>14</v>
      </c>
      <c r="L49" s="36">
        <f t="shared" si="0"/>
        <v>20</v>
      </c>
      <c r="M49" t="s">
        <v>619</v>
      </c>
      <c r="N49" s="36">
        <f t="shared" si="1"/>
        <v>2039</v>
      </c>
      <c r="O49">
        <f t="shared" si="11"/>
        <v>4.1076984853333345</v>
      </c>
      <c r="P49" s="124">
        <f t="shared" si="9"/>
        <v>5.0787358509073073</v>
      </c>
      <c r="Q49" s="174">
        <f t="shared" si="10"/>
        <v>10.109906818668859</v>
      </c>
      <c r="R49" s="36">
        <f t="shared" si="12"/>
        <v>39.234919077979399</v>
      </c>
      <c r="S49" s="36">
        <f t="shared" si="13"/>
        <v>5.0832214677929456E-3</v>
      </c>
      <c r="T49" s="36">
        <f t="shared" si="3"/>
        <v>0.30499328806757675</v>
      </c>
      <c r="U49" s="36">
        <f t="shared" si="4"/>
        <v>9.149798642027303</v>
      </c>
      <c r="V49" s="36">
        <f t="shared" si="14"/>
        <v>8.173773873572399</v>
      </c>
      <c r="W49" s="36">
        <f t="shared" si="15"/>
        <v>0.1495798372082279</v>
      </c>
      <c r="X49" s="36">
        <f t="shared" si="16"/>
        <v>29.426189308484549</v>
      </c>
    </row>
    <row r="50" spans="1:24" x14ac:dyDescent="0.2">
      <c r="A50" t="s">
        <v>1010</v>
      </c>
      <c r="B50" t="s">
        <v>1011</v>
      </c>
      <c r="E50">
        <f>(E48/60)/1000</f>
        <v>7.689068715825043E-6</v>
      </c>
      <c r="K50">
        <v>14</v>
      </c>
      <c r="L50" s="36">
        <f t="shared" si="0"/>
        <v>20</v>
      </c>
      <c r="M50" t="s">
        <v>569</v>
      </c>
      <c r="N50" s="36">
        <f t="shared" si="1"/>
        <v>2038</v>
      </c>
      <c r="O50">
        <f t="shared" si="11"/>
        <v>4.2802908586666675</v>
      </c>
      <c r="P50" s="124">
        <f t="shared" si="9"/>
        <v>5.0812278704612366</v>
      </c>
      <c r="Q50" s="174">
        <f t="shared" si="10"/>
        <v>10.114867518776157</v>
      </c>
      <c r="R50" s="36">
        <f t="shared" si="12"/>
        <v>39.254170755642789</v>
      </c>
      <c r="S50" s="36">
        <f t="shared" si="13"/>
        <v>5.0882111327370735E-3</v>
      </c>
      <c r="T50" s="36">
        <f t="shared" si="3"/>
        <v>0.30529266796422438</v>
      </c>
      <c r="U50" s="36">
        <f t="shared" si="4"/>
        <v>9.1587800389267322</v>
      </c>
      <c r="V50" s="36">
        <f t="shared" si="14"/>
        <v>8.4790665415366231</v>
      </c>
      <c r="W50" s="36">
        <f t="shared" si="15"/>
        <v>0.14980013148391777</v>
      </c>
      <c r="X50" s="36">
        <f t="shared" si="16"/>
        <v>29.440628066732092</v>
      </c>
    </row>
    <row r="51" spans="1:24" x14ac:dyDescent="0.2">
      <c r="A51">
        <f>(E44/60)</f>
        <v>0.63721098364000006</v>
      </c>
      <c r="B51">
        <f>A51*0.2641720524</f>
        <v>0.16833333336000164</v>
      </c>
      <c r="C51">
        <f>B51*(N26/1000)</f>
        <v>0.34356833338776332</v>
      </c>
      <c r="D51">
        <f>B51*60</f>
        <v>10.100000001600099</v>
      </c>
      <c r="K51">
        <v>13</v>
      </c>
      <c r="L51" s="36">
        <f t="shared" si="0"/>
        <v>19</v>
      </c>
      <c r="M51" t="s">
        <v>569</v>
      </c>
      <c r="N51" s="36">
        <f t="shared" si="1"/>
        <v>2038</v>
      </c>
      <c r="O51">
        <f t="shared" si="11"/>
        <v>4.4442536133333341</v>
      </c>
      <c r="P51" s="124">
        <f t="shared" si="9"/>
        <v>4.8271664769381752</v>
      </c>
      <c r="Q51" s="174">
        <f t="shared" si="10"/>
        <v>9.6091241428373486</v>
      </c>
      <c r="R51" s="36">
        <f t="shared" si="12"/>
        <v>37.291462217860648</v>
      </c>
      <c r="S51" s="36">
        <f t="shared" si="13"/>
        <v>4.8338005761002197E-3</v>
      </c>
      <c r="T51" s="36">
        <f t="shared" si="3"/>
        <v>0.29002803456601317</v>
      </c>
      <c r="U51" s="36">
        <f t="shared" si="4"/>
        <v>8.7008410369803943</v>
      </c>
      <c r="V51" s="36">
        <f t="shared" si="14"/>
        <v>8.7690945761026367</v>
      </c>
      <c r="W51" s="36">
        <f t="shared" si="15"/>
        <v>0.14231012490972189</v>
      </c>
      <c r="X51" s="36">
        <f t="shared" si="16"/>
        <v>29.440628066732092</v>
      </c>
    </row>
    <row r="52" spans="1:24" x14ac:dyDescent="0.2">
      <c r="A52" s="30"/>
      <c r="K52">
        <v>14</v>
      </c>
      <c r="L52" s="36">
        <f t="shared" si="0"/>
        <v>20</v>
      </c>
      <c r="M52" t="s">
        <v>619</v>
      </c>
      <c r="N52" s="36">
        <f t="shared" si="1"/>
        <v>2039</v>
      </c>
      <c r="O52">
        <f t="shared" si="11"/>
        <v>4.6168459866666671</v>
      </c>
      <c r="P52" s="124">
        <f t="shared" si="9"/>
        <v>5.0787358509073073</v>
      </c>
      <c r="Q52" s="174">
        <f t="shared" si="10"/>
        <v>10.109906818668859</v>
      </c>
      <c r="R52" s="36">
        <f t="shared" si="12"/>
        <v>39.234919077979399</v>
      </c>
      <c r="S52" s="36">
        <f t="shared" si="13"/>
        <v>5.0832214677929456E-3</v>
      </c>
      <c r="T52" s="36">
        <f t="shared" si="3"/>
        <v>0.30499328806757675</v>
      </c>
      <c r="U52" s="36">
        <f t="shared" si="4"/>
        <v>9.149798642027303</v>
      </c>
      <c r="V52" s="36">
        <f t="shared" si="14"/>
        <v>9.0740878641702132</v>
      </c>
      <c r="W52" s="36">
        <f t="shared" si="15"/>
        <v>0.1495798372082279</v>
      </c>
      <c r="X52" s="36">
        <f t="shared" si="16"/>
        <v>29.426189308484549</v>
      </c>
    </row>
    <row r="53" spans="1:24" x14ac:dyDescent="0.2">
      <c r="A53" s="176" t="s">
        <v>1012</v>
      </c>
      <c r="B53" s="57"/>
      <c r="C53" s="57"/>
      <c r="D53" s="57"/>
      <c r="E53" s="57"/>
      <c r="F53" s="57"/>
      <c r="G53" s="57"/>
      <c r="H53" s="57"/>
      <c r="I53" s="57"/>
      <c r="J53" s="124">
        <f>N26/1000</f>
        <v>2.0409999999999999</v>
      </c>
      <c r="K53">
        <v>14</v>
      </c>
      <c r="L53" s="36">
        <f t="shared" si="0"/>
        <v>20</v>
      </c>
      <c r="M53" t="s">
        <v>569</v>
      </c>
      <c r="N53" s="36">
        <f t="shared" si="1"/>
        <v>2038</v>
      </c>
      <c r="O53">
        <f t="shared" si="11"/>
        <v>4.7894383600000001</v>
      </c>
      <c r="P53" s="124">
        <f t="shared" si="9"/>
        <v>5.0812278704612366</v>
      </c>
      <c r="Q53" s="174">
        <f t="shared" si="10"/>
        <v>10.114867518776157</v>
      </c>
      <c r="R53" s="36">
        <f t="shared" si="12"/>
        <v>39.254170755642789</v>
      </c>
      <c r="S53" s="36">
        <f t="shared" si="13"/>
        <v>5.0882111327370735E-3</v>
      </c>
      <c r="T53" s="36">
        <f t="shared" si="3"/>
        <v>0.30529266796422438</v>
      </c>
      <c r="U53" s="36">
        <f t="shared" si="4"/>
        <v>9.1587800389267322</v>
      </c>
      <c r="V53" s="36">
        <f t="shared" si="14"/>
        <v>9.3793805321344372</v>
      </c>
      <c r="W53" s="36">
        <f t="shared" si="15"/>
        <v>0.14980013148391777</v>
      </c>
      <c r="X53" s="36">
        <f t="shared" si="16"/>
        <v>29.440628066732092</v>
      </c>
    </row>
    <row r="54" spans="1:24" x14ac:dyDescent="0.2">
      <c r="A54" s="176" t="s">
        <v>1013</v>
      </c>
      <c r="B54" s="57"/>
      <c r="C54" s="57"/>
      <c r="D54" s="57"/>
      <c r="E54" s="57"/>
      <c r="F54" s="57"/>
      <c r="G54" s="57"/>
      <c r="H54" s="57"/>
      <c r="I54" s="57"/>
      <c r="J54" s="124">
        <f>L26/J53</f>
        <v>9.7991180793728567</v>
      </c>
      <c r="K54">
        <v>14</v>
      </c>
      <c r="L54" s="36">
        <f t="shared" si="0"/>
        <v>20</v>
      </c>
      <c r="M54" t="s">
        <v>569</v>
      </c>
      <c r="N54" s="36">
        <f t="shared" si="1"/>
        <v>2038</v>
      </c>
      <c r="O54">
        <f t="shared" si="11"/>
        <v>4.9620307333333331</v>
      </c>
      <c r="P54" s="124">
        <f t="shared" si="9"/>
        <v>5.0812278704612366</v>
      </c>
      <c r="Q54" s="174">
        <f t="shared" si="10"/>
        <v>10.114867518776157</v>
      </c>
      <c r="R54" s="36">
        <f t="shared" si="12"/>
        <v>39.254170755642789</v>
      </c>
      <c r="S54" s="36">
        <f t="shared" si="13"/>
        <v>5.0882111327370735E-3</v>
      </c>
      <c r="T54" s="36">
        <f t="shared" si="3"/>
        <v>0.30529266796422438</v>
      </c>
      <c r="U54" s="36">
        <f t="shared" si="4"/>
        <v>9.1587800389267322</v>
      </c>
      <c r="V54" s="36">
        <f t="shared" si="14"/>
        <v>9.6846732000986613</v>
      </c>
      <c r="W54" s="36">
        <f t="shared" si="15"/>
        <v>0.14980013148391777</v>
      </c>
      <c r="X54" s="36">
        <f t="shared" si="16"/>
        <v>29.440628066732092</v>
      </c>
    </row>
    <row r="55" spans="1:24" x14ac:dyDescent="0.2">
      <c r="A55" s="176" t="s">
        <v>1014</v>
      </c>
      <c r="B55" s="57"/>
      <c r="C55" s="57"/>
      <c r="D55" s="57"/>
      <c r="E55" s="57"/>
      <c r="F55" s="57"/>
      <c r="G55" s="57"/>
      <c r="H55" s="57"/>
      <c r="I55" s="57"/>
      <c r="J55" s="124">
        <f>2*J54</f>
        <v>19.598236158745713</v>
      </c>
      <c r="K55">
        <v>14</v>
      </c>
      <c r="L55" s="36">
        <f t="shared" si="0"/>
        <v>20</v>
      </c>
      <c r="M55" t="s">
        <v>569</v>
      </c>
      <c r="N55" s="36">
        <f t="shared" si="1"/>
        <v>2038</v>
      </c>
      <c r="O55">
        <f t="shared" si="11"/>
        <v>5.1346231066666661</v>
      </c>
      <c r="P55" s="124">
        <f t="shared" si="9"/>
        <v>5.0812278704612366</v>
      </c>
      <c r="Q55" s="174">
        <f t="shared" si="10"/>
        <v>10.114867518776157</v>
      </c>
      <c r="R55" s="36">
        <f t="shared" si="12"/>
        <v>39.254170755642789</v>
      </c>
      <c r="S55" s="36">
        <f t="shared" si="13"/>
        <v>5.0882111327370735E-3</v>
      </c>
      <c r="T55" s="36">
        <f t="shared" si="3"/>
        <v>0.30529266796422438</v>
      </c>
      <c r="U55" s="36">
        <f t="shared" si="4"/>
        <v>9.1587800389267322</v>
      </c>
      <c r="V55" s="36">
        <f t="shared" si="14"/>
        <v>9.9899658680628853</v>
      </c>
      <c r="W55" s="36">
        <f t="shared" si="15"/>
        <v>0.14980013148391777</v>
      </c>
      <c r="X55" s="36">
        <f t="shared" si="16"/>
        <v>29.440628066732092</v>
      </c>
    </row>
    <row r="56" spans="1:24" x14ac:dyDescent="0.2">
      <c r="A56" s="176" t="s">
        <v>1015</v>
      </c>
      <c r="B56" s="57"/>
      <c r="C56" s="57"/>
      <c r="D56" s="57"/>
      <c r="E56" s="57"/>
      <c r="F56" s="57"/>
      <c r="G56" s="57"/>
      <c r="H56" s="57">
        <v>0.98</v>
      </c>
      <c r="I56" s="57"/>
      <c r="J56" s="124">
        <f>J55*$H$56</f>
        <v>19.206271435570798</v>
      </c>
      <c r="K56">
        <v>13</v>
      </c>
      <c r="L56" s="36">
        <f t="shared" si="0"/>
        <v>19</v>
      </c>
      <c r="M56" t="s">
        <v>569</v>
      </c>
      <c r="N56" s="36">
        <f t="shared" si="1"/>
        <v>2038</v>
      </c>
      <c r="O56">
        <f t="shared" si="11"/>
        <v>5.2985858613333328</v>
      </c>
      <c r="P56" s="124">
        <f t="shared" si="9"/>
        <v>4.8271664769381752</v>
      </c>
      <c r="Q56" s="174">
        <f t="shared" si="10"/>
        <v>9.6091241428373486</v>
      </c>
      <c r="R56" s="36">
        <f t="shared" si="12"/>
        <v>37.291462217860648</v>
      </c>
      <c r="S56" s="36">
        <f t="shared" si="13"/>
        <v>4.8338005761002197E-3</v>
      </c>
      <c r="T56" s="36">
        <f t="shared" si="3"/>
        <v>0.29002803456601317</v>
      </c>
      <c r="U56" s="36">
        <f t="shared" si="4"/>
        <v>8.7008410369803943</v>
      </c>
      <c r="V56" s="36">
        <f t="shared" si="14"/>
        <v>10.279993902628899</v>
      </c>
      <c r="W56" s="36">
        <f t="shared" si="15"/>
        <v>0.14231012490972189</v>
      </c>
      <c r="X56" s="36">
        <f t="shared" si="16"/>
        <v>29.440628066732092</v>
      </c>
    </row>
    <row r="57" spans="1:24" x14ac:dyDescent="0.2">
      <c r="A57" s="176" t="s">
        <v>1016</v>
      </c>
      <c r="B57" s="57"/>
      <c r="C57" s="57"/>
      <c r="D57" s="57"/>
      <c r="E57" s="57"/>
      <c r="F57" s="57" t="s">
        <v>1020</v>
      </c>
      <c r="G57" s="57"/>
      <c r="H57" s="57">
        <v>0.26417200000000002</v>
      </c>
      <c r="I57" s="57"/>
      <c r="J57" s="124">
        <f>J56*$H$57</f>
        <v>5.0737591376776097</v>
      </c>
      <c r="K57">
        <v>14</v>
      </c>
      <c r="L57" s="36">
        <f t="shared" si="0"/>
        <v>20</v>
      </c>
      <c r="M57" t="s">
        <v>569</v>
      </c>
      <c r="N57" s="36">
        <f t="shared" si="1"/>
        <v>2038</v>
      </c>
      <c r="O57">
        <f t="shared" si="11"/>
        <v>5.4711782346666658</v>
      </c>
      <c r="P57" s="124">
        <f t="shared" si="9"/>
        <v>5.0812278704612366</v>
      </c>
      <c r="Q57" s="174">
        <f t="shared" si="10"/>
        <v>10.114867518776157</v>
      </c>
      <c r="R57" s="36">
        <f t="shared" si="12"/>
        <v>39.254170755642789</v>
      </c>
      <c r="S57" s="36">
        <f t="shared" si="13"/>
        <v>5.0882111327370735E-3</v>
      </c>
      <c r="T57" s="36">
        <f t="shared" si="3"/>
        <v>0.30529266796422438</v>
      </c>
      <c r="U57" s="36">
        <f t="shared" si="4"/>
        <v>9.1587800389267322</v>
      </c>
      <c r="V57" s="36">
        <f t="shared" si="14"/>
        <v>10.585286570593123</v>
      </c>
      <c r="W57" s="36">
        <f t="shared" si="15"/>
        <v>0.14980013148391777</v>
      </c>
      <c r="X57" s="36">
        <f t="shared" si="16"/>
        <v>29.440628066732092</v>
      </c>
    </row>
    <row r="58" spans="1:24" x14ac:dyDescent="0.2">
      <c r="A58" s="176"/>
      <c r="B58" s="57"/>
      <c r="C58" s="57"/>
      <c r="D58" s="57"/>
      <c r="E58" s="57"/>
      <c r="F58" s="57"/>
      <c r="G58" s="57"/>
      <c r="H58" s="57"/>
      <c r="I58" s="57"/>
      <c r="J58" s="124"/>
      <c r="K58">
        <v>14</v>
      </c>
      <c r="L58" s="36">
        <f t="shared" si="0"/>
        <v>20</v>
      </c>
      <c r="M58" t="s">
        <v>569</v>
      </c>
      <c r="N58" s="36">
        <f t="shared" si="1"/>
        <v>2038</v>
      </c>
      <c r="O58">
        <f t="shared" si="11"/>
        <v>5.6437706079999987</v>
      </c>
      <c r="P58" s="124">
        <f t="shared" si="9"/>
        <v>5.0812278704612366</v>
      </c>
      <c r="Q58" s="174">
        <f t="shared" si="10"/>
        <v>10.114867518776157</v>
      </c>
      <c r="R58" s="36">
        <f t="shared" si="12"/>
        <v>39.254170755642789</v>
      </c>
      <c r="S58" s="36">
        <f t="shared" si="13"/>
        <v>5.0882111327370735E-3</v>
      </c>
      <c r="T58" s="36">
        <f t="shared" si="3"/>
        <v>0.30529266796422438</v>
      </c>
      <c r="U58" s="36">
        <f t="shared" si="4"/>
        <v>9.1587800389267322</v>
      </c>
      <c r="V58" s="36">
        <f t="shared" si="14"/>
        <v>10.890579238557347</v>
      </c>
      <c r="W58" s="36">
        <f t="shared" si="15"/>
        <v>0.14980013148391777</v>
      </c>
      <c r="X58" s="36">
        <f t="shared" si="16"/>
        <v>29.440628066732092</v>
      </c>
    </row>
    <row r="59" spans="1:24" x14ac:dyDescent="0.2">
      <c r="A59" s="176" t="s">
        <v>1017</v>
      </c>
      <c r="B59" s="57"/>
      <c r="C59" s="57"/>
      <c r="D59" s="57"/>
      <c r="E59" s="57"/>
      <c r="F59" s="57"/>
      <c r="G59" s="57"/>
      <c r="H59" s="57"/>
      <c r="I59" s="57"/>
      <c r="J59" s="124"/>
      <c r="K59">
        <v>14</v>
      </c>
      <c r="L59" s="36">
        <f t="shared" si="0"/>
        <v>20</v>
      </c>
      <c r="M59" t="s">
        <v>619</v>
      </c>
      <c r="N59" s="36">
        <f t="shared" si="1"/>
        <v>2039</v>
      </c>
      <c r="O59">
        <f t="shared" si="11"/>
        <v>5.8163629813333317</v>
      </c>
      <c r="P59" s="124">
        <f t="shared" si="9"/>
        <v>5.0787358509073073</v>
      </c>
      <c r="Q59" s="174">
        <f t="shared" si="10"/>
        <v>10.109906818668859</v>
      </c>
      <c r="R59" s="36">
        <f t="shared" si="12"/>
        <v>39.234919077979399</v>
      </c>
      <c r="S59" s="36">
        <f t="shared" si="13"/>
        <v>5.0832214677929456E-3</v>
      </c>
      <c r="T59" s="36">
        <f t="shared" si="3"/>
        <v>0.30499328806757675</v>
      </c>
      <c r="U59" s="36">
        <f t="shared" si="4"/>
        <v>9.149798642027303</v>
      </c>
      <c r="V59" s="36">
        <f t="shared" si="14"/>
        <v>11.195572526624924</v>
      </c>
      <c r="W59" s="36">
        <f t="shared" si="15"/>
        <v>0.1495798372082279</v>
      </c>
      <c r="X59" s="36">
        <f t="shared" si="16"/>
        <v>29.426189308484549</v>
      </c>
    </row>
    <row r="60" spans="1:24" x14ac:dyDescent="0.2">
      <c r="A60" s="176" t="s">
        <v>1018</v>
      </c>
      <c r="B60" s="57"/>
      <c r="C60" s="57"/>
      <c r="D60" s="57"/>
      <c r="E60" s="57"/>
      <c r="F60" s="57"/>
      <c r="G60" s="57"/>
      <c r="H60" s="57"/>
      <c r="I60" s="57"/>
      <c r="J60" s="124">
        <f>J57*(J53/60)</f>
        <v>0.17259237333333335</v>
      </c>
      <c r="K60">
        <v>14</v>
      </c>
      <c r="L60" s="36">
        <f t="shared" si="0"/>
        <v>20</v>
      </c>
      <c r="M60" t="s">
        <v>619</v>
      </c>
      <c r="N60" s="36">
        <f t="shared" si="1"/>
        <v>2039</v>
      </c>
      <c r="O60">
        <f t="shared" si="11"/>
        <v>5.9889553546666647</v>
      </c>
      <c r="P60" s="124">
        <f t="shared" si="9"/>
        <v>5.0787358509073073</v>
      </c>
      <c r="Q60" s="174">
        <f t="shared" si="10"/>
        <v>10.109906818668859</v>
      </c>
      <c r="R60" s="36">
        <f t="shared" si="12"/>
        <v>39.234919077979399</v>
      </c>
      <c r="S60" s="36">
        <f t="shared" si="13"/>
        <v>5.0832214677929456E-3</v>
      </c>
      <c r="T60" s="36">
        <f t="shared" si="3"/>
        <v>0.30499328806757675</v>
      </c>
      <c r="U60" s="36">
        <f t="shared" si="4"/>
        <v>9.149798642027303</v>
      </c>
      <c r="V60" s="36">
        <f t="shared" si="14"/>
        <v>11.5005658146925</v>
      </c>
      <c r="W60" s="36">
        <f t="shared" si="15"/>
        <v>0.1495798372082279</v>
      </c>
      <c r="X60" s="36">
        <f t="shared" si="16"/>
        <v>29.426189308484549</v>
      </c>
    </row>
    <row r="61" spans="1:24" x14ac:dyDescent="0.2">
      <c r="A61" s="176" t="s">
        <v>1019</v>
      </c>
      <c r="B61" s="57"/>
      <c r="C61" s="57"/>
      <c r="D61" s="57"/>
      <c r="E61" s="57"/>
      <c r="F61" s="57"/>
      <c r="G61" s="57"/>
      <c r="H61" s="57"/>
      <c r="I61" s="57"/>
      <c r="J61" s="124"/>
      <c r="K61">
        <v>14</v>
      </c>
      <c r="L61" s="36">
        <f t="shared" si="0"/>
        <v>20</v>
      </c>
      <c r="M61" t="s">
        <v>614</v>
      </c>
      <c r="N61" s="36">
        <f t="shared" si="1"/>
        <v>2041</v>
      </c>
      <c r="O61">
        <f t="shared" si="11"/>
        <v>6.1615477279999977</v>
      </c>
      <c r="P61" s="124">
        <f t="shared" si="9"/>
        <v>5.0737591376776097</v>
      </c>
      <c r="Q61" s="174">
        <f t="shared" si="10"/>
        <v>10.100000001600097</v>
      </c>
      <c r="R61" s="36">
        <f t="shared" si="12"/>
        <v>39.196472317491427</v>
      </c>
      <c r="S61" s="36">
        <f t="shared" si="13"/>
        <v>5.0732641313629154E-3</v>
      </c>
      <c r="T61" s="36">
        <f t="shared" si="3"/>
        <v>0.30439584788177493</v>
      </c>
      <c r="U61" s="36">
        <f t="shared" si="4"/>
        <v>9.1318754364532477</v>
      </c>
      <c r="V61" s="36">
        <f t="shared" si="14"/>
        <v>11.804961662574275</v>
      </c>
      <c r="W61" s="36">
        <f t="shared" si="15"/>
        <v>0.14914054281321654</v>
      </c>
      <c r="X61" s="36">
        <f t="shared" si="16"/>
        <v>29.39735423811857</v>
      </c>
    </row>
    <row r="62" spans="1:24" x14ac:dyDescent="0.2">
      <c r="A62" s="30"/>
      <c r="K62">
        <v>14</v>
      </c>
      <c r="L62" s="36">
        <f t="shared" si="0"/>
        <v>20</v>
      </c>
      <c r="M62" t="s">
        <v>619</v>
      </c>
      <c r="N62" s="36">
        <f t="shared" si="1"/>
        <v>2039</v>
      </c>
      <c r="O62">
        <f t="shared" si="11"/>
        <v>6.3341401013333307</v>
      </c>
      <c r="P62" s="124">
        <f t="shared" si="9"/>
        <v>5.0787358509073073</v>
      </c>
      <c r="Q62" s="174">
        <f t="shared" si="10"/>
        <v>10.109906818668859</v>
      </c>
      <c r="R62" s="36">
        <f t="shared" si="12"/>
        <v>39.234919077979399</v>
      </c>
      <c r="S62" s="36">
        <f t="shared" si="13"/>
        <v>5.0832214677929456E-3</v>
      </c>
      <c r="T62" s="36">
        <f t="shared" si="3"/>
        <v>0.30499328806757675</v>
      </c>
      <c r="U62" s="36">
        <f t="shared" si="4"/>
        <v>9.149798642027303</v>
      </c>
      <c r="V62" s="36">
        <f t="shared" si="14"/>
        <v>12.109954950641852</v>
      </c>
      <c r="W62" s="36">
        <f t="shared" si="15"/>
        <v>0.1495798372082279</v>
      </c>
      <c r="X62" s="36">
        <f t="shared" si="16"/>
        <v>29.426189308484549</v>
      </c>
    </row>
    <row r="63" spans="1:24" x14ac:dyDescent="0.2">
      <c r="A63" s="30"/>
    </row>
    <row r="64" spans="1:24" x14ac:dyDescent="0.2">
      <c r="A64" s="30"/>
    </row>
    <row r="65" spans="1:28" x14ac:dyDescent="0.2">
      <c r="A65" s="30"/>
    </row>
    <row r="66" spans="1:28" x14ac:dyDescent="0.2">
      <c r="A66" s="30"/>
    </row>
    <row r="67" spans="1:28" x14ac:dyDescent="0.2">
      <c r="A67" s="30"/>
    </row>
    <row r="68" spans="1:28" x14ac:dyDescent="0.2">
      <c r="A68" s="30"/>
    </row>
    <row r="69" spans="1:28" x14ac:dyDescent="0.2">
      <c r="A69" s="30"/>
    </row>
    <row r="70" spans="1:28" x14ac:dyDescent="0.2">
      <c r="A70" s="30"/>
    </row>
    <row r="71" spans="1:28" x14ac:dyDescent="0.2">
      <c r="A71" s="30"/>
    </row>
    <row r="72" spans="1:28" x14ac:dyDescent="0.2">
      <c r="A72" s="30"/>
    </row>
    <row r="73" spans="1:28" x14ac:dyDescent="0.2">
      <c r="A73" s="30"/>
    </row>
    <row r="74" spans="1:28" x14ac:dyDescent="0.2">
      <c r="A74" s="30"/>
    </row>
    <row r="75" spans="1:28" x14ac:dyDescent="0.2">
      <c r="A75" s="30"/>
    </row>
    <row r="76" spans="1:28" x14ac:dyDescent="0.2">
      <c r="A76" s="30"/>
    </row>
    <row r="77" spans="1:28" x14ac:dyDescent="0.2">
      <c r="A77" s="30"/>
    </row>
    <row r="78" spans="1:28" x14ac:dyDescent="0.2">
      <c r="A78" s="30"/>
    </row>
    <row r="80" spans="1:28" x14ac:dyDescent="0.2">
      <c r="A80" s="33">
        <v>13</v>
      </c>
      <c r="B80" t="s">
        <v>488</v>
      </c>
      <c r="C80">
        <v>1</v>
      </c>
      <c r="D80" t="s">
        <v>489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490</v>
      </c>
      <c r="N80">
        <v>0</v>
      </c>
      <c r="O80">
        <v>0</v>
      </c>
      <c r="Q80">
        <v>0</v>
      </c>
      <c r="R80">
        <v>0</v>
      </c>
      <c r="S80" t="s">
        <v>491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492</v>
      </c>
    </row>
    <row r="81" spans="1:33" hidden="1" x14ac:dyDescent="0.2">
      <c r="A81" t="s">
        <v>493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Q81">
        <v>0</v>
      </c>
      <c r="R81">
        <v>0</v>
      </c>
      <c r="S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">
        <v>458</v>
      </c>
    </row>
    <row r="82" spans="1:33" hidden="1" x14ac:dyDescent="0.2">
      <c r="A82">
        <v>0</v>
      </c>
      <c r="B82">
        <v>0.126802</v>
      </c>
      <c r="C82">
        <v>7.4149589999999996</v>
      </c>
      <c r="D82">
        <v>81.724997999999999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766</v>
      </c>
      <c r="L82">
        <v>0</v>
      </c>
      <c r="M82">
        <v>0</v>
      </c>
      <c r="N82">
        <v>0</v>
      </c>
      <c r="O82">
        <v>0</v>
      </c>
      <c r="Q82">
        <v>0</v>
      </c>
      <c r="R82">
        <v>0</v>
      </c>
      <c r="S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t="s">
        <v>494</v>
      </c>
      <c r="AD82" t="s">
        <v>495</v>
      </c>
      <c r="AE82">
        <v>3</v>
      </c>
      <c r="AF82" s="34">
        <v>0.55931712962962965</v>
      </c>
      <c r="AG82">
        <v>2023</v>
      </c>
    </row>
    <row r="83" spans="1:33" hidden="1" x14ac:dyDescent="0.2">
      <c r="A83" t="s">
        <v>493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Q83">
        <v>0</v>
      </c>
      <c r="R83">
        <v>0</v>
      </c>
      <c r="S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">
        <v>458</v>
      </c>
    </row>
    <row r="84" spans="1:33" hidden="1" x14ac:dyDescent="0.2">
      <c r="A84">
        <v>13</v>
      </c>
      <c r="B84" t="s">
        <v>488</v>
      </c>
      <c r="C84">
        <v>0</v>
      </c>
      <c r="D84" t="s">
        <v>489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496</v>
      </c>
      <c r="N84">
        <v>0</v>
      </c>
      <c r="O84">
        <v>0</v>
      </c>
      <c r="Q84">
        <v>0</v>
      </c>
      <c r="R84">
        <v>0</v>
      </c>
      <c r="S84" t="s">
        <v>491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492</v>
      </c>
    </row>
    <row r="85" spans="1:33" hidden="1" x14ac:dyDescent="0.2">
      <c r="A85">
        <v>0</v>
      </c>
      <c r="B85">
        <v>0.126802</v>
      </c>
      <c r="C85">
        <v>7.4149589999999996</v>
      </c>
      <c r="D85">
        <v>81.724997999999999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767</v>
      </c>
      <c r="L85">
        <v>0</v>
      </c>
      <c r="M85">
        <v>0</v>
      </c>
      <c r="N85">
        <v>0</v>
      </c>
      <c r="O85">
        <v>0</v>
      </c>
      <c r="Q85">
        <v>0</v>
      </c>
      <c r="R85">
        <v>0</v>
      </c>
      <c r="S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t="s">
        <v>494</v>
      </c>
      <c r="AD85" t="s">
        <v>495</v>
      </c>
      <c r="AE85">
        <v>3</v>
      </c>
      <c r="AF85" s="31">
        <v>0.55932870370370369</v>
      </c>
      <c r="AG85">
        <v>2023</v>
      </c>
    </row>
    <row r="86" spans="1:33" hidden="1" x14ac:dyDescent="0.2">
      <c r="A86" t="s">
        <v>493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Q86">
        <v>0</v>
      </c>
      <c r="R86">
        <v>0</v>
      </c>
      <c r="S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">
        <v>458</v>
      </c>
    </row>
    <row r="87" spans="1:33" hidden="1" x14ac:dyDescent="0.2">
      <c r="A87">
        <v>0</v>
      </c>
      <c r="B87">
        <v>0.126802</v>
      </c>
      <c r="C87">
        <v>7.4149589999999996</v>
      </c>
      <c r="D87">
        <v>81.724997999999999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767</v>
      </c>
      <c r="L87">
        <v>0</v>
      </c>
      <c r="M87">
        <v>0</v>
      </c>
      <c r="N87">
        <v>0</v>
      </c>
      <c r="O87">
        <v>0</v>
      </c>
      <c r="Q87">
        <v>0</v>
      </c>
      <c r="R87">
        <v>0</v>
      </c>
      <c r="S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t="s">
        <v>494</v>
      </c>
      <c r="AD87" t="s">
        <v>495</v>
      </c>
      <c r="AE87">
        <v>3</v>
      </c>
      <c r="AF87" s="31">
        <v>0.55934027777777773</v>
      </c>
      <c r="AG87">
        <v>2023</v>
      </c>
    </row>
    <row r="88" spans="1:33" x14ac:dyDescent="0.2">
      <c r="A88" t="s">
        <v>497</v>
      </c>
      <c r="B88" t="s">
        <v>498</v>
      </c>
      <c r="C88">
        <v>1</v>
      </c>
      <c r="D88" t="s">
        <v>499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300</v>
      </c>
      <c r="N88">
        <v>0</v>
      </c>
      <c r="O88">
        <v>0</v>
      </c>
      <c r="Q88">
        <v>0</v>
      </c>
      <c r="R88">
        <v>0</v>
      </c>
      <c r="S88" t="s">
        <v>500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492</v>
      </c>
    </row>
    <row r="89" spans="1:33" hidden="1" x14ac:dyDescent="0.2">
      <c r="A89" t="s">
        <v>493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Q89">
        <v>0</v>
      </c>
      <c r="R89">
        <v>0</v>
      </c>
      <c r="S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">
        <v>458</v>
      </c>
    </row>
    <row r="90" spans="1:33" hidden="1" x14ac:dyDescent="0.2">
      <c r="A90">
        <v>0.57060699999999998</v>
      </c>
      <c r="B90">
        <v>0.31700400000000001</v>
      </c>
      <c r="C90">
        <v>7.3173940000000002</v>
      </c>
      <c r="D90">
        <v>81.837494000000007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768</v>
      </c>
      <c r="L90">
        <v>0</v>
      </c>
      <c r="M90">
        <v>0</v>
      </c>
      <c r="N90">
        <v>0</v>
      </c>
      <c r="O90">
        <v>0</v>
      </c>
      <c r="Q90">
        <v>0</v>
      </c>
      <c r="R90">
        <v>0</v>
      </c>
      <c r="S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t="s">
        <v>494</v>
      </c>
      <c r="AD90" t="s">
        <v>495</v>
      </c>
      <c r="AE90">
        <v>3</v>
      </c>
      <c r="AF90" s="31">
        <v>0.55935185185185188</v>
      </c>
      <c r="AG90">
        <v>2023</v>
      </c>
    </row>
    <row r="91" spans="1:33" hidden="1" x14ac:dyDescent="0.2">
      <c r="A91" t="s">
        <v>493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Q91">
        <v>0</v>
      </c>
      <c r="R91">
        <v>0</v>
      </c>
      <c r="S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">
        <v>458</v>
      </c>
    </row>
    <row r="92" spans="1:33" hidden="1" x14ac:dyDescent="0.2">
      <c r="A92" t="s">
        <v>497</v>
      </c>
      <c r="B92" t="s">
        <v>498</v>
      </c>
      <c r="C92">
        <v>0</v>
      </c>
      <c r="D92" t="s">
        <v>501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301</v>
      </c>
      <c r="N92">
        <v>0</v>
      </c>
      <c r="O92">
        <v>0</v>
      </c>
      <c r="Q92">
        <v>0</v>
      </c>
      <c r="R92">
        <v>0</v>
      </c>
      <c r="S92" t="s">
        <v>500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">
        <v>492</v>
      </c>
    </row>
    <row r="93" spans="1:33" hidden="1" x14ac:dyDescent="0.2">
      <c r="A93">
        <v>0.57060699999999998</v>
      </c>
      <c r="B93">
        <v>0.31700400000000001</v>
      </c>
      <c r="C93">
        <v>23.708355000000001</v>
      </c>
      <c r="D93">
        <v>81.837494000000007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769</v>
      </c>
      <c r="L93">
        <v>0</v>
      </c>
      <c r="M93">
        <v>0</v>
      </c>
      <c r="N93">
        <v>0</v>
      </c>
      <c r="O93">
        <v>0</v>
      </c>
      <c r="Q93">
        <v>0</v>
      </c>
      <c r="R93">
        <v>0</v>
      </c>
      <c r="S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t="s">
        <v>494</v>
      </c>
      <c r="AD93" t="s">
        <v>495</v>
      </c>
      <c r="AE93">
        <v>3</v>
      </c>
      <c r="AF93" s="31">
        <v>0.55936342592592592</v>
      </c>
      <c r="AG93">
        <v>2023</v>
      </c>
    </row>
    <row r="94" spans="1:33" hidden="1" x14ac:dyDescent="0.2">
      <c r="A94" t="s">
        <v>493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Q94">
        <v>0</v>
      </c>
      <c r="R94">
        <v>0</v>
      </c>
      <c r="S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">
        <v>458</v>
      </c>
    </row>
    <row r="95" spans="1:33" hidden="1" x14ac:dyDescent="0.2">
      <c r="A95">
        <v>0.57060699999999998</v>
      </c>
      <c r="B95">
        <v>0.31700400000000001</v>
      </c>
      <c r="C95">
        <v>23.708355000000001</v>
      </c>
      <c r="D95">
        <v>81.837494000000007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769</v>
      </c>
      <c r="L95">
        <v>0</v>
      </c>
      <c r="M95">
        <v>0</v>
      </c>
      <c r="N95">
        <v>0</v>
      </c>
      <c r="O95">
        <v>0</v>
      </c>
      <c r="Q95">
        <v>0</v>
      </c>
      <c r="R95">
        <v>0</v>
      </c>
      <c r="S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t="s">
        <v>494</v>
      </c>
      <c r="AD95" t="s">
        <v>495</v>
      </c>
      <c r="AE95">
        <v>3</v>
      </c>
      <c r="AF95" s="31">
        <v>0.55937500000000007</v>
      </c>
      <c r="AG95">
        <v>2023</v>
      </c>
    </row>
    <row r="96" spans="1:33" x14ac:dyDescent="0.2">
      <c r="A96" t="s">
        <v>502</v>
      </c>
      <c r="B96" t="s">
        <v>498</v>
      </c>
      <c r="C96">
        <v>1</v>
      </c>
      <c r="D96" t="s">
        <v>503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302</v>
      </c>
      <c r="N96">
        <v>0</v>
      </c>
      <c r="O96">
        <v>0</v>
      </c>
      <c r="Q96">
        <v>0</v>
      </c>
      <c r="R96">
        <v>0</v>
      </c>
      <c r="S96" t="s">
        <v>500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492</v>
      </c>
    </row>
    <row r="97" spans="1:33" hidden="1" x14ac:dyDescent="0.2">
      <c r="A97" t="s">
        <v>493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Q97">
        <v>0</v>
      </c>
      <c r="R97">
        <v>0</v>
      </c>
      <c r="S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">
        <v>458</v>
      </c>
    </row>
    <row r="98" spans="1:33" hidden="1" x14ac:dyDescent="0.2">
      <c r="A98">
        <v>3.1066389999999999</v>
      </c>
      <c r="B98">
        <v>1.1623479999999999</v>
      </c>
      <c r="C98">
        <v>23.805921999999999</v>
      </c>
      <c r="D98">
        <v>81.837494000000007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770</v>
      </c>
      <c r="L98">
        <v>0</v>
      </c>
      <c r="M98">
        <v>0</v>
      </c>
      <c r="N98">
        <v>0</v>
      </c>
      <c r="O98">
        <v>0</v>
      </c>
      <c r="Q98">
        <v>0</v>
      </c>
      <c r="R98">
        <v>0</v>
      </c>
      <c r="S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t="s">
        <v>494</v>
      </c>
      <c r="AD98" t="s">
        <v>495</v>
      </c>
      <c r="AE98">
        <v>3</v>
      </c>
      <c r="AF98" s="31">
        <v>0.55938657407407411</v>
      </c>
      <c r="AG98">
        <v>2023</v>
      </c>
    </row>
    <row r="99" spans="1:33" hidden="1" x14ac:dyDescent="0.2">
      <c r="A99" t="s">
        <v>493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Q99">
        <v>0</v>
      </c>
      <c r="R99">
        <v>0</v>
      </c>
      <c r="S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">
        <v>458</v>
      </c>
    </row>
    <row r="100" spans="1:33" hidden="1" x14ac:dyDescent="0.2">
      <c r="A100" t="s">
        <v>502</v>
      </c>
      <c r="B100" t="s">
        <v>498</v>
      </c>
      <c r="C100">
        <v>0</v>
      </c>
      <c r="D100" t="s">
        <v>504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303</v>
      </c>
      <c r="N100">
        <v>0</v>
      </c>
      <c r="O100">
        <v>0</v>
      </c>
      <c r="Q100">
        <v>0</v>
      </c>
      <c r="R100">
        <v>0</v>
      </c>
      <c r="S100" t="s">
        <v>500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">
        <v>492</v>
      </c>
    </row>
    <row r="101" spans="1:33" hidden="1" x14ac:dyDescent="0.2">
      <c r="A101">
        <v>3.1066389999999999</v>
      </c>
      <c r="B101">
        <v>1.1623479999999999</v>
      </c>
      <c r="C101">
        <v>24.293747</v>
      </c>
      <c r="D101">
        <v>81.837494000000007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771</v>
      </c>
      <c r="L101">
        <v>0</v>
      </c>
      <c r="M101">
        <v>0</v>
      </c>
      <c r="N101">
        <v>0</v>
      </c>
      <c r="O101">
        <v>0</v>
      </c>
      <c r="Q101">
        <v>0</v>
      </c>
      <c r="R101">
        <v>0</v>
      </c>
      <c r="S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 t="s">
        <v>494</v>
      </c>
      <c r="AD101" t="s">
        <v>495</v>
      </c>
      <c r="AE101">
        <v>3</v>
      </c>
      <c r="AF101" s="31">
        <v>0.55939814814814814</v>
      </c>
      <c r="AG101">
        <v>2023</v>
      </c>
    </row>
    <row r="102" spans="1:33" hidden="1" x14ac:dyDescent="0.2">
      <c r="A102" t="s">
        <v>493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Q102">
        <v>0</v>
      </c>
      <c r="R102">
        <v>0</v>
      </c>
      <c r="S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">
        <v>458</v>
      </c>
    </row>
    <row r="103" spans="1:33" hidden="1" x14ac:dyDescent="0.2">
      <c r="A103">
        <v>3.1066389999999999</v>
      </c>
      <c r="B103">
        <v>1.1623479999999999</v>
      </c>
      <c r="C103">
        <v>24.293747</v>
      </c>
      <c r="D103">
        <v>81.837494000000007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771</v>
      </c>
      <c r="L103">
        <v>0</v>
      </c>
      <c r="M103">
        <v>0</v>
      </c>
      <c r="N103">
        <v>0</v>
      </c>
      <c r="O103">
        <v>0</v>
      </c>
      <c r="Q103">
        <v>0</v>
      </c>
      <c r="R103">
        <v>0</v>
      </c>
      <c r="S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 t="s">
        <v>494</v>
      </c>
      <c r="AD103" t="s">
        <v>495</v>
      </c>
      <c r="AE103">
        <v>3</v>
      </c>
      <c r="AF103" s="31">
        <v>0.55940972222222218</v>
      </c>
      <c r="AG103">
        <v>2023</v>
      </c>
    </row>
    <row r="104" spans="1:33" x14ac:dyDescent="0.2">
      <c r="A104">
        <v>77</v>
      </c>
      <c r="B104" t="s">
        <v>488</v>
      </c>
      <c r="C104">
        <v>1</v>
      </c>
      <c r="D104" t="s">
        <v>503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304</v>
      </c>
      <c r="N104">
        <v>0</v>
      </c>
      <c r="O104">
        <v>0</v>
      </c>
      <c r="Q104">
        <v>0</v>
      </c>
      <c r="R104">
        <v>0</v>
      </c>
      <c r="S104" t="s">
        <v>491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">
        <v>492</v>
      </c>
    </row>
    <row r="105" spans="1:33" hidden="1" x14ac:dyDescent="0.2">
      <c r="A105" t="s">
        <v>493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Q105">
        <v>0</v>
      </c>
      <c r="R105">
        <v>0</v>
      </c>
      <c r="S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458</v>
      </c>
    </row>
    <row r="106" spans="1:33" hidden="1" x14ac:dyDescent="0.2">
      <c r="A106">
        <v>5.5792700000000002</v>
      </c>
      <c r="B106">
        <v>1.986558</v>
      </c>
      <c r="C106">
        <v>23.805921999999999</v>
      </c>
      <c r="D106">
        <v>81.724997999999999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772</v>
      </c>
      <c r="L106">
        <v>0</v>
      </c>
      <c r="M106">
        <v>0</v>
      </c>
      <c r="N106">
        <v>0</v>
      </c>
      <c r="O106">
        <v>0</v>
      </c>
      <c r="Q106">
        <v>0</v>
      </c>
      <c r="R106">
        <v>0</v>
      </c>
      <c r="S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 t="s">
        <v>494</v>
      </c>
      <c r="AD106" t="s">
        <v>495</v>
      </c>
      <c r="AE106">
        <v>3</v>
      </c>
      <c r="AF106" s="31">
        <v>0.55942129629629633</v>
      </c>
      <c r="AG106">
        <v>2023</v>
      </c>
    </row>
    <row r="107" spans="1:33" hidden="1" x14ac:dyDescent="0.2">
      <c r="A107" t="s">
        <v>493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Q107">
        <v>0</v>
      </c>
      <c r="R107">
        <v>0</v>
      </c>
      <c r="S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">
        <v>458</v>
      </c>
    </row>
    <row r="108" spans="1:33" hidden="1" x14ac:dyDescent="0.2">
      <c r="A108">
        <v>77</v>
      </c>
      <c r="B108" t="s">
        <v>488</v>
      </c>
      <c r="C108">
        <v>0</v>
      </c>
      <c r="D108" t="s">
        <v>505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305</v>
      </c>
      <c r="N108">
        <v>0</v>
      </c>
      <c r="O108">
        <v>0</v>
      </c>
      <c r="Q108">
        <v>0</v>
      </c>
      <c r="R108">
        <v>0</v>
      </c>
      <c r="S108" t="s">
        <v>491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">
        <v>492</v>
      </c>
    </row>
    <row r="109" spans="1:33" hidden="1" x14ac:dyDescent="0.2">
      <c r="A109">
        <v>5.5792700000000002</v>
      </c>
      <c r="B109">
        <v>1.986558</v>
      </c>
      <c r="C109">
        <v>24.391311999999999</v>
      </c>
      <c r="D109">
        <v>81.724997999999999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773</v>
      </c>
      <c r="L109">
        <v>0</v>
      </c>
      <c r="M109">
        <v>0</v>
      </c>
      <c r="N109">
        <v>0</v>
      </c>
      <c r="O109">
        <v>0</v>
      </c>
      <c r="Q109">
        <v>0</v>
      </c>
      <c r="R109">
        <v>0</v>
      </c>
      <c r="S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 t="s">
        <v>494</v>
      </c>
      <c r="AD109" t="s">
        <v>495</v>
      </c>
      <c r="AE109">
        <v>3</v>
      </c>
      <c r="AF109" s="31">
        <v>0.55943287037037037</v>
      </c>
      <c r="AG109">
        <v>2023</v>
      </c>
    </row>
    <row r="110" spans="1:33" hidden="1" x14ac:dyDescent="0.2">
      <c r="A110" t="s">
        <v>493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Q110">
        <v>0</v>
      </c>
      <c r="R110">
        <v>0</v>
      </c>
      <c r="S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">
        <v>458</v>
      </c>
    </row>
    <row r="111" spans="1:33" hidden="1" x14ac:dyDescent="0.2">
      <c r="A111">
        <v>5.5792700000000002</v>
      </c>
      <c r="B111">
        <v>1.986558</v>
      </c>
      <c r="C111">
        <v>24.391311999999999</v>
      </c>
      <c r="D111">
        <v>81.724997999999999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773</v>
      </c>
      <c r="L111">
        <v>0</v>
      </c>
      <c r="M111">
        <v>0</v>
      </c>
      <c r="N111">
        <v>0</v>
      </c>
      <c r="O111">
        <v>0</v>
      </c>
      <c r="Q111">
        <v>0</v>
      </c>
      <c r="R111">
        <v>0</v>
      </c>
      <c r="S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 t="s">
        <v>494</v>
      </c>
      <c r="AD111" t="s">
        <v>495</v>
      </c>
      <c r="AE111">
        <v>3</v>
      </c>
      <c r="AF111" s="31">
        <v>0.55944444444444441</v>
      </c>
      <c r="AG111">
        <v>2023</v>
      </c>
    </row>
    <row r="112" spans="1:33" x14ac:dyDescent="0.2">
      <c r="A112">
        <v>77</v>
      </c>
      <c r="B112" t="s">
        <v>506</v>
      </c>
      <c r="C112">
        <v>1</v>
      </c>
      <c r="D112" t="s">
        <v>507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306</v>
      </c>
      <c r="N112">
        <v>0</v>
      </c>
      <c r="O112">
        <v>0</v>
      </c>
      <c r="Q112">
        <v>0</v>
      </c>
      <c r="R112">
        <v>0</v>
      </c>
      <c r="S112" t="s">
        <v>508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">
        <v>492</v>
      </c>
    </row>
    <row r="113" spans="1:33" hidden="1" x14ac:dyDescent="0.2">
      <c r="A113" t="s">
        <v>493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Q113">
        <v>0</v>
      </c>
      <c r="R113">
        <v>0</v>
      </c>
      <c r="S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">
        <v>458</v>
      </c>
    </row>
    <row r="114" spans="1:33" hidden="1" x14ac:dyDescent="0.2">
      <c r="A114">
        <v>8.0519020000000001</v>
      </c>
      <c r="B114">
        <v>2.8107690000000001</v>
      </c>
      <c r="C114">
        <v>23.903486000000001</v>
      </c>
      <c r="D114">
        <v>81.612503000000004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774</v>
      </c>
      <c r="L114">
        <v>0</v>
      </c>
      <c r="M114">
        <v>0</v>
      </c>
      <c r="N114">
        <v>0</v>
      </c>
      <c r="O114">
        <v>0</v>
      </c>
      <c r="Q114">
        <v>0</v>
      </c>
      <c r="R114">
        <v>0</v>
      </c>
      <c r="S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 t="s">
        <v>494</v>
      </c>
      <c r="AD114" t="s">
        <v>495</v>
      </c>
      <c r="AE114">
        <v>3</v>
      </c>
      <c r="AF114" s="31">
        <v>0.55945601851851856</v>
      </c>
      <c r="AG114">
        <v>2023</v>
      </c>
    </row>
    <row r="115" spans="1:33" hidden="1" x14ac:dyDescent="0.2">
      <c r="A115" t="s">
        <v>493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Q115">
        <v>0</v>
      </c>
      <c r="R115">
        <v>0</v>
      </c>
      <c r="S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">
        <v>458</v>
      </c>
    </row>
    <row r="116" spans="1:33" hidden="1" x14ac:dyDescent="0.2">
      <c r="A116">
        <v>77</v>
      </c>
      <c r="B116" t="s">
        <v>506</v>
      </c>
      <c r="C116">
        <v>0</v>
      </c>
      <c r="D116" t="s">
        <v>505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307</v>
      </c>
      <c r="N116">
        <v>0</v>
      </c>
      <c r="O116">
        <v>0</v>
      </c>
      <c r="Q116">
        <v>0</v>
      </c>
      <c r="R116">
        <v>0</v>
      </c>
      <c r="S116" t="s">
        <v>508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">
        <v>492</v>
      </c>
    </row>
    <row r="117" spans="1:33" hidden="1" x14ac:dyDescent="0.2">
      <c r="A117">
        <v>8.0519020000000001</v>
      </c>
      <c r="B117">
        <v>2.8107690000000001</v>
      </c>
      <c r="C117">
        <v>24.391311999999999</v>
      </c>
      <c r="D117">
        <v>81.612503000000004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775</v>
      </c>
      <c r="L117">
        <v>0</v>
      </c>
      <c r="M117">
        <v>0</v>
      </c>
      <c r="N117">
        <v>0</v>
      </c>
      <c r="O117">
        <v>0</v>
      </c>
      <c r="Q117">
        <v>0</v>
      </c>
      <c r="R117">
        <v>0</v>
      </c>
      <c r="S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 t="s">
        <v>494</v>
      </c>
      <c r="AD117" t="s">
        <v>495</v>
      </c>
      <c r="AE117">
        <v>3</v>
      </c>
      <c r="AF117" s="31">
        <v>0.5594675925925926</v>
      </c>
      <c r="AG117">
        <v>2023</v>
      </c>
    </row>
    <row r="118" spans="1:33" hidden="1" x14ac:dyDescent="0.2">
      <c r="A118" t="s">
        <v>493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Q118">
        <v>0</v>
      </c>
      <c r="R118">
        <v>0</v>
      </c>
      <c r="S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">
        <v>458</v>
      </c>
    </row>
    <row r="119" spans="1:33" hidden="1" x14ac:dyDescent="0.2">
      <c r="A119">
        <v>8.0519020000000001</v>
      </c>
      <c r="B119">
        <v>2.8107690000000001</v>
      </c>
      <c r="C119">
        <v>24.391311999999999</v>
      </c>
      <c r="D119">
        <v>81.612503000000004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775</v>
      </c>
      <c r="L119">
        <v>0</v>
      </c>
      <c r="M119">
        <v>0</v>
      </c>
      <c r="N119">
        <v>0</v>
      </c>
      <c r="O119">
        <v>0</v>
      </c>
      <c r="Q119">
        <v>0</v>
      </c>
      <c r="R119">
        <v>0</v>
      </c>
      <c r="S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 t="s">
        <v>494</v>
      </c>
      <c r="AD119" t="s">
        <v>495</v>
      </c>
      <c r="AE119">
        <v>3</v>
      </c>
      <c r="AF119" s="31">
        <v>0.55947916666666664</v>
      </c>
      <c r="AG119">
        <v>2023</v>
      </c>
    </row>
    <row r="120" spans="1:33" x14ac:dyDescent="0.2">
      <c r="A120">
        <v>77</v>
      </c>
      <c r="B120" t="s">
        <v>506</v>
      </c>
      <c r="C120">
        <v>1</v>
      </c>
      <c r="D120" t="s">
        <v>504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308</v>
      </c>
      <c r="N120">
        <v>0</v>
      </c>
      <c r="O120">
        <v>0</v>
      </c>
      <c r="Q120">
        <v>0</v>
      </c>
      <c r="R120">
        <v>0</v>
      </c>
      <c r="S120" t="s">
        <v>509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">
        <v>492</v>
      </c>
    </row>
    <row r="121" spans="1:33" hidden="1" x14ac:dyDescent="0.2">
      <c r="A121" t="s">
        <v>493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Q121">
        <v>0</v>
      </c>
      <c r="R121">
        <v>0</v>
      </c>
      <c r="S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">
        <v>458</v>
      </c>
    </row>
    <row r="122" spans="1:33" hidden="1" x14ac:dyDescent="0.2">
      <c r="A122">
        <v>10.524533</v>
      </c>
      <c r="B122">
        <v>3.634979</v>
      </c>
      <c r="C122">
        <v>24.293747</v>
      </c>
      <c r="D122">
        <v>81.5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776</v>
      </c>
      <c r="L122">
        <v>0</v>
      </c>
      <c r="M122">
        <v>0</v>
      </c>
      <c r="N122">
        <v>0</v>
      </c>
      <c r="O122">
        <v>0</v>
      </c>
      <c r="Q122">
        <v>0</v>
      </c>
      <c r="R122">
        <v>0</v>
      </c>
      <c r="S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 t="s">
        <v>494</v>
      </c>
      <c r="AD122" t="s">
        <v>495</v>
      </c>
      <c r="AE122">
        <v>3</v>
      </c>
      <c r="AF122" s="31">
        <v>0.55949074074074068</v>
      </c>
      <c r="AG122">
        <v>2023</v>
      </c>
    </row>
    <row r="123" spans="1:33" hidden="1" x14ac:dyDescent="0.2">
      <c r="A123" t="s">
        <v>493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Q123">
        <v>0</v>
      </c>
      <c r="R123">
        <v>0</v>
      </c>
      <c r="S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">
        <v>458</v>
      </c>
    </row>
    <row r="124" spans="1:33" hidden="1" x14ac:dyDescent="0.2">
      <c r="A124">
        <v>77</v>
      </c>
      <c r="B124" t="s">
        <v>506</v>
      </c>
      <c r="C124">
        <v>0</v>
      </c>
      <c r="D124" t="s">
        <v>504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309</v>
      </c>
      <c r="N124">
        <v>0</v>
      </c>
      <c r="O124">
        <v>0</v>
      </c>
      <c r="Q124">
        <v>0</v>
      </c>
      <c r="R124">
        <v>0</v>
      </c>
      <c r="S124" t="s">
        <v>509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">
        <v>492</v>
      </c>
    </row>
    <row r="125" spans="1:33" hidden="1" x14ac:dyDescent="0.2">
      <c r="A125">
        <v>10.524533</v>
      </c>
      <c r="B125">
        <v>3.634979</v>
      </c>
      <c r="C125">
        <v>24.293747</v>
      </c>
      <c r="D125">
        <v>81.5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777</v>
      </c>
      <c r="L125">
        <v>0</v>
      </c>
      <c r="M125">
        <v>0</v>
      </c>
      <c r="N125">
        <v>0</v>
      </c>
      <c r="O125">
        <v>0</v>
      </c>
      <c r="Q125">
        <v>0</v>
      </c>
      <c r="R125">
        <v>0</v>
      </c>
      <c r="S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 t="s">
        <v>494</v>
      </c>
      <c r="AD125" t="s">
        <v>495</v>
      </c>
      <c r="AE125">
        <v>3</v>
      </c>
      <c r="AF125" s="31">
        <v>0.55950231481481483</v>
      </c>
      <c r="AG125">
        <v>2023</v>
      </c>
    </row>
    <row r="126" spans="1:33" hidden="1" x14ac:dyDescent="0.2">
      <c r="A126" t="s">
        <v>493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Q126">
        <v>0</v>
      </c>
      <c r="R126">
        <v>0</v>
      </c>
      <c r="S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458</v>
      </c>
    </row>
    <row r="127" spans="1:33" hidden="1" x14ac:dyDescent="0.2">
      <c r="A127">
        <v>10.524533</v>
      </c>
      <c r="B127">
        <v>3.634979</v>
      </c>
      <c r="C127">
        <v>24.293747</v>
      </c>
      <c r="D127">
        <v>81.5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777</v>
      </c>
      <c r="L127">
        <v>0</v>
      </c>
      <c r="M127">
        <v>0</v>
      </c>
      <c r="N127">
        <v>0</v>
      </c>
      <c r="O127">
        <v>0</v>
      </c>
      <c r="Q127">
        <v>0</v>
      </c>
      <c r="R127">
        <v>0</v>
      </c>
      <c r="S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 t="s">
        <v>494</v>
      </c>
      <c r="AD127" t="s">
        <v>495</v>
      </c>
      <c r="AE127">
        <v>3</v>
      </c>
      <c r="AF127" s="31">
        <v>0.55951388888888887</v>
      </c>
      <c r="AG127">
        <v>2023</v>
      </c>
    </row>
    <row r="128" spans="1:33" x14ac:dyDescent="0.2">
      <c r="A128">
        <v>76</v>
      </c>
      <c r="B128" t="s">
        <v>506</v>
      </c>
      <c r="C128">
        <v>1</v>
      </c>
      <c r="D128" t="s">
        <v>510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511</v>
      </c>
      <c r="N128">
        <v>0</v>
      </c>
      <c r="O128">
        <v>0</v>
      </c>
      <c r="Q128">
        <v>0</v>
      </c>
      <c r="R128">
        <v>0</v>
      </c>
      <c r="S128" t="s">
        <v>509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">
        <v>492</v>
      </c>
    </row>
    <row r="129" spans="1:33" hidden="1" x14ac:dyDescent="0.2">
      <c r="A129" t="s">
        <v>493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Q129">
        <v>0</v>
      </c>
      <c r="R129">
        <v>0</v>
      </c>
      <c r="S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">
        <v>458</v>
      </c>
    </row>
    <row r="130" spans="1:33" hidden="1" x14ac:dyDescent="0.2">
      <c r="A130">
        <v>12.997165000000001</v>
      </c>
      <c r="B130">
        <v>4.4591890000000003</v>
      </c>
      <c r="C130">
        <v>24.586442999999999</v>
      </c>
      <c r="D130">
        <v>81.5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778</v>
      </c>
      <c r="L130">
        <v>0</v>
      </c>
      <c r="M130">
        <v>0</v>
      </c>
      <c r="N130">
        <v>0</v>
      </c>
      <c r="O130">
        <v>0</v>
      </c>
      <c r="Q130">
        <v>0</v>
      </c>
      <c r="R130">
        <v>0</v>
      </c>
      <c r="S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 t="s">
        <v>494</v>
      </c>
      <c r="AD130" t="s">
        <v>495</v>
      </c>
      <c r="AE130">
        <v>3</v>
      </c>
      <c r="AF130" s="31">
        <v>0.55952546296296302</v>
      </c>
      <c r="AG130">
        <v>2023</v>
      </c>
    </row>
    <row r="131" spans="1:33" hidden="1" x14ac:dyDescent="0.2">
      <c r="A131" t="s">
        <v>493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Q131">
        <v>0</v>
      </c>
      <c r="R131">
        <v>0</v>
      </c>
      <c r="S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">
        <v>458</v>
      </c>
    </row>
    <row r="132" spans="1:33" hidden="1" x14ac:dyDescent="0.2">
      <c r="A132">
        <v>76</v>
      </c>
      <c r="B132" t="s">
        <v>506</v>
      </c>
      <c r="C132">
        <v>0</v>
      </c>
      <c r="D132" t="s">
        <v>505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512</v>
      </c>
      <c r="N132">
        <v>0</v>
      </c>
      <c r="O132">
        <v>0</v>
      </c>
      <c r="Q132">
        <v>0</v>
      </c>
      <c r="R132">
        <v>0</v>
      </c>
      <c r="S132" t="s">
        <v>513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">
        <v>492</v>
      </c>
    </row>
    <row r="133" spans="1:33" hidden="1" x14ac:dyDescent="0.2">
      <c r="A133">
        <v>12.997165000000001</v>
      </c>
      <c r="B133">
        <v>4.4591890000000003</v>
      </c>
      <c r="C133">
        <v>24.391311999999999</v>
      </c>
      <c r="D133">
        <v>81.274994000000007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779</v>
      </c>
      <c r="L133">
        <v>0</v>
      </c>
      <c r="M133">
        <v>0</v>
      </c>
      <c r="N133">
        <v>0</v>
      </c>
      <c r="O133">
        <v>0</v>
      </c>
      <c r="Q133">
        <v>0</v>
      </c>
      <c r="R133">
        <v>0</v>
      </c>
      <c r="S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 t="s">
        <v>494</v>
      </c>
      <c r="AD133" t="s">
        <v>495</v>
      </c>
      <c r="AE133">
        <v>3</v>
      </c>
      <c r="AF133" s="31">
        <v>0.55953703703703705</v>
      </c>
      <c r="AG133">
        <v>2023</v>
      </c>
    </row>
    <row r="134" spans="1:33" hidden="1" x14ac:dyDescent="0.2">
      <c r="A134" t="s">
        <v>493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Q134">
        <v>0</v>
      </c>
      <c r="R134">
        <v>0</v>
      </c>
      <c r="S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">
        <v>458</v>
      </c>
    </row>
    <row r="135" spans="1:33" hidden="1" x14ac:dyDescent="0.2">
      <c r="A135">
        <v>12.997165000000001</v>
      </c>
      <c r="B135">
        <v>4.4591890000000003</v>
      </c>
      <c r="C135">
        <v>24.391311999999999</v>
      </c>
      <c r="D135">
        <v>81.274994000000007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779</v>
      </c>
      <c r="L135">
        <v>0</v>
      </c>
      <c r="M135">
        <v>0</v>
      </c>
      <c r="N135">
        <v>0</v>
      </c>
      <c r="O135">
        <v>0</v>
      </c>
      <c r="Q135">
        <v>0</v>
      </c>
      <c r="R135">
        <v>0</v>
      </c>
      <c r="S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 t="s">
        <v>494</v>
      </c>
      <c r="AD135" t="s">
        <v>495</v>
      </c>
      <c r="AE135">
        <v>3</v>
      </c>
      <c r="AF135" s="31">
        <v>0.55954861111111109</v>
      </c>
      <c r="AG135">
        <v>2023</v>
      </c>
    </row>
    <row r="136" spans="1:33" x14ac:dyDescent="0.2">
      <c r="A136">
        <v>75</v>
      </c>
      <c r="B136" t="s">
        <v>506</v>
      </c>
      <c r="C136">
        <v>1</v>
      </c>
      <c r="D136" t="s">
        <v>514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515</v>
      </c>
      <c r="N136">
        <v>0</v>
      </c>
      <c r="O136">
        <v>0</v>
      </c>
      <c r="Q136">
        <v>0</v>
      </c>
      <c r="R136">
        <v>0</v>
      </c>
      <c r="S136" t="s">
        <v>516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">
        <v>492</v>
      </c>
    </row>
    <row r="137" spans="1:33" hidden="1" x14ac:dyDescent="0.2">
      <c r="A137" t="s">
        <v>493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Q137">
        <v>0</v>
      </c>
      <c r="R137">
        <v>0</v>
      </c>
      <c r="S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">
        <v>458</v>
      </c>
    </row>
    <row r="138" spans="1:33" hidden="1" x14ac:dyDescent="0.2">
      <c r="A138">
        <v>15.469797</v>
      </c>
      <c r="B138">
        <v>5.2834000000000003</v>
      </c>
      <c r="C138">
        <v>24.196182</v>
      </c>
      <c r="D138">
        <v>81.162497999999999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780</v>
      </c>
      <c r="L138">
        <v>0</v>
      </c>
      <c r="M138">
        <v>0</v>
      </c>
      <c r="N138">
        <v>0</v>
      </c>
      <c r="O138">
        <v>0</v>
      </c>
      <c r="Q138">
        <v>0</v>
      </c>
      <c r="R138">
        <v>0</v>
      </c>
      <c r="S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 t="s">
        <v>494</v>
      </c>
      <c r="AD138" t="s">
        <v>495</v>
      </c>
      <c r="AE138">
        <v>3</v>
      </c>
      <c r="AF138" s="31">
        <v>0.55956018518518513</v>
      </c>
      <c r="AG138">
        <v>2023</v>
      </c>
    </row>
    <row r="139" spans="1:33" hidden="1" x14ac:dyDescent="0.2">
      <c r="A139" t="s">
        <v>493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Q139">
        <v>0</v>
      </c>
      <c r="R139">
        <v>0</v>
      </c>
      <c r="S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">
        <v>458</v>
      </c>
    </row>
    <row r="140" spans="1:33" hidden="1" x14ac:dyDescent="0.2">
      <c r="A140">
        <v>75</v>
      </c>
      <c r="B140" t="s">
        <v>506</v>
      </c>
      <c r="C140">
        <v>0</v>
      </c>
      <c r="D140" t="s">
        <v>510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517</v>
      </c>
      <c r="N140">
        <v>0</v>
      </c>
      <c r="O140">
        <v>0</v>
      </c>
      <c r="Q140">
        <v>0</v>
      </c>
      <c r="R140">
        <v>0</v>
      </c>
      <c r="S140" t="s">
        <v>516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">
        <v>492</v>
      </c>
    </row>
    <row r="141" spans="1:33" hidden="1" x14ac:dyDescent="0.2">
      <c r="A141">
        <v>15.469797</v>
      </c>
      <c r="B141">
        <v>5.2834000000000003</v>
      </c>
      <c r="C141">
        <v>24.586442999999999</v>
      </c>
      <c r="D141">
        <v>81.162497999999999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781</v>
      </c>
      <c r="L141">
        <v>0</v>
      </c>
      <c r="M141">
        <v>0</v>
      </c>
      <c r="N141">
        <v>0</v>
      </c>
      <c r="O141">
        <v>0</v>
      </c>
      <c r="Q141">
        <v>0</v>
      </c>
      <c r="R141">
        <v>0</v>
      </c>
      <c r="S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 t="s">
        <v>494</v>
      </c>
      <c r="AD141" t="s">
        <v>495</v>
      </c>
      <c r="AE141">
        <v>3</v>
      </c>
      <c r="AF141" s="31">
        <v>0.55957175925925928</v>
      </c>
      <c r="AG141">
        <v>2023</v>
      </c>
    </row>
    <row r="142" spans="1:33" hidden="1" x14ac:dyDescent="0.2">
      <c r="A142" t="s">
        <v>493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Q142">
        <v>0</v>
      </c>
      <c r="R142">
        <v>0</v>
      </c>
      <c r="S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">
        <v>458</v>
      </c>
    </row>
    <row r="143" spans="1:33" hidden="1" x14ac:dyDescent="0.2">
      <c r="A143">
        <v>15.469797</v>
      </c>
      <c r="B143">
        <v>5.2834000000000003</v>
      </c>
      <c r="C143">
        <v>24.586442999999999</v>
      </c>
      <c r="D143">
        <v>81.162497999999999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781</v>
      </c>
      <c r="L143">
        <v>0</v>
      </c>
      <c r="M143">
        <v>0</v>
      </c>
      <c r="N143">
        <v>0</v>
      </c>
      <c r="O143">
        <v>0</v>
      </c>
      <c r="Q143">
        <v>0</v>
      </c>
      <c r="R143">
        <v>0</v>
      </c>
      <c r="S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 t="s">
        <v>494</v>
      </c>
      <c r="AD143" t="s">
        <v>495</v>
      </c>
      <c r="AE143">
        <v>3</v>
      </c>
      <c r="AF143" s="31">
        <v>0.55958333333333332</v>
      </c>
      <c r="AG143">
        <v>2023</v>
      </c>
    </row>
    <row r="144" spans="1:33" x14ac:dyDescent="0.2">
      <c r="A144">
        <v>74</v>
      </c>
      <c r="B144" t="s">
        <v>506</v>
      </c>
      <c r="C144">
        <v>1</v>
      </c>
      <c r="D144" t="s">
        <v>518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519</v>
      </c>
      <c r="N144">
        <v>0</v>
      </c>
      <c r="O144">
        <v>0</v>
      </c>
      <c r="Q144">
        <v>0</v>
      </c>
      <c r="R144">
        <v>0</v>
      </c>
      <c r="S144" t="s">
        <v>516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">
        <v>492</v>
      </c>
    </row>
    <row r="145" spans="1:33" hidden="1" x14ac:dyDescent="0.2">
      <c r="A145" t="s">
        <v>493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Q145">
        <v>0</v>
      </c>
      <c r="R145">
        <v>0</v>
      </c>
      <c r="S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">
        <v>458</v>
      </c>
    </row>
    <row r="146" spans="1:33" hidden="1" x14ac:dyDescent="0.2">
      <c r="A146">
        <v>17.879026</v>
      </c>
      <c r="B146">
        <v>6.0864760000000002</v>
      </c>
      <c r="C146">
        <v>24.781573999999999</v>
      </c>
      <c r="D146">
        <v>81.162497999999999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782</v>
      </c>
      <c r="L146">
        <v>0</v>
      </c>
      <c r="M146">
        <v>0</v>
      </c>
      <c r="N146">
        <v>0</v>
      </c>
      <c r="O146">
        <v>0</v>
      </c>
      <c r="Q146">
        <v>0</v>
      </c>
      <c r="R146">
        <v>0</v>
      </c>
      <c r="S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 t="s">
        <v>494</v>
      </c>
      <c r="AD146" t="s">
        <v>495</v>
      </c>
      <c r="AE146">
        <v>3</v>
      </c>
      <c r="AF146" s="31">
        <v>0.55959490740740747</v>
      </c>
      <c r="AG146">
        <v>2023</v>
      </c>
    </row>
    <row r="147" spans="1:33" hidden="1" x14ac:dyDescent="0.2">
      <c r="A147" t="s">
        <v>493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Q147">
        <v>0</v>
      </c>
      <c r="R147">
        <v>0</v>
      </c>
      <c r="S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458</v>
      </c>
    </row>
    <row r="148" spans="1:33" hidden="1" x14ac:dyDescent="0.2">
      <c r="A148">
        <v>74</v>
      </c>
      <c r="B148" t="s">
        <v>506</v>
      </c>
      <c r="C148">
        <v>0</v>
      </c>
      <c r="D148">
        <v>102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520</v>
      </c>
      <c r="N148">
        <v>0</v>
      </c>
      <c r="O148">
        <v>0</v>
      </c>
      <c r="Q148">
        <v>0</v>
      </c>
      <c r="R148">
        <v>0</v>
      </c>
      <c r="S148" t="s">
        <v>521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">
        <v>492</v>
      </c>
    </row>
    <row r="149" spans="1:33" hidden="1" x14ac:dyDescent="0.2">
      <c r="A149">
        <v>17.879026</v>
      </c>
      <c r="B149">
        <v>6.0864760000000002</v>
      </c>
      <c r="C149">
        <v>25.171835000000002</v>
      </c>
      <c r="D149">
        <v>81.050003000000004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783</v>
      </c>
      <c r="L149">
        <v>0</v>
      </c>
      <c r="M149">
        <v>0</v>
      </c>
      <c r="N149">
        <v>0</v>
      </c>
      <c r="O149">
        <v>0</v>
      </c>
      <c r="Q149">
        <v>0</v>
      </c>
      <c r="R149">
        <v>0</v>
      </c>
      <c r="S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 t="s">
        <v>494</v>
      </c>
      <c r="AD149" t="s">
        <v>495</v>
      </c>
      <c r="AE149">
        <v>3</v>
      </c>
      <c r="AF149" s="31">
        <v>0.55960648148148151</v>
      </c>
      <c r="AG149">
        <v>2023</v>
      </c>
    </row>
    <row r="150" spans="1:33" hidden="1" x14ac:dyDescent="0.2">
      <c r="A150" t="s">
        <v>493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Q150">
        <v>0</v>
      </c>
      <c r="R150">
        <v>0</v>
      </c>
      <c r="S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">
        <v>458</v>
      </c>
    </row>
    <row r="151" spans="1:33" hidden="1" x14ac:dyDescent="0.2">
      <c r="A151">
        <v>17.879026</v>
      </c>
      <c r="B151">
        <v>6.0864760000000002</v>
      </c>
      <c r="C151">
        <v>25.171835000000002</v>
      </c>
      <c r="D151">
        <v>81.050003000000004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783</v>
      </c>
      <c r="L151">
        <v>0</v>
      </c>
      <c r="M151">
        <v>0</v>
      </c>
      <c r="N151">
        <v>0</v>
      </c>
      <c r="O151">
        <v>0</v>
      </c>
      <c r="Q151">
        <v>0</v>
      </c>
      <c r="R151">
        <v>0</v>
      </c>
      <c r="S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 t="s">
        <v>494</v>
      </c>
      <c r="AD151" t="s">
        <v>495</v>
      </c>
      <c r="AE151">
        <v>3</v>
      </c>
      <c r="AF151" s="31">
        <v>0.55961805555555555</v>
      </c>
      <c r="AG151">
        <v>2023</v>
      </c>
    </row>
    <row r="152" spans="1:33" x14ac:dyDescent="0.2">
      <c r="A152">
        <v>71</v>
      </c>
      <c r="B152" t="s">
        <v>506</v>
      </c>
      <c r="C152">
        <v>1</v>
      </c>
      <c r="D152" t="s">
        <v>522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310</v>
      </c>
      <c r="N152">
        <v>0</v>
      </c>
      <c r="O152">
        <v>0</v>
      </c>
      <c r="Q152">
        <v>0</v>
      </c>
      <c r="R152">
        <v>0</v>
      </c>
      <c r="S152" t="s">
        <v>523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">
        <v>492</v>
      </c>
    </row>
    <row r="153" spans="1:33" hidden="1" x14ac:dyDescent="0.2">
      <c r="A153" t="s">
        <v>493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Q153">
        <v>0</v>
      </c>
      <c r="R153">
        <v>0</v>
      </c>
      <c r="S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">
        <v>458</v>
      </c>
    </row>
    <row r="154" spans="1:33" hidden="1" x14ac:dyDescent="0.2">
      <c r="A154">
        <v>20.224857</v>
      </c>
      <c r="B154">
        <v>6.8684200000000004</v>
      </c>
      <c r="C154">
        <v>25.952356000000002</v>
      </c>
      <c r="D154">
        <v>80.9375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784</v>
      </c>
      <c r="L154">
        <v>0</v>
      </c>
      <c r="M154">
        <v>0</v>
      </c>
      <c r="N154">
        <v>0</v>
      </c>
      <c r="O154">
        <v>0</v>
      </c>
      <c r="Q154">
        <v>0</v>
      </c>
      <c r="R154">
        <v>0</v>
      </c>
      <c r="S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 t="s">
        <v>494</v>
      </c>
      <c r="AD154" t="s">
        <v>495</v>
      </c>
      <c r="AE154">
        <v>3</v>
      </c>
      <c r="AF154" s="31">
        <v>0.55962962962962959</v>
      </c>
      <c r="AG154">
        <v>2023</v>
      </c>
    </row>
    <row r="155" spans="1:33" hidden="1" x14ac:dyDescent="0.2">
      <c r="A155" t="s">
        <v>493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Q155">
        <v>0</v>
      </c>
      <c r="R155">
        <v>0</v>
      </c>
      <c r="S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">
        <v>458</v>
      </c>
    </row>
    <row r="156" spans="1:33" hidden="1" x14ac:dyDescent="0.2">
      <c r="A156">
        <v>71</v>
      </c>
      <c r="B156" t="s">
        <v>506</v>
      </c>
      <c r="C156">
        <v>0</v>
      </c>
      <c r="D156" t="s">
        <v>524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311</v>
      </c>
      <c r="N156">
        <v>0</v>
      </c>
      <c r="O156">
        <v>0</v>
      </c>
      <c r="Q156">
        <v>0</v>
      </c>
      <c r="R156">
        <v>0</v>
      </c>
      <c r="S156" t="s">
        <v>525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">
        <v>492</v>
      </c>
    </row>
    <row r="157" spans="1:33" hidden="1" x14ac:dyDescent="0.2">
      <c r="A157">
        <v>20.224857</v>
      </c>
      <c r="B157">
        <v>6.8684200000000004</v>
      </c>
      <c r="C157">
        <v>26.245052000000001</v>
      </c>
      <c r="D157">
        <v>80.824996999999996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785</v>
      </c>
      <c r="L157">
        <v>0</v>
      </c>
      <c r="M157">
        <v>0</v>
      </c>
      <c r="N157">
        <v>0</v>
      </c>
      <c r="O157">
        <v>0</v>
      </c>
      <c r="Q157">
        <v>0</v>
      </c>
      <c r="R157">
        <v>0</v>
      </c>
      <c r="S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 t="s">
        <v>494</v>
      </c>
      <c r="AD157" t="s">
        <v>495</v>
      </c>
      <c r="AE157">
        <v>3</v>
      </c>
      <c r="AF157" s="31">
        <v>0.55964120370370374</v>
      </c>
      <c r="AG157">
        <v>2023</v>
      </c>
    </row>
    <row r="158" spans="1:33" hidden="1" x14ac:dyDescent="0.2">
      <c r="A158" t="s">
        <v>493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Q158">
        <v>0</v>
      </c>
      <c r="R158">
        <v>0</v>
      </c>
      <c r="S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">
        <v>458</v>
      </c>
    </row>
    <row r="159" spans="1:33" hidden="1" x14ac:dyDescent="0.2">
      <c r="A159">
        <v>20.224857</v>
      </c>
      <c r="B159">
        <v>6.8684200000000004</v>
      </c>
      <c r="C159">
        <v>26.245052000000001</v>
      </c>
      <c r="D159">
        <v>80.824996999999996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785</v>
      </c>
      <c r="L159">
        <v>0</v>
      </c>
      <c r="M159">
        <v>0</v>
      </c>
      <c r="N159">
        <v>0</v>
      </c>
      <c r="O159">
        <v>0</v>
      </c>
      <c r="Q159">
        <v>0</v>
      </c>
      <c r="R159">
        <v>0</v>
      </c>
      <c r="S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 t="s">
        <v>494</v>
      </c>
      <c r="AD159" t="s">
        <v>495</v>
      </c>
      <c r="AE159">
        <v>3</v>
      </c>
      <c r="AF159" s="31">
        <v>0.55965277777777778</v>
      </c>
      <c r="AG159">
        <v>2023</v>
      </c>
    </row>
    <row r="160" spans="1:33" x14ac:dyDescent="0.2">
      <c r="A160">
        <v>69</v>
      </c>
      <c r="B160" t="s">
        <v>506</v>
      </c>
      <c r="C160">
        <v>1</v>
      </c>
      <c r="D160">
        <v>118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312</v>
      </c>
      <c r="N160">
        <v>0</v>
      </c>
      <c r="O160">
        <v>0</v>
      </c>
      <c r="Q160">
        <v>0</v>
      </c>
      <c r="R160">
        <v>0</v>
      </c>
      <c r="S160" t="s">
        <v>526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">
        <v>492</v>
      </c>
    </row>
    <row r="161" spans="1:33" hidden="1" x14ac:dyDescent="0.2">
      <c r="A161" t="s">
        <v>493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Q161">
        <v>0</v>
      </c>
      <c r="R161">
        <v>0</v>
      </c>
      <c r="S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">
        <v>458</v>
      </c>
    </row>
    <row r="162" spans="1:33" hidden="1" x14ac:dyDescent="0.2">
      <c r="A162">
        <v>22.443884000000001</v>
      </c>
      <c r="B162">
        <v>7.6080959999999997</v>
      </c>
      <c r="C162">
        <v>27.318269999999998</v>
      </c>
      <c r="D162">
        <v>80.712494000000007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786</v>
      </c>
      <c r="L162">
        <v>0</v>
      </c>
      <c r="M162">
        <v>0</v>
      </c>
      <c r="N162">
        <v>0</v>
      </c>
      <c r="O162">
        <v>0</v>
      </c>
      <c r="Q162">
        <v>0</v>
      </c>
      <c r="R162">
        <v>0</v>
      </c>
      <c r="S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 t="s">
        <v>494</v>
      </c>
      <c r="AD162" t="s">
        <v>495</v>
      </c>
      <c r="AE162">
        <v>3</v>
      </c>
      <c r="AF162" s="31">
        <v>0.55966435185185182</v>
      </c>
      <c r="AG162">
        <v>2023</v>
      </c>
    </row>
    <row r="163" spans="1:33" hidden="1" x14ac:dyDescent="0.2">
      <c r="A163" t="s">
        <v>493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Q163">
        <v>0</v>
      </c>
      <c r="R163">
        <v>0</v>
      </c>
      <c r="S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">
        <v>458</v>
      </c>
    </row>
    <row r="164" spans="1:33" hidden="1" x14ac:dyDescent="0.2">
      <c r="A164">
        <v>69</v>
      </c>
      <c r="B164" t="s">
        <v>506</v>
      </c>
      <c r="C164">
        <v>0</v>
      </c>
      <c r="D164" t="s">
        <v>527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313</v>
      </c>
      <c r="N164">
        <v>0</v>
      </c>
      <c r="O164">
        <v>0</v>
      </c>
      <c r="Q164">
        <v>0</v>
      </c>
      <c r="R164">
        <v>0</v>
      </c>
      <c r="S164" t="s">
        <v>526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492</v>
      </c>
    </row>
    <row r="165" spans="1:33" hidden="1" x14ac:dyDescent="0.2">
      <c r="A165">
        <v>22.443884000000001</v>
      </c>
      <c r="B165">
        <v>7.6080959999999997</v>
      </c>
      <c r="C165">
        <v>27.70853</v>
      </c>
      <c r="D165">
        <v>80.712494000000007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787</v>
      </c>
      <c r="L165">
        <v>0</v>
      </c>
      <c r="M165">
        <v>0</v>
      </c>
      <c r="N165">
        <v>0</v>
      </c>
      <c r="O165">
        <v>0</v>
      </c>
      <c r="Q165">
        <v>0</v>
      </c>
      <c r="R165">
        <v>0</v>
      </c>
      <c r="S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 t="s">
        <v>494</v>
      </c>
      <c r="AD165" t="s">
        <v>495</v>
      </c>
      <c r="AE165">
        <v>3</v>
      </c>
      <c r="AF165" s="31">
        <v>0.55967592592592597</v>
      </c>
      <c r="AG165">
        <v>2023</v>
      </c>
    </row>
    <row r="166" spans="1:33" hidden="1" x14ac:dyDescent="0.2">
      <c r="A166" t="s">
        <v>493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Q166">
        <v>0</v>
      </c>
      <c r="R166">
        <v>0</v>
      </c>
      <c r="S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">
        <v>458</v>
      </c>
    </row>
    <row r="167" spans="1:33" hidden="1" x14ac:dyDescent="0.2">
      <c r="A167">
        <v>22.443884000000001</v>
      </c>
      <c r="B167">
        <v>7.6080959999999997</v>
      </c>
      <c r="C167">
        <v>27.70853</v>
      </c>
      <c r="D167">
        <v>80.712494000000007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787</v>
      </c>
      <c r="L167">
        <v>0</v>
      </c>
      <c r="M167">
        <v>0</v>
      </c>
      <c r="N167">
        <v>0</v>
      </c>
      <c r="O167">
        <v>0</v>
      </c>
      <c r="Q167">
        <v>0</v>
      </c>
      <c r="R167">
        <v>0</v>
      </c>
      <c r="S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 t="s">
        <v>494</v>
      </c>
      <c r="AD167" t="s">
        <v>495</v>
      </c>
      <c r="AE167">
        <v>3</v>
      </c>
      <c r="AF167" s="31">
        <v>0.5596875</v>
      </c>
      <c r="AG167">
        <v>2023</v>
      </c>
    </row>
    <row r="168" spans="1:33" x14ac:dyDescent="0.2">
      <c r="A168" t="s">
        <v>528</v>
      </c>
      <c r="B168" t="s">
        <v>506</v>
      </c>
      <c r="C168">
        <v>1</v>
      </c>
      <c r="D168">
        <v>126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314</v>
      </c>
      <c r="N168">
        <v>0</v>
      </c>
      <c r="O168">
        <v>0</v>
      </c>
      <c r="Q168">
        <v>0</v>
      </c>
      <c r="R168">
        <v>0</v>
      </c>
      <c r="S168" t="s">
        <v>529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492</v>
      </c>
    </row>
    <row r="169" spans="1:33" hidden="1" x14ac:dyDescent="0.2">
      <c r="A169" t="s">
        <v>493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Q169">
        <v>0</v>
      </c>
      <c r="R169">
        <v>0</v>
      </c>
      <c r="S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">
        <v>458</v>
      </c>
    </row>
    <row r="170" spans="1:33" hidden="1" x14ac:dyDescent="0.2">
      <c r="A170">
        <v>23.838701</v>
      </c>
      <c r="B170">
        <v>8.2632370000000002</v>
      </c>
      <c r="C170">
        <v>28.684183000000001</v>
      </c>
      <c r="D170">
        <v>80.599997999999999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788</v>
      </c>
      <c r="L170">
        <v>0</v>
      </c>
      <c r="M170">
        <v>0</v>
      </c>
      <c r="N170">
        <v>0</v>
      </c>
      <c r="O170">
        <v>0</v>
      </c>
      <c r="Q170">
        <v>0</v>
      </c>
      <c r="R170">
        <v>0</v>
      </c>
      <c r="S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 t="s">
        <v>494</v>
      </c>
      <c r="AD170" t="s">
        <v>495</v>
      </c>
      <c r="AE170">
        <v>3</v>
      </c>
      <c r="AF170" s="31">
        <v>0.55969907407407404</v>
      </c>
      <c r="AG170">
        <v>2023</v>
      </c>
    </row>
    <row r="171" spans="1:33" hidden="1" x14ac:dyDescent="0.2">
      <c r="A171" t="s">
        <v>493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Q171">
        <v>0</v>
      </c>
      <c r="R171">
        <v>0</v>
      </c>
      <c r="S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">
        <v>458</v>
      </c>
    </row>
    <row r="172" spans="1:33" hidden="1" x14ac:dyDescent="0.2">
      <c r="A172" t="s">
        <v>528</v>
      </c>
      <c r="B172" t="s">
        <v>506</v>
      </c>
      <c r="C172">
        <v>0</v>
      </c>
      <c r="D172" t="s">
        <v>530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315</v>
      </c>
      <c r="N172">
        <v>0</v>
      </c>
      <c r="O172">
        <v>0</v>
      </c>
      <c r="Q172">
        <v>0</v>
      </c>
      <c r="R172">
        <v>0</v>
      </c>
      <c r="S172" t="s">
        <v>531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492</v>
      </c>
    </row>
    <row r="173" spans="1:33" hidden="1" x14ac:dyDescent="0.2">
      <c r="A173">
        <v>23.838701</v>
      </c>
      <c r="B173">
        <v>8.2632370000000002</v>
      </c>
      <c r="C173">
        <v>29.367139999999999</v>
      </c>
      <c r="D173">
        <v>80.487503000000004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789</v>
      </c>
      <c r="L173">
        <v>0</v>
      </c>
      <c r="M173">
        <v>0</v>
      </c>
      <c r="N173">
        <v>0</v>
      </c>
      <c r="O173">
        <v>0</v>
      </c>
      <c r="Q173">
        <v>0</v>
      </c>
      <c r="R173">
        <v>0</v>
      </c>
      <c r="S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 t="s">
        <v>494</v>
      </c>
      <c r="AD173" t="s">
        <v>495</v>
      </c>
      <c r="AE173">
        <v>3</v>
      </c>
      <c r="AF173" s="31">
        <v>0.55971064814814808</v>
      </c>
      <c r="AG173">
        <v>2023</v>
      </c>
    </row>
    <row r="174" spans="1:33" hidden="1" x14ac:dyDescent="0.2">
      <c r="A174" t="s">
        <v>493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Q174">
        <v>0</v>
      </c>
      <c r="R174">
        <v>0</v>
      </c>
      <c r="S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">
        <v>458</v>
      </c>
    </row>
    <row r="175" spans="1:33" hidden="1" x14ac:dyDescent="0.2">
      <c r="A175">
        <v>23.838701</v>
      </c>
      <c r="B175">
        <v>8.2632370000000002</v>
      </c>
      <c r="C175">
        <v>29.367139999999999</v>
      </c>
      <c r="D175">
        <v>80.487503000000004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789</v>
      </c>
      <c r="L175">
        <v>0</v>
      </c>
      <c r="M175">
        <v>0</v>
      </c>
      <c r="N175">
        <v>0</v>
      </c>
      <c r="O175">
        <v>0</v>
      </c>
      <c r="Q175">
        <v>0</v>
      </c>
      <c r="R175">
        <v>0</v>
      </c>
      <c r="S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 t="s">
        <v>494</v>
      </c>
      <c r="AD175" t="s">
        <v>495</v>
      </c>
      <c r="AE175">
        <v>3</v>
      </c>
      <c r="AF175" s="31">
        <v>0.55972222222222223</v>
      </c>
      <c r="AG175">
        <v>2023</v>
      </c>
    </row>
    <row r="176" spans="1:33" x14ac:dyDescent="0.2">
      <c r="A176">
        <v>54</v>
      </c>
      <c r="B176" t="s">
        <v>498</v>
      </c>
      <c r="C176">
        <v>1</v>
      </c>
      <c r="D176">
        <v>134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316</v>
      </c>
      <c r="N176">
        <v>0</v>
      </c>
      <c r="O176">
        <v>0</v>
      </c>
      <c r="Q176">
        <v>0</v>
      </c>
      <c r="R176">
        <v>0</v>
      </c>
      <c r="S176" t="s">
        <v>532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">
        <v>492</v>
      </c>
    </row>
    <row r="177" spans="1:33" hidden="1" x14ac:dyDescent="0.2">
      <c r="A177" t="s">
        <v>493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Q177">
        <v>0</v>
      </c>
      <c r="R177">
        <v>0</v>
      </c>
      <c r="S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">
        <v>458</v>
      </c>
    </row>
    <row r="178" spans="1:33" hidden="1" x14ac:dyDescent="0.2">
      <c r="A178">
        <v>23.077891999999999</v>
      </c>
      <c r="B178">
        <v>8.8549779999999991</v>
      </c>
      <c r="C178">
        <v>30.050097000000001</v>
      </c>
      <c r="D178">
        <v>80.375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790</v>
      </c>
      <c r="L178">
        <v>0</v>
      </c>
      <c r="M178">
        <v>0</v>
      </c>
      <c r="N178">
        <v>0</v>
      </c>
      <c r="O178">
        <v>0</v>
      </c>
      <c r="Q178">
        <v>0</v>
      </c>
      <c r="R178">
        <v>0</v>
      </c>
      <c r="S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 t="s">
        <v>494</v>
      </c>
      <c r="AD178" t="s">
        <v>495</v>
      </c>
      <c r="AE178">
        <v>3</v>
      </c>
      <c r="AF178" s="31">
        <v>0.55973379629629627</v>
      </c>
      <c r="AG178">
        <v>2023</v>
      </c>
    </row>
    <row r="179" spans="1:33" hidden="1" x14ac:dyDescent="0.2">
      <c r="A179" t="s">
        <v>493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Q179">
        <v>0</v>
      </c>
      <c r="R179">
        <v>0</v>
      </c>
      <c r="S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">
        <v>458</v>
      </c>
    </row>
    <row r="180" spans="1:33" hidden="1" x14ac:dyDescent="0.2">
      <c r="A180">
        <v>22.380482000000001</v>
      </c>
      <c r="B180">
        <v>9.4467180000000006</v>
      </c>
      <c r="C180">
        <v>30.050097000000001</v>
      </c>
      <c r="D180">
        <v>80.375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790</v>
      </c>
      <c r="L180">
        <v>0</v>
      </c>
      <c r="M180">
        <v>0</v>
      </c>
      <c r="N180">
        <v>0</v>
      </c>
      <c r="O180">
        <v>0</v>
      </c>
      <c r="Q180">
        <v>0</v>
      </c>
      <c r="R180">
        <v>0</v>
      </c>
      <c r="S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 t="s">
        <v>494</v>
      </c>
      <c r="AD180" t="s">
        <v>495</v>
      </c>
      <c r="AE180">
        <v>3</v>
      </c>
      <c r="AF180" s="31">
        <v>0.55974537037037042</v>
      </c>
      <c r="AG180">
        <v>2023</v>
      </c>
    </row>
    <row r="181" spans="1:33" hidden="1" x14ac:dyDescent="0.2">
      <c r="A181">
        <v>54</v>
      </c>
      <c r="B181" t="s">
        <v>498</v>
      </c>
      <c r="C181">
        <v>0</v>
      </c>
      <c r="D181">
        <v>139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317</v>
      </c>
      <c r="N181">
        <v>0</v>
      </c>
      <c r="O181">
        <v>0</v>
      </c>
      <c r="Q181">
        <v>0</v>
      </c>
      <c r="R181">
        <v>0</v>
      </c>
      <c r="S181" t="s">
        <v>533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">
        <v>492</v>
      </c>
    </row>
    <row r="182" spans="1:33" hidden="1" x14ac:dyDescent="0.2">
      <c r="A182" t="s">
        <v>493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Q182">
        <v>0</v>
      </c>
      <c r="R182">
        <v>0</v>
      </c>
      <c r="S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">
        <v>458</v>
      </c>
    </row>
    <row r="183" spans="1:33" hidden="1" x14ac:dyDescent="0.2">
      <c r="A183">
        <v>22.380482000000001</v>
      </c>
      <c r="B183">
        <v>9.4467180000000006</v>
      </c>
      <c r="C183">
        <v>30.537924</v>
      </c>
      <c r="D183">
        <v>80.262496999999996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791</v>
      </c>
      <c r="L183">
        <v>0</v>
      </c>
      <c r="M183">
        <v>0</v>
      </c>
      <c r="N183">
        <v>0</v>
      </c>
      <c r="O183">
        <v>0</v>
      </c>
      <c r="Q183">
        <v>0</v>
      </c>
      <c r="R183">
        <v>0</v>
      </c>
      <c r="S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 t="s">
        <v>494</v>
      </c>
      <c r="AD183" t="s">
        <v>495</v>
      </c>
      <c r="AE183">
        <v>3</v>
      </c>
      <c r="AF183" s="31">
        <v>0.55975694444444446</v>
      </c>
      <c r="AG183">
        <v>2023</v>
      </c>
    </row>
    <row r="184" spans="1:33" hidden="1" x14ac:dyDescent="0.2">
      <c r="A184" t="s">
        <v>493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Q184">
        <v>0</v>
      </c>
      <c r="R184">
        <v>0</v>
      </c>
      <c r="S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">
        <v>458</v>
      </c>
    </row>
    <row r="185" spans="1:33" x14ac:dyDescent="0.2">
      <c r="A185">
        <v>49</v>
      </c>
      <c r="B185" t="s">
        <v>498</v>
      </c>
      <c r="C185">
        <v>1</v>
      </c>
      <c r="D185" t="s">
        <v>534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318</v>
      </c>
      <c r="N185">
        <v>0</v>
      </c>
      <c r="O185">
        <v>0</v>
      </c>
      <c r="Q185">
        <v>0</v>
      </c>
      <c r="R185">
        <v>0</v>
      </c>
      <c r="S185" t="s">
        <v>535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492</v>
      </c>
    </row>
    <row r="186" spans="1:33" hidden="1" x14ac:dyDescent="0.2">
      <c r="A186">
        <v>21.429469999999998</v>
      </c>
      <c r="B186">
        <v>9.9539240000000007</v>
      </c>
      <c r="C186">
        <v>30.83062</v>
      </c>
      <c r="D186">
        <v>80.149994000000007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792</v>
      </c>
      <c r="L186">
        <v>0</v>
      </c>
      <c r="M186">
        <v>0</v>
      </c>
      <c r="N186">
        <v>0</v>
      </c>
      <c r="O186">
        <v>0</v>
      </c>
      <c r="Q186">
        <v>0</v>
      </c>
      <c r="R186">
        <v>0</v>
      </c>
      <c r="S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 t="s">
        <v>494</v>
      </c>
      <c r="AD186" t="s">
        <v>495</v>
      </c>
      <c r="AE186">
        <v>3</v>
      </c>
      <c r="AF186" s="31">
        <v>0.5597685185185185</v>
      </c>
      <c r="AG186">
        <v>2023</v>
      </c>
    </row>
    <row r="187" spans="1:33" hidden="1" x14ac:dyDescent="0.2">
      <c r="A187" t="s">
        <v>493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Q187">
        <v>0</v>
      </c>
      <c r="R187">
        <v>0</v>
      </c>
      <c r="S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">
        <v>458</v>
      </c>
    </row>
    <row r="188" spans="1:33" hidden="1" x14ac:dyDescent="0.2">
      <c r="A188">
        <v>20.478458</v>
      </c>
      <c r="B188">
        <v>10.461130000000001</v>
      </c>
      <c r="C188">
        <v>30.83062</v>
      </c>
      <c r="D188">
        <v>80.149994000000007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792</v>
      </c>
      <c r="L188">
        <v>0</v>
      </c>
      <c r="M188">
        <v>0</v>
      </c>
      <c r="N188">
        <v>0</v>
      </c>
      <c r="O188">
        <v>0</v>
      </c>
      <c r="Q188">
        <v>0</v>
      </c>
      <c r="R188">
        <v>0</v>
      </c>
      <c r="S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 t="s">
        <v>494</v>
      </c>
      <c r="AD188" t="s">
        <v>495</v>
      </c>
      <c r="AE188">
        <v>3</v>
      </c>
      <c r="AF188" s="31">
        <v>0.55978009259259254</v>
      </c>
      <c r="AG188">
        <v>2023</v>
      </c>
    </row>
    <row r="189" spans="1:33" hidden="1" x14ac:dyDescent="0.2">
      <c r="A189">
        <v>49</v>
      </c>
      <c r="B189" t="s">
        <v>498</v>
      </c>
      <c r="C189">
        <v>0</v>
      </c>
      <c r="D189" t="s">
        <v>536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319</v>
      </c>
      <c r="N189">
        <v>0</v>
      </c>
      <c r="O189">
        <v>0</v>
      </c>
      <c r="Q189">
        <v>0</v>
      </c>
      <c r="R189">
        <v>0</v>
      </c>
      <c r="S189" t="s">
        <v>537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">
        <v>492</v>
      </c>
    </row>
    <row r="190" spans="1:33" hidden="1" x14ac:dyDescent="0.2">
      <c r="A190" t="s">
        <v>493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Q190">
        <v>0</v>
      </c>
      <c r="R190">
        <v>0</v>
      </c>
      <c r="S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">
        <v>458</v>
      </c>
    </row>
    <row r="191" spans="1:33" hidden="1" x14ac:dyDescent="0.2">
      <c r="A191">
        <v>20.478458</v>
      </c>
      <c r="B191">
        <v>10.461130000000001</v>
      </c>
      <c r="C191">
        <v>31.025749000000001</v>
      </c>
      <c r="D191">
        <v>80.037497999999999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793</v>
      </c>
      <c r="L191">
        <v>0</v>
      </c>
      <c r="M191">
        <v>0</v>
      </c>
      <c r="N191">
        <v>0</v>
      </c>
      <c r="O191">
        <v>0</v>
      </c>
      <c r="Q191">
        <v>0</v>
      </c>
      <c r="R191">
        <v>0</v>
      </c>
      <c r="S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 t="s">
        <v>494</v>
      </c>
      <c r="AD191" t="s">
        <v>495</v>
      </c>
      <c r="AE191">
        <v>3</v>
      </c>
      <c r="AF191" s="31">
        <v>0.55979166666666669</v>
      </c>
      <c r="AG191">
        <v>2023</v>
      </c>
    </row>
    <row r="192" spans="1:33" hidden="1" x14ac:dyDescent="0.2">
      <c r="A192" t="s">
        <v>493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Q192">
        <v>0</v>
      </c>
      <c r="R192">
        <v>0</v>
      </c>
      <c r="S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">
        <v>458</v>
      </c>
    </row>
    <row r="193" spans="1:33" x14ac:dyDescent="0.2">
      <c r="A193">
        <v>44</v>
      </c>
      <c r="B193" t="s">
        <v>506</v>
      </c>
      <c r="C193">
        <v>1</v>
      </c>
      <c r="D193" t="s">
        <v>538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539</v>
      </c>
      <c r="N193">
        <v>0</v>
      </c>
      <c r="O193">
        <v>0</v>
      </c>
      <c r="Q193">
        <v>0</v>
      </c>
      <c r="R193">
        <v>0</v>
      </c>
      <c r="S193" t="s">
        <v>540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">
        <v>492</v>
      </c>
    </row>
    <row r="194" spans="1:33" hidden="1" x14ac:dyDescent="0.2">
      <c r="A194">
        <v>19.400644</v>
      </c>
      <c r="B194">
        <v>10.926069</v>
      </c>
      <c r="C194">
        <v>30.928184999999999</v>
      </c>
      <c r="D194">
        <v>79.925003000000004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794</v>
      </c>
      <c r="L194">
        <v>0</v>
      </c>
      <c r="M194">
        <v>0</v>
      </c>
      <c r="N194">
        <v>0</v>
      </c>
      <c r="O194">
        <v>0</v>
      </c>
      <c r="Q194">
        <v>0</v>
      </c>
      <c r="R194">
        <v>0</v>
      </c>
      <c r="S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 t="s">
        <v>494</v>
      </c>
      <c r="AD194" t="s">
        <v>495</v>
      </c>
      <c r="AE194">
        <v>3</v>
      </c>
      <c r="AF194" s="31">
        <v>0.55980324074074073</v>
      </c>
      <c r="AG194">
        <v>2023</v>
      </c>
    </row>
    <row r="195" spans="1:33" hidden="1" x14ac:dyDescent="0.2">
      <c r="A195" t="s">
        <v>493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Q195">
        <v>0</v>
      </c>
      <c r="R195">
        <v>0</v>
      </c>
      <c r="S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">
        <v>458</v>
      </c>
    </row>
    <row r="196" spans="1:33" hidden="1" x14ac:dyDescent="0.2">
      <c r="A196">
        <v>18.32283</v>
      </c>
      <c r="B196">
        <v>11.391007999999999</v>
      </c>
      <c r="C196">
        <v>30.928184999999999</v>
      </c>
      <c r="D196">
        <v>79.925003000000004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794</v>
      </c>
      <c r="L196">
        <v>0</v>
      </c>
      <c r="M196">
        <v>0</v>
      </c>
      <c r="N196">
        <v>0</v>
      </c>
      <c r="O196">
        <v>0</v>
      </c>
      <c r="Q196">
        <v>0</v>
      </c>
      <c r="R196">
        <v>0</v>
      </c>
      <c r="S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 t="s">
        <v>494</v>
      </c>
      <c r="AD196" t="s">
        <v>495</v>
      </c>
      <c r="AE196">
        <v>3</v>
      </c>
      <c r="AF196" s="31">
        <v>0.55981481481481488</v>
      </c>
      <c r="AG196">
        <v>2023</v>
      </c>
    </row>
    <row r="197" spans="1:33" hidden="1" x14ac:dyDescent="0.2">
      <c r="A197">
        <v>44</v>
      </c>
      <c r="B197" t="s">
        <v>506</v>
      </c>
      <c r="C197">
        <v>0</v>
      </c>
      <c r="D197">
        <v>140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541</v>
      </c>
      <c r="N197">
        <v>0</v>
      </c>
      <c r="O197">
        <v>0</v>
      </c>
      <c r="Q197">
        <v>0</v>
      </c>
      <c r="R197">
        <v>0</v>
      </c>
      <c r="S197" t="s">
        <v>540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">
        <v>492</v>
      </c>
    </row>
    <row r="198" spans="1:33" hidden="1" x14ac:dyDescent="0.2">
      <c r="A198" t="s">
        <v>493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Q198">
        <v>0</v>
      </c>
      <c r="R198">
        <v>0</v>
      </c>
      <c r="S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">
        <v>458</v>
      </c>
    </row>
    <row r="199" spans="1:33" hidden="1" x14ac:dyDescent="0.2">
      <c r="A199">
        <v>18.32283</v>
      </c>
      <c r="B199">
        <v>11.391007999999999</v>
      </c>
      <c r="C199">
        <v>31.220880999999999</v>
      </c>
      <c r="D199">
        <v>79.925003000000004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795</v>
      </c>
      <c r="L199">
        <v>0</v>
      </c>
      <c r="M199">
        <v>0</v>
      </c>
      <c r="N199">
        <v>0</v>
      </c>
      <c r="O199">
        <v>0</v>
      </c>
      <c r="Q199">
        <v>0</v>
      </c>
      <c r="R199">
        <v>0</v>
      </c>
      <c r="S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 t="s">
        <v>494</v>
      </c>
      <c r="AD199" t="s">
        <v>495</v>
      </c>
      <c r="AE199">
        <v>3</v>
      </c>
      <c r="AF199" s="31">
        <v>0.55982638888888892</v>
      </c>
      <c r="AG199">
        <v>2023</v>
      </c>
    </row>
    <row r="200" spans="1:33" hidden="1" x14ac:dyDescent="0.2">
      <c r="A200" t="s">
        <v>493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Q200">
        <v>0</v>
      </c>
      <c r="R200">
        <v>0</v>
      </c>
      <c r="S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">
        <v>458</v>
      </c>
    </row>
    <row r="201" spans="1:33" x14ac:dyDescent="0.2">
      <c r="A201">
        <v>43</v>
      </c>
      <c r="B201" t="s">
        <v>506</v>
      </c>
      <c r="C201">
        <v>1</v>
      </c>
      <c r="D201" t="s">
        <v>536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542</v>
      </c>
      <c r="N201">
        <v>0</v>
      </c>
      <c r="O201">
        <v>0</v>
      </c>
      <c r="Q201">
        <v>0</v>
      </c>
      <c r="R201">
        <v>0</v>
      </c>
      <c r="S201" t="s">
        <v>543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">
        <v>492</v>
      </c>
    </row>
    <row r="202" spans="1:33" hidden="1" x14ac:dyDescent="0.2">
      <c r="A202">
        <v>17.308416000000001</v>
      </c>
      <c r="B202">
        <v>11.855947</v>
      </c>
      <c r="C202">
        <v>31.025749000000001</v>
      </c>
      <c r="D202">
        <v>79.8125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796</v>
      </c>
      <c r="L202">
        <v>0</v>
      </c>
      <c r="M202">
        <v>0</v>
      </c>
      <c r="N202">
        <v>0</v>
      </c>
      <c r="O202">
        <v>0</v>
      </c>
      <c r="Q202">
        <v>0</v>
      </c>
      <c r="R202">
        <v>0</v>
      </c>
      <c r="S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 t="s">
        <v>494</v>
      </c>
      <c r="AD202" t="s">
        <v>495</v>
      </c>
      <c r="AE202">
        <v>3</v>
      </c>
      <c r="AF202" s="31">
        <v>0.55983796296296295</v>
      </c>
      <c r="AG202">
        <v>2023</v>
      </c>
    </row>
    <row r="203" spans="1:33" hidden="1" x14ac:dyDescent="0.2">
      <c r="A203" t="s">
        <v>493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Q203">
        <v>0</v>
      </c>
      <c r="R203">
        <v>0</v>
      </c>
      <c r="S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">
        <v>458</v>
      </c>
    </row>
    <row r="204" spans="1:33" hidden="1" x14ac:dyDescent="0.2">
      <c r="A204">
        <v>16.357405</v>
      </c>
      <c r="B204">
        <v>12.320887000000001</v>
      </c>
      <c r="C204">
        <v>31.025749000000001</v>
      </c>
      <c r="D204">
        <v>79.8125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796</v>
      </c>
      <c r="L204">
        <v>0</v>
      </c>
      <c r="M204">
        <v>0</v>
      </c>
      <c r="N204">
        <v>0</v>
      </c>
      <c r="O204">
        <v>0</v>
      </c>
      <c r="Q204">
        <v>0</v>
      </c>
      <c r="R204">
        <v>0</v>
      </c>
      <c r="S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 t="s">
        <v>494</v>
      </c>
      <c r="AD204" t="s">
        <v>495</v>
      </c>
      <c r="AE204">
        <v>3</v>
      </c>
      <c r="AF204" s="31">
        <v>0.55984953703703699</v>
      </c>
      <c r="AG204">
        <v>2023</v>
      </c>
    </row>
    <row r="205" spans="1:33" hidden="1" x14ac:dyDescent="0.2">
      <c r="A205">
        <v>43</v>
      </c>
      <c r="B205" t="s">
        <v>506</v>
      </c>
      <c r="C205">
        <v>0</v>
      </c>
      <c r="D205" t="s">
        <v>544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 t="s">
        <v>545</v>
      </c>
      <c r="N205">
        <v>0</v>
      </c>
      <c r="O205">
        <v>0</v>
      </c>
      <c r="Q205">
        <v>0</v>
      </c>
      <c r="R205">
        <v>0</v>
      </c>
      <c r="S205" t="s">
        <v>546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">
        <v>492</v>
      </c>
    </row>
    <row r="206" spans="1:33" hidden="1" x14ac:dyDescent="0.2">
      <c r="A206" t="s">
        <v>493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Q206">
        <v>0</v>
      </c>
      <c r="R206">
        <v>0</v>
      </c>
      <c r="S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458</v>
      </c>
    </row>
    <row r="207" spans="1:33" hidden="1" x14ac:dyDescent="0.2">
      <c r="A207">
        <v>16.357405</v>
      </c>
      <c r="B207">
        <v>12.320887000000001</v>
      </c>
      <c r="C207">
        <v>31.123314000000001</v>
      </c>
      <c r="D207">
        <v>79.699996999999996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797</v>
      </c>
      <c r="L207">
        <v>0</v>
      </c>
      <c r="M207">
        <v>0</v>
      </c>
      <c r="N207">
        <v>0</v>
      </c>
      <c r="O207">
        <v>0</v>
      </c>
      <c r="Q207">
        <v>0</v>
      </c>
      <c r="R207">
        <v>0</v>
      </c>
      <c r="S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 t="s">
        <v>494</v>
      </c>
      <c r="AD207" t="s">
        <v>495</v>
      </c>
      <c r="AE207">
        <v>3</v>
      </c>
      <c r="AF207" s="31">
        <v>0.55986111111111114</v>
      </c>
      <c r="AG207">
        <v>2023</v>
      </c>
    </row>
    <row r="208" spans="1:33" hidden="1" x14ac:dyDescent="0.2">
      <c r="A208" t="s">
        <v>493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Q208">
        <v>0</v>
      </c>
      <c r="R208">
        <v>0</v>
      </c>
      <c r="S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">
        <v>458</v>
      </c>
    </row>
    <row r="209" spans="1:33" x14ac:dyDescent="0.2">
      <c r="A209">
        <v>43</v>
      </c>
      <c r="B209" t="s">
        <v>498</v>
      </c>
      <c r="C209">
        <v>1</v>
      </c>
      <c r="D209" t="s">
        <v>544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547</v>
      </c>
      <c r="N209">
        <v>0</v>
      </c>
      <c r="O209">
        <v>0</v>
      </c>
      <c r="Q209">
        <v>0</v>
      </c>
      <c r="R209">
        <v>0</v>
      </c>
      <c r="S209" t="s">
        <v>546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">
        <v>492</v>
      </c>
    </row>
    <row r="210" spans="1:33" hidden="1" x14ac:dyDescent="0.2">
      <c r="A210">
        <v>15.533194999999999</v>
      </c>
      <c r="B210">
        <v>12.785826</v>
      </c>
      <c r="C210">
        <v>31.123314000000001</v>
      </c>
      <c r="D210">
        <v>79.699996999999996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798</v>
      </c>
      <c r="L210">
        <v>0</v>
      </c>
      <c r="M210">
        <v>0</v>
      </c>
      <c r="N210">
        <v>0</v>
      </c>
      <c r="O210">
        <v>0</v>
      </c>
      <c r="Q210">
        <v>0</v>
      </c>
      <c r="R210">
        <v>0</v>
      </c>
      <c r="S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 t="s">
        <v>494</v>
      </c>
      <c r="AD210" t="s">
        <v>495</v>
      </c>
      <c r="AE210">
        <v>3</v>
      </c>
      <c r="AF210" s="31">
        <v>0.55987268518518518</v>
      </c>
      <c r="AG210">
        <v>2023</v>
      </c>
    </row>
    <row r="211" spans="1:33" hidden="1" x14ac:dyDescent="0.2">
      <c r="A211" t="s">
        <v>493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Q211">
        <v>0</v>
      </c>
      <c r="R211">
        <v>0</v>
      </c>
      <c r="S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">
        <v>458</v>
      </c>
    </row>
    <row r="212" spans="1:33" hidden="1" x14ac:dyDescent="0.2">
      <c r="A212">
        <v>14.962588</v>
      </c>
      <c r="B212">
        <v>13.250764999999999</v>
      </c>
      <c r="C212">
        <v>31.123314000000001</v>
      </c>
      <c r="D212">
        <v>79.699996999999996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798</v>
      </c>
      <c r="L212">
        <v>0</v>
      </c>
      <c r="M212">
        <v>0</v>
      </c>
      <c r="N212">
        <v>0</v>
      </c>
      <c r="O212">
        <v>0</v>
      </c>
      <c r="Q212">
        <v>0</v>
      </c>
      <c r="R212">
        <v>0</v>
      </c>
      <c r="S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 t="s">
        <v>494</v>
      </c>
      <c r="AD212" t="s">
        <v>495</v>
      </c>
      <c r="AE212">
        <v>3</v>
      </c>
      <c r="AF212" s="31">
        <v>0.55988425925925933</v>
      </c>
      <c r="AG212">
        <v>2023</v>
      </c>
    </row>
    <row r="213" spans="1:33" hidden="1" x14ac:dyDescent="0.2">
      <c r="A213">
        <v>43</v>
      </c>
      <c r="B213" t="s">
        <v>498</v>
      </c>
      <c r="C213">
        <v>0</v>
      </c>
      <c r="D213">
        <v>140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548</v>
      </c>
      <c r="N213">
        <v>0</v>
      </c>
      <c r="O213">
        <v>0</v>
      </c>
      <c r="Q213">
        <v>0</v>
      </c>
      <c r="R213">
        <v>0</v>
      </c>
      <c r="S213" t="s">
        <v>549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">
        <v>492</v>
      </c>
    </row>
    <row r="214" spans="1:33" hidden="1" x14ac:dyDescent="0.2">
      <c r="A214" t="s">
        <v>493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Q214">
        <v>0</v>
      </c>
      <c r="R214">
        <v>0</v>
      </c>
      <c r="S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458</v>
      </c>
    </row>
    <row r="215" spans="1:33" hidden="1" x14ac:dyDescent="0.2">
      <c r="A215">
        <v>14.962588</v>
      </c>
      <c r="B215">
        <v>13.250764999999999</v>
      </c>
      <c r="C215">
        <v>31.220880999999999</v>
      </c>
      <c r="D215">
        <v>79.587494000000007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799</v>
      </c>
      <c r="L215">
        <v>0</v>
      </c>
      <c r="M215">
        <v>0</v>
      </c>
      <c r="N215">
        <v>0</v>
      </c>
      <c r="O215">
        <v>0</v>
      </c>
      <c r="Q215">
        <v>0</v>
      </c>
      <c r="R215">
        <v>0</v>
      </c>
      <c r="S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 t="s">
        <v>494</v>
      </c>
      <c r="AD215" t="s">
        <v>495</v>
      </c>
      <c r="AE215">
        <v>3</v>
      </c>
      <c r="AF215" s="31">
        <v>0.55989583333333337</v>
      </c>
      <c r="AG215">
        <v>2023</v>
      </c>
    </row>
    <row r="216" spans="1:33" hidden="1" x14ac:dyDescent="0.2">
      <c r="A216" t="s">
        <v>493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Q216">
        <v>0</v>
      </c>
      <c r="R216">
        <v>0</v>
      </c>
      <c r="S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">
        <v>458</v>
      </c>
    </row>
    <row r="217" spans="1:33" x14ac:dyDescent="0.2">
      <c r="A217">
        <v>43</v>
      </c>
      <c r="B217" t="s">
        <v>498</v>
      </c>
      <c r="C217">
        <v>1</v>
      </c>
      <c r="D217">
        <v>140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320</v>
      </c>
      <c r="N217">
        <v>0</v>
      </c>
      <c r="O217">
        <v>0</v>
      </c>
      <c r="Q217">
        <v>0</v>
      </c>
      <c r="R217">
        <v>0</v>
      </c>
      <c r="S217" t="s">
        <v>550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">
        <v>492</v>
      </c>
    </row>
    <row r="218" spans="1:33" hidden="1" x14ac:dyDescent="0.2">
      <c r="A218">
        <v>14.582184</v>
      </c>
      <c r="B218">
        <v>13.715704000000001</v>
      </c>
      <c r="C218">
        <v>31.220880999999999</v>
      </c>
      <c r="D218">
        <v>79.474997999999999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800</v>
      </c>
      <c r="L218">
        <v>0</v>
      </c>
      <c r="M218">
        <v>0</v>
      </c>
      <c r="N218">
        <v>0</v>
      </c>
      <c r="O218">
        <v>0</v>
      </c>
      <c r="Q218">
        <v>0</v>
      </c>
      <c r="R218">
        <v>0</v>
      </c>
      <c r="S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 t="s">
        <v>494</v>
      </c>
      <c r="AD218" t="s">
        <v>495</v>
      </c>
      <c r="AE218">
        <v>3</v>
      </c>
      <c r="AF218" s="31">
        <v>0.55990740740740741</v>
      </c>
      <c r="AG218">
        <v>2023</v>
      </c>
    </row>
    <row r="219" spans="1:33" hidden="1" x14ac:dyDescent="0.2">
      <c r="A219" t="s">
        <v>493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Q219">
        <v>0</v>
      </c>
      <c r="R219">
        <v>0</v>
      </c>
      <c r="S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">
        <v>458</v>
      </c>
    </row>
    <row r="220" spans="1:33" hidden="1" x14ac:dyDescent="0.2">
      <c r="A220">
        <v>14.201779</v>
      </c>
      <c r="B220">
        <v>14.180643</v>
      </c>
      <c r="C220">
        <v>31.220880999999999</v>
      </c>
      <c r="D220">
        <v>79.474997999999999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800</v>
      </c>
      <c r="L220">
        <v>0</v>
      </c>
      <c r="M220">
        <v>0</v>
      </c>
      <c r="N220">
        <v>0</v>
      </c>
      <c r="O220">
        <v>0</v>
      </c>
      <c r="Q220">
        <v>0</v>
      </c>
      <c r="R220">
        <v>0</v>
      </c>
      <c r="S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 t="s">
        <v>494</v>
      </c>
      <c r="AD220" t="s">
        <v>495</v>
      </c>
      <c r="AE220">
        <v>3</v>
      </c>
      <c r="AF220" s="31">
        <v>0.55991898148148145</v>
      </c>
      <c r="AG220">
        <v>2023</v>
      </c>
    </row>
    <row r="221" spans="1:33" hidden="1" x14ac:dyDescent="0.2">
      <c r="A221">
        <v>43</v>
      </c>
      <c r="B221" t="s">
        <v>498</v>
      </c>
      <c r="C221">
        <v>0</v>
      </c>
      <c r="D221" t="s">
        <v>536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321</v>
      </c>
      <c r="N221">
        <v>0</v>
      </c>
      <c r="O221">
        <v>0</v>
      </c>
      <c r="Q221">
        <v>0</v>
      </c>
      <c r="R221">
        <v>0</v>
      </c>
      <c r="S221" t="s">
        <v>551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">
        <v>492</v>
      </c>
    </row>
    <row r="222" spans="1:33" hidden="1" x14ac:dyDescent="0.2">
      <c r="A222" t="s">
        <v>493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Q222">
        <v>0</v>
      </c>
      <c r="R222">
        <v>0</v>
      </c>
      <c r="S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">
        <v>458</v>
      </c>
    </row>
    <row r="223" spans="1:33" hidden="1" x14ac:dyDescent="0.2">
      <c r="A223">
        <v>14.201779</v>
      </c>
      <c r="B223">
        <v>14.180643</v>
      </c>
      <c r="C223">
        <v>31.025749000000001</v>
      </c>
      <c r="D223">
        <v>79.362503000000004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801</v>
      </c>
      <c r="L223">
        <v>0</v>
      </c>
      <c r="M223">
        <v>0</v>
      </c>
      <c r="N223">
        <v>0</v>
      </c>
      <c r="O223">
        <v>0</v>
      </c>
      <c r="Q223">
        <v>0</v>
      </c>
      <c r="R223">
        <v>0</v>
      </c>
      <c r="S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 t="s">
        <v>494</v>
      </c>
      <c r="AD223" t="s">
        <v>495</v>
      </c>
      <c r="AE223">
        <v>3</v>
      </c>
      <c r="AF223" s="31">
        <v>0.55993055555555549</v>
      </c>
      <c r="AG223">
        <v>2023</v>
      </c>
    </row>
    <row r="224" spans="1:33" hidden="1" x14ac:dyDescent="0.2">
      <c r="A224" t="s">
        <v>493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Q224">
        <v>0</v>
      </c>
      <c r="R224">
        <v>0</v>
      </c>
      <c r="S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">
        <v>458</v>
      </c>
    </row>
    <row r="225" spans="1:33" x14ac:dyDescent="0.2">
      <c r="A225">
        <v>43</v>
      </c>
      <c r="B225" t="s">
        <v>506</v>
      </c>
      <c r="C225">
        <v>1</v>
      </c>
      <c r="D225" t="s">
        <v>544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322</v>
      </c>
      <c r="N225">
        <v>0</v>
      </c>
      <c r="O225">
        <v>0</v>
      </c>
      <c r="Q225">
        <v>0</v>
      </c>
      <c r="R225">
        <v>0</v>
      </c>
      <c r="S225" s="32" t="s">
        <v>552</v>
      </c>
      <c r="T225" s="32"/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">
        <v>492</v>
      </c>
    </row>
    <row r="226" spans="1:33" hidden="1" x14ac:dyDescent="0.2">
      <c r="A226">
        <v>14.074977000000001</v>
      </c>
      <c r="B226">
        <v>14.645581999999999</v>
      </c>
      <c r="C226">
        <v>31.123314000000001</v>
      </c>
      <c r="D226">
        <v>79.25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802</v>
      </c>
      <c r="L226">
        <v>0</v>
      </c>
      <c r="M226">
        <v>0</v>
      </c>
      <c r="N226">
        <v>0</v>
      </c>
      <c r="O226">
        <v>0</v>
      </c>
      <c r="Q226">
        <v>0</v>
      </c>
      <c r="R226">
        <v>0</v>
      </c>
      <c r="S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 t="s">
        <v>494</v>
      </c>
      <c r="AD226" t="s">
        <v>495</v>
      </c>
      <c r="AE226">
        <v>3</v>
      </c>
      <c r="AF226" s="31">
        <v>0.55994212962962964</v>
      </c>
      <c r="AG226">
        <v>2023</v>
      </c>
    </row>
    <row r="227" spans="1:33" hidden="1" x14ac:dyDescent="0.2">
      <c r="A227" t="s">
        <v>493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Q227">
        <v>0</v>
      </c>
      <c r="R227">
        <v>0</v>
      </c>
      <c r="S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">
        <v>458</v>
      </c>
    </row>
    <row r="228" spans="1:33" hidden="1" x14ac:dyDescent="0.2">
      <c r="A228">
        <v>13.948175000000001</v>
      </c>
      <c r="B228">
        <v>15.110521</v>
      </c>
      <c r="C228">
        <v>31.123314000000001</v>
      </c>
      <c r="D228">
        <v>79.25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802</v>
      </c>
      <c r="L228">
        <v>0</v>
      </c>
      <c r="M228">
        <v>0</v>
      </c>
      <c r="N228">
        <v>0</v>
      </c>
      <c r="O228">
        <v>0</v>
      </c>
      <c r="Q228">
        <v>0</v>
      </c>
      <c r="R228">
        <v>0</v>
      </c>
      <c r="S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 t="s">
        <v>494</v>
      </c>
      <c r="AD228" t="s">
        <v>495</v>
      </c>
      <c r="AE228">
        <v>3</v>
      </c>
      <c r="AF228" s="31">
        <v>0.55995370370370368</v>
      </c>
      <c r="AG228">
        <v>2023</v>
      </c>
    </row>
    <row r="229" spans="1:33" hidden="1" x14ac:dyDescent="0.2">
      <c r="A229">
        <v>43</v>
      </c>
      <c r="B229" t="s">
        <v>506</v>
      </c>
      <c r="C229">
        <v>0</v>
      </c>
      <c r="D229" t="s">
        <v>536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323</v>
      </c>
      <c r="N229">
        <v>0</v>
      </c>
      <c r="O229">
        <v>0</v>
      </c>
      <c r="Q229">
        <v>0</v>
      </c>
      <c r="R229">
        <v>0</v>
      </c>
      <c r="S229" s="32" t="s">
        <v>553</v>
      </c>
      <c r="T229" s="32"/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">
        <v>492</v>
      </c>
    </row>
    <row r="230" spans="1:33" hidden="1" x14ac:dyDescent="0.2">
      <c r="A230" t="s">
        <v>493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Q230">
        <v>0</v>
      </c>
      <c r="R230">
        <v>0</v>
      </c>
      <c r="S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">
        <v>458</v>
      </c>
    </row>
    <row r="231" spans="1:33" hidden="1" x14ac:dyDescent="0.2">
      <c r="A231">
        <v>13.948175000000001</v>
      </c>
      <c r="B231">
        <v>15.110521</v>
      </c>
      <c r="C231">
        <v>31.025749000000001</v>
      </c>
      <c r="D231">
        <v>79.137496999999996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803</v>
      </c>
      <c r="L231">
        <v>0</v>
      </c>
      <c r="M231">
        <v>0</v>
      </c>
      <c r="N231">
        <v>0</v>
      </c>
      <c r="O231">
        <v>0</v>
      </c>
      <c r="Q231">
        <v>0</v>
      </c>
      <c r="R231">
        <v>0</v>
      </c>
      <c r="S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 t="s">
        <v>494</v>
      </c>
      <c r="AD231" t="s">
        <v>495</v>
      </c>
      <c r="AE231">
        <v>3</v>
      </c>
      <c r="AF231" s="31">
        <v>0.55996527777777783</v>
      </c>
      <c r="AG231">
        <v>2023</v>
      </c>
    </row>
    <row r="232" spans="1:33" hidden="1" x14ac:dyDescent="0.2">
      <c r="A232" t="s">
        <v>493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Q232">
        <v>0</v>
      </c>
      <c r="R232">
        <v>0</v>
      </c>
      <c r="S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">
        <v>458</v>
      </c>
    </row>
    <row r="233" spans="1:33" x14ac:dyDescent="0.2">
      <c r="A233">
        <v>43</v>
      </c>
      <c r="B233" t="s">
        <v>498</v>
      </c>
      <c r="C233">
        <v>1</v>
      </c>
      <c r="D233">
        <v>140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324</v>
      </c>
      <c r="N233">
        <v>0</v>
      </c>
      <c r="O233">
        <v>0</v>
      </c>
      <c r="Q233">
        <v>0</v>
      </c>
      <c r="R233">
        <v>0</v>
      </c>
      <c r="S233" s="32" t="s">
        <v>553</v>
      </c>
      <c r="T233" s="32"/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">
        <v>492</v>
      </c>
    </row>
    <row r="234" spans="1:33" hidden="1" x14ac:dyDescent="0.2">
      <c r="A234">
        <v>13.948175000000001</v>
      </c>
      <c r="B234">
        <v>15.57546</v>
      </c>
      <c r="C234">
        <v>31.220880999999999</v>
      </c>
      <c r="D234">
        <v>79.137496999999996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804</v>
      </c>
      <c r="L234">
        <v>0</v>
      </c>
      <c r="M234">
        <v>0</v>
      </c>
      <c r="N234">
        <v>0</v>
      </c>
      <c r="O234">
        <v>0</v>
      </c>
      <c r="Q234">
        <v>0</v>
      </c>
      <c r="R234">
        <v>0</v>
      </c>
      <c r="S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 t="s">
        <v>494</v>
      </c>
      <c r="AD234" t="s">
        <v>495</v>
      </c>
      <c r="AE234">
        <v>3</v>
      </c>
      <c r="AF234" s="31">
        <v>0.55997685185185186</v>
      </c>
      <c r="AG234">
        <v>2023</v>
      </c>
    </row>
    <row r="235" spans="1:33" hidden="1" x14ac:dyDescent="0.2">
      <c r="A235" t="s">
        <v>493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Q235">
        <v>0</v>
      </c>
      <c r="R235">
        <v>0</v>
      </c>
      <c r="S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458</v>
      </c>
    </row>
    <row r="236" spans="1:33" hidden="1" x14ac:dyDescent="0.2">
      <c r="A236">
        <v>13.948175000000001</v>
      </c>
      <c r="B236">
        <v>16.040400000000002</v>
      </c>
      <c r="C236">
        <v>31.220880999999999</v>
      </c>
      <c r="D236">
        <v>79.137496999999996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804</v>
      </c>
      <c r="L236">
        <v>0</v>
      </c>
      <c r="M236">
        <v>0</v>
      </c>
      <c r="N236">
        <v>0</v>
      </c>
      <c r="O236">
        <v>0</v>
      </c>
      <c r="Q236">
        <v>0</v>
      </c>
      <c r="R236">
        <v>0</v>
      </c>
      <c r="S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 t="s">
        <v>494</v>
      </c>
      <c r="AD236" t="s">
        <v>495</v>
      </c>
      <c r="AE236">
        <v>3</v>
      </c>
      <c r="AF236" s="31">
        <v>0.5599884259259259</v>
      </c>
      <c r="AG236">
        <v>2023</v>
      </c>
    </row>
    <row r="237" spans="1:33" hidden="1" x14ac:dyDescent="0.2">
      <c r="A237">
        <v>43</v>
      </c>
      <c r="B237" t="s">
        <v>498</v>
      </c>
      <c r="C237">
        <v>0</v>
      </c>
      <c r="D237" t="s">
        <v>538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325</v>
      </c>
      <c r="N237">
        <v>0</v>
      </c>
      <c r="O237">
        <v>0</v>
      </c>
      <c r="Q237">
        <v>0</v>
      </c>
      <c r="R237">
        <v>0</v>
      </c>
      <c r="S237" t="s">
        <v>554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">
        <v>492</v>
      </c>
    </row>
    <row r="238" spans="1:33" hidden="1" x14ac:dyDescent="0.2">
      <c r="A238" t="s">
        <v>493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Q238">
        <v>0</v>
      </c>
      <c r="R238">
        <v>0</v>
      </c>
      <c r="S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">
        <v>458</v>
      </c>
    </row>
    <row r="239" spans="1:33" hidden="1" x14ac:dyDescent="0.2">
      <c r="A239">
        <v>13.948175000000001</v>
      </c>
      <c r="B239">
        <v>16.040400000000002</v>
      </c>
      <c r="C239">
        <v>30.928184999999999</v>
      </c>
      <c r="D239">
        <v>79.024994000000007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805</v>
      </c>
      <c r="L239">
        <v>0</v>
      </c>
      <c r="M239">
        <v>0</v>
      </c>
      <c r="N239">
        <v>0</v>
      </c>
      <c r="O239">
        <v>0</v>
      </c>
      <c r="Q239">
        <v>0</v>
      </c>
      <c r="R239">
        <v>0</v>
      </c>
      <c r="S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 t="s">
        <v>494</v>
      </c>
      <c r="AD239" t="s">
        <v>495</v>
      </c>
      <c r="AE239">
        <v>3</v>
      </c>
      <c r="AF239" s="31">
        <v>0.55999999999999994</v>
      </c>
      <c r="AG239">
        <v>2023</v>
      </c>
    </row>
    <row r="240" spans="1:33" hidden="1" x14ac:dyDescent="0.2">
      <c r="A240" t="s">
        <v>493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Q240">
        <v>0</v>
      </c>
      <c r="R240">
        <v>0</v>
      </c>
      <c r="S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">
        <v>458</v>
      </c>
    </row>
    <row r="241" spans="1:33" x14ac:dyDescent="0.2">
      <c r="A241">
        <v>43</v>
      </c>
      <c r="B241" t="s">
        <v>506</v>
      </c>
      <c r="C241">
        <v>1</v>
      </c>
      <c r="D241" t="s">
        <v>536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326</v>
      </c>
      <c r="N241">
        <v>0</v>
      </c>
      <c r="O241">
        <v>0</v>
      </c>
      <c r="Q241">
        <v>0</v>
      </c>
      <c r="R241">
        <v>0</v>
      </c>
      <c r="S241" t="s">
        <v>555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">
        <v>492</v>
      </c>
    </row>
    <row r="242" spans="1:33" hidden="1" x14ac:dyDescent="0.2">
      <c r="A242">
        <v>13.948175000000001</v>
      </c>
      <c r="B242">
        <v>16.505338999999999</v>
      </c>
      <c r="C242">
        <v>31.025749000000001</v>
      </c>
      <c r="D242">
        <v>78.912497999999999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806</v>
      </c>
      <c r="L242">
        <v>0</v>
      </c>
      <c r="M242">
        <v>0</v>
      </c>
      <c r="N242">
        <v>0</v>
      </c>
      <c r="O242">
        <v>0</v>
      </c>
      <c r="Q242">
        <v>0</v>
      </c>
      <c r="R242">
        <v>0</v>
      </c>
      <c r="S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 t="s">
        <v>494</v>
      </c>
      <c r="AD242" t="s">
        <v>495</v>
      </c>
      <c r="AE242">
        <v>3</v>
      </c>
      <c r="AF242" s="31">
        <v>0.56001157407407409</v>
      </c>
      <c r="AG242">
        <v>2023</v>
      </c>
    </row>
    <row r="243" spans="1:33" hidden="1" x14ac:dyDescent="0.2">
      <c r="A243" t="s">
        <v>493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Q243">
        <v>0</v>
      </c>
      <c r="R243">
        <v>0</v>
      </c>
      <c r="S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">
        <v>458</v>
      </c>
    </row>
    <row r="244" spans="1:33" hidden="1" x14ac:dyDescent="0.2">
      <c r="A244">
        <v>13.948175000000001</v>
      </c>
      <c r="B244">
        <v>16.970278</v>
      </c>
      <c r="C244">
        <v>31.025749000000001</v>
      </c>
      <c r="D244">
        <v>78.912497999999999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806</v>
      </c>
      <c r="L244">
        <v>0</v>
      </c>
      <c r="M244">
        <v>0</v>
      </c>
      <c r="N244">
        <v>0</v>
      </c>
      <c r="O244">
        <v>0</v>
      </c>
      <c r="Q244">
        <v>0</v>
      </c>
      <c r="R244">
        <v>0</v>
      </c>
      <c r="S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 t="s">
        <v>494</v>
      </c>
      <c r="AD244" t="s">
        <v>495</v>
      </c>
      <c r="AE244">
        <v>3</v>
      </c>
      <c r="AF244" s="31">
        <v>0.56002314814814813</v>
      </c>
      <c r="AG244">
        <v>2023</v>
      </c>
    </row>
    <row r="245" spans="1:33" hidden="1" x14ac:dyDescent="0.2">
      <c r="A245">
        <v>43</v>
      </c>
      <c r="B245" t="s">
        <v>506</v>
      </c>
      <c r="C245">
        <v>0</v>
      </c>
      <c r="D245" t="s">
        <v>536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327</v>
      </c>
      <c r="N245">
        <v>0</v>
      </c>
      <c r="O245">
        <v>0</v>
      </c>
      <c r="Q245">
        <v>0</v>
      </c>
      <c r="R245">
        <v>0</v>
      </c>
      <c r="S245" t="s">
        <v>556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">
        <v>492</v>
      </c>
    </row>
    <row r="246" spans="1:33" hidden="1" x14ac:dyDescent="0.2">
      <c r="A246" t="s">
        <v>493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Q246">
        <v>0</v>
      </c>
      <c r="R246">
        <v>0</v>
      </c>
      <c r="S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">
        <v>458</v>
      </c>
    </row>
    <row r="247" spans="1:33" hidden="1" x14ac:dyDescent="0.2">
      <c r="A247">
        <v>13.948175000000001</v>
      </c>
      <c r="B247">
        <v>16.970278</v>
      </c>
      <c r="C247">
        <v>31.025749000000001</v>
      </c>
      <c r="D247">
        <v>78.800003000000004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807</v>
      </c>
      <c r="L247">
        <v>0</v>
      </c>
      <c r="M247">
        <v>0</v>
      </c>
      <c r="N247">
        <v>0</v>
      </c>
      <c r="O247">
        <v>0</v>
      </c>
      <c r="Q247">
        <v>0</v>
      </c>
      <c r="R247">
        <v>0</v>
      </c>
      <c r="S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 t="s">
        <v>494</v>
      </c>
      <c r="AD247" t="s">
        <v>495</v>
      </c>
      <c r="AE247">
        <v>3</v>
      </c>
      <c r="AF247" s="31">
        <v>0.56003472222222228</v>
      </c>
      <c r="AG247">
        <v>2023</v>
      </c>
    </row>
    <row r="248" spans="1:33" hidden="1" x14ac:dyDescent="0.2">
      <c r="A248" t="s">
        <v>493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Q248">
        <v>0</v>
      </c>
      <c r="R248">
        <v>0</v>
      </c>
      <c r="S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458</v>
      </c>
    </row>
    <row r="249" spans="1:33" x14ac:dyDescent="0.2">
      <c r="A249">
        <v>43</v>
      </c>
      <c r="B249" t="s">
        <v>506</v>
      </c>
      <c r="C249">
        <v>1</v>
      </c>
      <c r="D249" t="s">
        <v>536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328</v>
      </c>
      <c r="N249">
        <v>0</v>
      </c>
      <c r="O249">
        <v>0</v>
      </c>
      <c r="Q249">
        <v>0</v>
      </c>
      <c r="R249">
        <v>0</v>
      </c>
      <c r="S249" t="s">
        <v>556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">
        <v>492</v>
      </c>
    </row>
    <row r="250" spans="1:33" hidden="1" x14ac:dyDescent="0.2">
      <c r="A250">
        <v>13.948175000000001</v>
      </c>
      <c r="B250">
        <v>17.435217000000002</v>
      </c>
      <c r="C250">
        <v>31.025749000000001</v>
      </c>
      <c r="D250">
        <v>78.800003000000004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808</v>
      </c>
      <c r="L250">
        <v>0</v>
      </c>
      <c r="M250">
        <v>0</v>
      </c>
      <c r="N250">
        <v>0</v>
      </c>
      <c r="O250">
        <v>0</v>
      </c>
      <c r="Q250">
        <v>0</v>
      </c>
      <c r="R250">
        <v>0</v>
      </c>
      <c r="S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 t="s">
        <v>494</v>
      </c>
      <c r="AD250" t="s">
        <v>495</v>
      </c>
      <c r="AE250">
        <v>3</v>
      </c>
      <c r="AF250" s="31">
        <v>0.56004629629629632</v>
      </c>
      <c r="AG250">
        <v>2023</v>
      </c>
    </row>
    <row r="251" spans="1:33" hidden="1" x14ac:dyDescent="0.2">
      <c r="A251" t="s">
        <v>493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Q251">
        <v>0</v>
      </c>
      <c r="R251">
        <v>0</v>
      </c>
      <c r="S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">
        <v>458</v>
      </c>
    </row>
    <row r="252" spans="1:33" hidden="1" x14ac:dyDescent="0.2">
      <c r="A252">
        <v>13.948175000000001</v>
      </c>
      <c r="B252">
        <v>17.900155999999999</v>
      </c>
      <c r="C252">
        <v>31.025749000000001</v>
      </c>
      <c r="D252">
        <v>78.800003000000004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808</v>
      </c>
      <c r="L252">
        <v>0</v>
      </c>
      <c r="M252">
        <v>0</v>
      </c>
      <c r="N252">
        <v>0</v>
      </c>
      <c r="O252">
        <v>0</v>
      </c>
      <c r="Q252">
        <v>0</v>
      </c>
      <c r="R252">
        <v>0</v>
      </c>
      <c r="S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 t="s">
        <v>494</v>
      </c>
      <c r="AD252" t="s">
        <v>495</v>
      </c>
      <c r="AE252">
        <v>3</v>
      </c>
      <c r="AF252" s="31">
        <v>0.56005787037037036</v>
      </c>
      <c r="AG252">
        <v>2023</v>
      </c>
    </row>
    <row r="253" spans="1:33" hidden="1" x14ac:dyDescent="0.2">
      <c r="A253">
        <v>43</v>
      </c>
      <c r="B253" t="s">
        <v>506</v>
      </c>
      <c r="C253">
        <v>0</v>
      </c>
      <c r="D253" t="s">
        <v>538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329</v>
      </c>
      <c r="N253">
        <v>0</v>
      </c>
      <c r="O253">
        <v>0</v>
      </c>
      <c r="Q253">
        <v>0</v>
      </c>
      <c r="R253">
        <v>0</v>
      </c>
      <c r="S253" t="s">
        <v>557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">
        <v>492</v>
      </c>
    </row>
    <row r="254" spans="1:33" hidden="1" x14ac:dyDescent="0.2">
      <c r="A254" t="s">
        <v>493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Q254">
        <v>0</v>
      </c>
      <c r="R254">
        <v>0</v>
      </c>
      <c r="S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">
        <v>458</v>
      </c>
    </row>
    <row r="255" spans="1:33" hidden="1" x14ac:dyDescent="0.2">
      <c r="A255">
        <v>13.948175000000001</v>
      </c>
      <c r="B255">
        <v>17.900155999999999</v>
      </c>
      <c r="C255">
        <v>30.928184999999999</v>
      </c>
      <c r="D255">
        <v>78.6875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809</v>
      </c>
      <c r="L255">
        <v>0</v>
      </c>
      <c r="M255">
        <v>0</v>
      </c>
      <c r="N255">
        <v>0</v>
      </c>
      <c r="O255">
        <v>0</v>
      </c>
      <c r="Q255">
        <v>0</v>
      </c>
      <c r="R255">
        <v>0</v>
      </c>
      <c r="S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 t="s">
        <v>494</v>
      </c>
      <c r="AD255" t="s">
        <v>495</v>
      </c>
      <c r="AE255">
        <v>3</v>
      </c>
      <c r="AF255" s="31">
        <v>0.5600694444444444</v>
      </c>
      <c r="AG255">
        <v>2023</v>
      </c>
    </row>
    <row r="256" spans="1:33" hidden="1" x14ac:dyDescent="0.2">
      <c r="A256" t="s">
        <v>493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Q256">
        <v>0</v>
      </c>
      <c r="R256">
        <v>0</v>
      </c>
      <c r="S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">
        <v>458</v>
      </c>
    </row>
    <row r="257" spans="1:33" x14ac:dyDescent="0.2">
      <c r="A257">
        <v>43</v>
      </c>
      <c r="B257" t="s">
        <v>506</v>
      </c>
      <c r="C257">
        <v>1</v>
      </c>
      <c r="D257" t="s">
        <v>536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558</v>
      </c>
      <c r="N257">
        <v>0</v>
      </c>
      <c r="O257">
        <v>0</v>
      </c>
      <c r="Q257">
        <v>0</v>
      </c>
      <c r="R257">
        <v>0</v>
      </c>
      <c r="S257" t="s">
        <v>557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">
        <v>492</v>
      </c>
    </row>
    <row r="258" spans="1:33" hidden="1" x14ac:dyDescent="0.2">
      <c r="A258">
        <v>13.948175000000001</v>
      </c>
      <c r="B258">
        <v>18.365095</v>
      </c>
      <c r="C258">
        <v>31.025749000000001</v>
      </c>
      <c r="D258">
        <v>78.6875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810</v>
      </c>
      <c r="L258">
        <v>0</v>
      </c>
      <c r="M258">
        <v>0</v>
      </c>
      <c r="N258">
        <v>0</v>
      </c>
      <c r="O258">
        <v>0</v>
      </c>
      <c r="Q258">
        <v>0</v>
      </c>
      <c r="R258">
        <v>0</v>
      </c>
      <c r="S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 t="s">
        <v>494</v>
      </c>
      <c r="AD258" t="s">
        <v>495</v>
      </c>
      <c r="AE258">
        <v>3</v>
      </c>
      <c r="AF258" s="31">
        <v>0.56008101851851855</v>
      </c>
      <c r="AG258">
        <v>2023</v>
      </c>
    </row>
    <row r="259" spans="1:33" hidden="1" x14ac:dyDescent="0.2">
      <c r="A259" t="s">
        <v>493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Q259">
        <v>0</v>
      </c>
      <c r="R259">
        <v>0</v>
      </c>
      <c r="S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">
        <v>458</v>
      </c>
    </row>
    <row r="260" spans="1:33" hidden="1" x14ac:dyDescent="0.2">
      <c r="A260">
        <v>13.948175000000001</v>
      </c>
      <c r="B260">
        <v>18.830034000000001</v>
      </c>
      <c r="C260">
        <v>31.025749000000001</v>
      </c>
      <c r="D260">
        <v>78.6875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810</v>
      </c>
      <c r="L260">
        <v>0</v>
      </c>
      <c r="M260">
        <v>0</v>
      </c>
      <c r="N260">
        <v>0</v>
      </c>
      <c r="O260">
        <v>0</v>
      </c>
      <c r="Q260">
        <v>0</v>
      </c>
      <c r="R260">
        <v>0</v>
      </c>
      <c r="S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 t="s">
        <v>494</v>
      </c>
      <c r="AD260" t="s">
        <v>495</v>
      </c>
      <c r="AE260">
        <v>3</v>
      </c>
      <c r="AF260" s="31">
        <v>0.56009259259259259</v>
      </c>
      <c r="AG260">
        <v>2023</v>
      </c>
    </row>
    <row r="261" spans="1:33" hidden="1" x14ac:dyDescent="0.2">
      <c r="A261">
        <v>43</v>
      </c>
      <c r="B261" t="s">
        <v>506</v>
      </c>
      <c r="C261">
        <v>0</v>
      </c>
      <c r="D261" t="s">
        <v>544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 t="s">
        <v>559</v>
      </c>
      <c r="N261">
        <v>0</v>
      </c>
      <c r="O261">
        <v>0</v>
      </c>
      <c r="Q261">
        <v>0</v>
      </c>
      <c r="R261">
        <v>0</v>
      </c>
      <c r="S261" t="s">
        <v>560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">
        <v>492</v>
      </c>
    </row>
    <row r="262" spans="1:33" hidden="1" x14ac:dyDescent="0.2">
      <c r="A262" t="s">
        <v>493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Q262">
        <v>0</v>
      </c>
      <c r="R262">
        <v>0</v>
      </c>
      <c r="S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">
        <v>458</v>
      </c>
    </row>
    <row r="263" spans="1:33" hidden="1" x14ac:dyDescent="0.2">
      <c r="A263">
        <v>13.948175000000001</v>
      </c>
      <c r="B263">
        <v>18.830034000000001</v>
      </c>
      <c r="C263">
        <v>31.123314000000001</v>
      </c>
      <c r="D263">
        <v>78.574996999999996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811</v>
      </c>
      <c r="L263">
        <v>0</v>
      </c>
      <c r="M263">
        <v>0</v>
      </c>
      <c r="N263">
        <v>0</v>
      </c>
      <c r="O263">
        <v>0</v>
      </c>
      <c r="Q263">
        <v>0</v>
      </c>
      <c r="R263">
        <v>0</v>
      </c>
      <c r="S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 t="s">
        <v>494</v>
      </c>
      <c r="AD263" t="s">
        <v>495</v>
      </c>
      <c r="AE263">
        <v>3</v>
      </c>
      <c r="AF263" s="31">
        <v>0.56010416666666674</v>
      </c>
      <c r="AG263">
        <v>2023</v>
      </c>
    </row>
    <row r="264" spans="1:33" hidden="1" x14ac:dyDescent="0.2">
      <c r="A264" t="s">
        <v>493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Q264">
        <v>0</v>
      </c>
      <c r="R264">
        <v>0</v>
      </c>
      <c r="S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">
        <v>458</v>
      </c>
    </row>
    <row r="265" spans="1:33" x14ac:dyDescent="0.2">
      <c r="A265" s="33">
        <v>42</v>
      </c>
      <c r="B265" t="s">
        <v>561</v>
      </c>
      <c r="C265">
        <v>1</v>
      </c>
      <c r="D265" t="s">
        <v>536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562</v>
      </c>
      <c r="N265">
        <v>0</v>
      </c>
      <c r="O265">
        <v>0</v>
      </c>
      <c r="Q265">
        <v>0</v>
      </c>
      <c r="R265">
        <v>0</v>
      </c>
      <c r="S265" t="s">
        <v>563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">
        <v>492</v>
      </c>
    </row>
    <row r="266" spans="1:33" hidden="1" x14ac:dyDescent="0.2">
      <c r="A266">
        <v>13.948175000000001</v>
      </c>
      <c r="B266">
        <v>19.294972999999999</v>
      </c>
      <c r="C266">
        <v>31.025749000000001</v>
      </c>
      <c r="D266">
        <v>78.462494000000007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812</v>
      </c>
      <c r="L266">
        <v>0</v>
      </c>
      <c r="M266">
        <v>0</v>
      </c>
      <c r="N266">
        <v>0</v>
      </c>
      <c r="O266">
        <v>0</v>
      </c>
      <c r="Q266">
        <v>0</v>
      </c>
      <c r="R266">
        <v>0</v>
      </c>
      <c r="S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 t="s">
        <v>494</v>
      </c>
      <c r="AD266" t="s">
        <v>495</v>
      </c>
      <c r="AE266">
        <v>3</v>
      </c>
      <c r="AF266" s="34">
        <v>0.56011574074074078</v>
      </c>
      <c r="AG266">
        <v>2023</v>
      </c>
    </row>
    <row r="267" spans="1:33" hidden="1" x14ac:dyDescent="0.2">
      <c r="A267" t="s">
        <v>493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Q267">
        <v>0</v>
      </c>
      <c r="R267">
        <v>0</v>
      </c>
      <c r="S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">
        <v>458</v>
      </c>
    </row>
    <row r="268" spans="1:33" hidden="1" x14ac:dyDescent="0.2">
      <c r="A268">
        <v>13.948175000000001</v>
      </c>
      <c r="B268">
        <v>19.759912</v>
      </c>
      <c r="C268">
        <v>31.025749000000001</v>
      </c>
      <c r="D268">
        <v>78.462494000000007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812</v>
      </c>
      <c r="L268">
        <v>0</v>
      </c>
      <c r="M268">
        <v>0</v>
      </c>
      <c r="N268">
        <v>0</v>
      </c>
      <c r="O268">
        <v>0</v>
      </c>
      <c r="Q268">
        <v>0</v>
      </c>
      <c r="R268">
        <v>0</v>
      </c>
      <c r="S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 t="s">
        <v>494</v>
      </c>
      <c r="AD268" t="s">
        <v>495</v>
      </c>
      <c r="AE268">
        <v>3</v>
      </c>
      <c r="AF268" s="31">
        <v>0.56012731481481481</v>
      </c>
      <c r="AG268">
        <v>2023</v>
      </c>
    </row>
    <row r="269" spans="1:33" hidden="1" x14ac:dyDescent="0.2">
      <c r="A269">
        <v>42</v>
      </c>
      <c r="B269" t="s">
        <v>561</v>
      </c>
      <c r="C269">
        <v>0</v>
      </c>
      <c r="D269">
        <v>141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 t="s">
        <v>564</v>
      </c>
      <c r="N269">
        <v>0</v>
      </c>
      <c r="O269">
        <v>0</v>
      </c>
      <c r="Q269">
        <v>0</v>
      </c>
      <c r="R269">
        <v>0</v>
      </c>
      <c r="S269" t="s">
        <v>563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">
        <v>492</v>
      </c>
    </row>
    <row r="270" spans="1:33" hidden="1" x14ac:dyDescent="0.2">
      <c r="A270" t="s">
        <v>493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Q270">
        <v>0</v>
      </c>
      <c r="R270">
        <v>0</v>
      </c>
      <c r="S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">
        <v>458</v>
      </c>
    </row>
    <row r="271" spans="1:33" hidden="1" x14ac:dyDescent="0.2">
      <c r="A271">
        <v>13.948175000000001</v>
      </c>
      <c r="B271">
        <v>19.759912</v>
      </c>
      <c r="C271">
        <v>31.318445000000001</v>
      </c>
      <c r="D271">
        <v>78.462494000000007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813</v>
      </c>
      <c r="L271">
        <v>0</v>
      </c>
      <c r="M271">
        <v>0</v>
      </c>
      <c r="N271">
        <v>0</v>
      </c>
      <c r="O271">
        <v>0</v>
      </c>
      <c r="Q271">
        <v>0</v>
      </c>
      <c r="R271">
        <v>0</v>
      </c>
      <c r="S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 t="s">
        <v>494</v>
      </c>
      <c r="AD271" t="s">
        <v>495</v>
      </c>
      <c r="AE271">
        <v>3</v>
      </c>
      <c r="AF271" s="31">
        <v>0.56013888888888885</v>
      </c>
      <c r="AG271">
        <v>2023</v>
      </c>
    </row>
    <row r="272" spans="1:33" x14ac:dyDescent="0.2">
      <c r="A272">
        <v>14</v>
      </c>
      <c r="B272" t="s">
        <v>569</v>
      </c>
      <c r="C272">
        <v>1</v>
      </c>
      <c r="D272" t="s">
        <v>570</v>
      </c>
      <c r="E272">
        <v>0</v>
      </c>
      <c r="F272">
        <v>1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  <c r="M272" t="s">
        <v>571</v>
      </c>
      <c r="N272">
        <v>0</v>
      </c>
      <c r="O272">
        <v>0</v>
      </c>
      <c r="Q272">
        <v>0</v>
      </c>
      <c r="R272">
        <v>0</v>
      </c>
      <c r="S272" t="s">
        <v>572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 t="s">
        <v>459</v>
      </c>
    </row>
    <row r="273" spans="1:32" hidden="1" x14ac:dyDescent="0.2">
      <c r="A273" t="s">
        <v>573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 t="s">
        <v>458</v>
      </c>
    </row>
    <row r="274" spans="1:32" hidden="1" x14ac:dyDescent="0.2">
      <c r="A274" t="s">
        <v>574</v>
      </c>
      <c r="B274" t="s">
        <v>575</v>
      </c>
      <c r="C274" t="s">
        <v>576</v>
      </c>
      <c r="D274" t="s">
        <v>577</v>
      </c>
      <c r="E274">
        <v>1.837901</v>
      </c>
    </row>
    <row r="275" spans="1:32" hidden="1" x14ac:dyDescent="0.2">
      <c r="A275">
        <v>0.95101199999999997</v>
      </c>
      <c r="B275">
        <v>5.76098</v>
      </c>
      <c r="C275">
        <v>2040.9638669999999</v>
      </c>
      <c r="D275">
        <v>89.125061000000002</v>
      </c>
      <c r="E275">
        <v>0.31700400000000001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1726</v>
      </c>
      <c r="L275">
        <v>69.237503000000004</v>
      </c>
      <c r="M275">
        <v>0</v>
      </c>
      <c r="N275">
        <v>1</v>
      </c>
      <c r="O275">
        <v>0</v>
      </c>
      <c r="Q275">
        <v>1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">
        <v>578</v>
      </c>
      <c r="AC275" t="s">
        <v>495</v>
      </c>
      <c r="AD275">
        <v>4</v>
      </c>
      <c r="AE275" s="31">
        <v>0.35936342592592596</v>
      </c>
      <c r="AF275">
        <v>2023</v>
      </c>
    </row>
    <row r="276" spans="1:32" hidden="1" x14ac:dyDescent="0.2">
      <c r="A276">
        <v>14</v>
      </c>
      <c r="B276" t="s">
        <v>569</v>
      </c>
      <c r="C276">
        <v>0</v>
      </c>
      <c r="D276">
        <v>251</v>
      </c>
      <c r="E276">
        <v>0</v>
      </c>
      <c r="F276">
        <v>1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0</v>
      </c>
      <c r="M276" t="s">
        <v>579</v>
      </c>
      <c r="N276">
        <v>0</v>
      </c>
      <c r="O276">
        <v>0</v>
      </c>
      <c r="Q276">
        <v>0</v>
      </c>
      <c r="R276">
        <v>0</v>
      </c>
      <c r="S276" t="s">
        <v>572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 t="s">
        <v>459</v>
      </c>
    </row>
    <row r="277" spans="1:32" hidden="1" x14ac:dyDescent="0.2">
      <c r="A277" t="s">
        <v>573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 t="s">
        <v>458</v>
      </c>
    </row>
    <row r="278" spans="1:32" hidden="1" x14ac:dyDescent="0.2">
      <c r="A278" t="s">
        <v>574</v>
      </c>
      <c r="B278" t="s">
        <v>580</v>
      </c>
      <c r="C278" t="s">
        <v>576</v>
      </c>
      <c r="D278" t="s">
        <v>577</v>
      </c>
      <c r="E278">
        <v>1.837261</v>
      </c>
    </row>
    <row r="279" spans="1:32" hidden="1" x14ac:dyDescent="0.2">
      <c r="A279">
        <v>0.95101199999999997</v>
      </c>
      <c r="B279">
        <v>5.7590440000000003</v>
      </c>
      <c r="C279">
        <v>2040.2779539999999</v>
      </c>
      <c r="D279">
        <v>89.095107999999996</v>
      </c>
      <c r="E279">
        <v>0.31700400000000001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1727</v>
      </c>
      <c r="L279">
        <v>69.237503000000004</v>
      </c>
      <c r="M279">
        <v>0</v>
      </c>
      <c r="N279">
        <v>1</v>
      </c>
      <c r="O279">
        <v>0</v>
      </c>
      <c r="Q279">
        <v>1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">
        <v>578</v>
      </c>
      <c r="AC279" t="s">
        <v>495</v>
      </c>
      <c r="AD279">
        <v>4</v>
      </c>
      <c r="AE279" s="31">
        <v>0.359375</v>
      </c>
      <c r="AF279">
        <v>2023</v>
      </c>
    </row>
    <row r="280" spans="1:32" x14ac:dyDescent="0.2">
      <c r="A280">
        <v>14</v>
      </c>
      <c r="B280" t="s">
        <v>569</v>
      </c>
      <c r="C280">
        <v>1</v>
      </c>
      <c r="D280" t="s">
        <v>581</v>
      </c>
      <c r="E280">
        <v>0</v>
      </c>
      <c r="F280">
        <v>1</v>
      </c>
      <c r="G280">
        <v>0</v>
      </c>
      <c r="H280">
        <v>1</v>
      </c>
      <c r="I280">
        <v>0</v>
      </c>
      <c r="J280">
        <v>0</v>
      </c>
      <c r="K280">
        <v>0</v>
      </c>
      <c r="L280">
        <v>0</v>
      </c>
      <c r="M280" t="s">
        <v>582</v>
      </c>
      <c r="N280">
        <v>0</v>
      </c>
      <c r="O280">
        <v>0</v>
      </c>
      <c r="Q280">
        <v>0</v>
      </c>
      <c r="R280">
        <v>0</v>
      </c>
      <c r="S280" t="s">
        <v>572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 t="s">
        <v>459</v>
      </c>
    </row>
    <row r="281" spans="1:32" hidden="1" x14ac:dyDescent="0.2">
      <c r="A281" t="s">
        <v>573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 t="s">
        <v>458</v>
      </c>
    </row>
    <row r="282" spans="1:32" hidden="1" x14ac:dyDescent="0.2">
      <c r="A282" t="s">
        <v>574</v>
      </c>
      <c r="B282" t="s">
        <v>583</v>
      </c>
      <c r="C282" t="s">
        <v>576</v>
      </c>
      <c r="D282" t="s">
        <v>577</v>
      </c>
      <c r="E282">
        <v>1.8364339999999999</v>
      </c>
    </row>
    <row r="283" spans="1:32" hidden="1" x14ac:dyDescent="0.2">
      <c r="A283">
        <v>1.9020239999999999</v>
      </c>
      <c r="B283">
        <v>5.7565419999999996</v>
      </c>
      <c r="C283">
        <v>2039.3917240000001</v>
      </c>
      <c r="D283">
        <v>89.056404000000001</v>
      </c>
      <c r="E283">
        <v>0.63400800000000002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1728</v>
      </c>
      <c r="L283">
        <v>69.237503000000004</v>
      </c>
      <c r="M283">
        <v>0</v>
      </c>
      <c r="N283">
        <v>1</v>
      </c>
      <c r="O283">
        <v>0</v>
      </c>
      <c r="Q283">
        <v>1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">
        <v>578</v>
      </c>
      <c r="AC283" t="s">
        <v>495</v>
      </c>
      <c r="AD283">
        <v>4</v>
      </c>
      <c r="AE283" s="31">
        <v>0.35938657407407404</v>
      </c>
      <c r="AF283">
        <v>2023</v>
      </c>
    </row>
    <row r="284" spans="1:32" hidden="1" x14ac:dyDescent="0.2">
      <c r="A284">
        <v>14</v>
      </c>
      <c r="B284" t="s">
        <v>569</v>
      </c>
      <c r="C284">
        <v>0</v>
      </c>
      <c r="D284">
        <v>250</v>
      </c>
      <c r="E284">
        <v>0</v>
      </c>
      <c r="F284">
        <v>1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  <c r="M284" t="s">
        <v>584</v>
      </c>
      <c r="N284">
        <v>0</v>
      </c>
      <c r="O284">
        <v>0</v>
      </c>
      <c r="Q284">
        <v>0</v>
      </c>
      <c r="R284">
        <v>0</v>
      </c>
      <c r="S284" t="s">
        <v>572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 t="s">
        <v>459</v>
      </c>
    </row>
    <row r="285" spans="1:32" hidden="1" x14ac:dyDescent="0.2">
      <c r="A285" t="s">
        <v>573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 t="s">
        <v>458</v>
      </c>
    </row>
    <row r="286" spans="1:32" hidden="1" x14ac:dyDescent="0.2">
      <c r="A286" t="s">
        <v>574</v>
      </c>
      <c r="B286" t="s">
        <v>585</v>
      </c>
      <c r="C286" t="s">
        <v>576</v>
      </c>
      <c r="D286" t="s">
        <v>577</v>
      </c>
      <c r="E286">
        <v>1.835782</v>
      </c>
    </row>
    <row r="287" spans="1:32" hidden="1" x14ac:dyDescent="0.2">
      <c r="A287">
        <v>1.9020239999999999</v>
      </c>
      <c r="B287">
        <v>5.7545700000000002</v>
      </c>
      <c r="C287">
        <v>2038.693115</v>
      </c>
      <c r="D287">
        <v>89.025902000000002</v>
      </c>
      <c r="E287">
        <v>0.63400800000000002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1729</v>
      </c>
      <c r="L287">
        <v>69.237503000000004</v>
      </c>
      <c r="M287">
        <v>0</v>
      </c>
      <c r="N287">
        <v>1</v>
      </c>
      <c r="O287">
        <v>0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">
        <v>578</v>
      </c>
      <c r="AC287" t="s">
        <v>495</v>
      </c>
      <c r="AD287">
        <v>4</v>
      </c>
      <c r="AE287" s="31">
        <v>0.35939814814814813</v>
      </c>
      <c r="AF287">
        <v>2023</v>
      </c>
    </row>
    <row r="288" spans="1:32" x14ac:dyDescent="0.2">
      <c r="A288">
        <v>14</v>
      </c>
      <c r="B288" t="s">
        <v>569</v>
      </c>
      <c r="C288">
        <v>1</v>
      </c>
      <c r="D288">
        <v>256</v>
      </c>
      <c r="E288">
        <v>0</v>
      </c>
      <c r="F288">
        <v>1</v>
      </c>
      <c r="G288">
        <v>0</v>
      </c>
      <c r="H288">
        <v>1</v>
      </c>
      <c r="I288">
        <v>0</v>
      </c>
      <c r="J288">
        <v>0</v>
      </c>
      <c r="K288">
        <v>0</v>
      </c>
      <c r="L288">
        <v>0</v>
      </c>
      <c r="M288" t="s">
        <v>586</v>
      </c>
      <c r="N288">
        <v>0</v>
      </c>
      <c r="O288">
        <v>0</v>
      </c>
      <c r="Q288">
        <v>0</v>
      </c>
      <c r="R288">
        <v>0</v>
      </c>
      <c r="S288" t="s">
        <v>572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 t="s">
        <v>459</v>
      </c>
    </row>
    <row r="289" spans="1:32" hidden="1" x14ac:dyDescent="0.2">
      <c r="A289" t="s">
        <v>573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 t="s">
        <v>458</v>
      </c>
    </row>
    <row r="290" spans="1:32" hidden="1" x14ac:dyDescent="0.2">
      <c r="A290" t="s">
        <v>574</v>
      </c>
      <c r="B290" t="s">
        <v>587</v>
      </c>
      <c r="C290" t="s">
        <v>576</v>
      </c>
      <c r="D290" t="s">
        <v>577</v>
      </c>
      <c r="E290">
        <v>1.835834</v>
      </c>
    </row>
    <row r="291" spans="1:32" hidden="1" x14ac:dyDescent="0.2">
      <c r="A291">
        <v>2.8530359999999999</v>
      </c>
      <c r="B291">
        <v>5.7547300000000003</v>
      </c>
      <c r="C291">
        <v>2038.7498780000001</v>
      </c>
      <c r="D291">
        <v>89.028380999999996</v>
      </c>
      <c r="E291">
        <v>0.95101199999999997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1730</v>
      </c>
      <c r="L291">
        <v>69.237503000000004</v>
      </c>
      <c r="M291">
        <v>0</v>
      </c>
      <c r="N291">
        <v>1</v>
      </c>
      <c r="O291">
        <v>0</v>
      </c>
      <c r="Q291">
        <v>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">
        <v>578</v>
      </c>
      <c r="AC291" t="s">
        <v>495</v>
      </c>
      <c r="AD291">
        <v>4</v>
      </c>
      <c r="AE291" s="31">
        <v>0.35940972222222217</v>
      </c>
      <c r="AF291">
        <v>2023</v>
      </c>
    </row>
    <row r="292" spans="1:32" hidden="1" x14ac:dyDescent="0.2">
      <c r="A292">
        <v>14</v>
      </c>
      <c r="B292" t="s">
        <v>569</v>
      </c>
      <c r="C292">
        <v>0</v>
      </c>
      <c r="D292" t="s">
        <v>570</v>
      </c>
      <c r="E292">
        <v>0</v>
      </c>
      <c r="F292">
        <v>1</v>
      </c>
      <c r="G292">
        <v>0</v>
      </c>
      <c r="H292">
        <v>1</v>
      </c>
      <c r="I292">
        <v>0</v>
      </c>
      <c r="J292">
        <v>0</v>
      </c>
      <c r="K292">
        <v>0</v>
      </c>
      <c r="L292">
        <v>0</v>
      </c>
      <c r="M292" t="s">
        <v>588</v>
      </c>
      <c r="N292">
        <v>0</v>
      </c>
      <c r="O292">
        <v>0</v>
      </c>
      <c r="Q292">
        <v>0</v>
      </c>
      <c r="R292">
        <v>0</v>
      </c>
      <c r="S292" t="s">
        <v>589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 t="s">
        <v>459</v>
      </c>
    </row>
    <row r="293" spans="1:32" hidden="1" x14ac:dyDescent="0.2">
      <c r="A293" t="s">
        <v>573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 t="s">
        <v>458</v>
      </c>
    </row>
    <row r="294" spans="1:32" hidden="1" x14ac:dyDescent="0.2">
      <c r="A294" t="s">
        <v>574</v>
      </c>
      <c r="B294" t="s">
        <v>575</v>
      </c>
      <c r="C294" t="s">
        <v>576</v>
      </c>
      <c r="D294" t="s">
        <v>577</v>
      </c>
      <c r="E294">
        <v>1.836519</v>
      </c>
    </row>
    <row r="295" spans="1:32" hidden="1" x14ac:dyDescent="0.2">
      <c r="A295">
        <v>2.8530359999999999</v>
      </c>
      <c r="B295">
        <v>5.7568010000000003</v>
      </c>
      <c r="C295">
        <v>2039.483643</v>
      </c>
      <c r="D295">
        <v>89.060424999999995</v>
      </c>
      <c r="E295">
        <v>0.95101199999999997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1731</v>
      </c>
      <c r="L295">
        <v>69.125</v>
      </c>
      <c r="M295">
        <v>0</v>
      </c>
      <c r="N295">
        <v>1</v>
      </c>
      <c r="O295">
        <v>0</v>
      </c>
      <c r="Q295">
        <v>1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">
        <v>578</v>
      </c>
      <c r="AC295" t="s">
        <v>495</v>
      </c>
      <c r="AD295">
        <v>4</v>
      </c>
      <c r="AE295" s="31">
        <v>0.35942129629629632</v>
      </c>
      <c r="AF295">
        <v>2023</v>
      </c>
    </row>
    <row r="296" spans="1:32" x14ac:dyDescent="0.2">
      <c r="A296">
        <v>14</v>
      </c>
      <c r="B296" t="s">
        <v>569</v>
      </c>
      <c r="C296">
        <v>1</v>
      </c>
      <c r="D296" t="s">
        <v>590</v>
      </c>
      <c r="E296">
        <v>0</v>
      </c>
      <c r="F296">
        <v>1</v>
      </c>
      <c r="G296">
        <v>0</v>
      </c>
      <c r="H296">
        <v>1</v>
      </c>
      <c r="I296">
        <v>0</v>
      </c>
      <c r="J296">
        <v>0</v>
      </c>
      <c r="K296">
        <v>0</v>
      </c>
      <c r="L296">
        <v>0</v>
      </c>
      <c r="M296" t="s">
        <v>591</v>
      </c>
      <c r="N296">
        <v>0</v>
      </c>
      <c r="O296">
        <v>0</v>
      </c>
      <c r="Q296">
        <v>0</v>
      </c>
      <c r="R296">
        <v>0</v>
      </c>
      <c r="S296" t="s">
        <v>572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 t="s">
        <v>459</v>
      </c>
    </row>
    <row r="297" spans="1:32" hidden="1" x14ac:dyDescent="0.2">
      <c r="A297" t="s">
        <v>573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 t="s">
        <v>458</v>
      </c>
    </row>
    <row r="298" spans="1:32" hidden="1" x14ac:dyDescent="0.2">
      <c r="A298" t="s">
        <v>574</v>
      </c>
      <c r="B298" t="s">
        <v>592</v>
      </c>
      <c r="C298" t="s">
        <v>576</v>
      </c>
      <c r="D298" t="s">
        <v>577</v>
      </c>
      <c r="E298">
        <v>1.837056</v>
      </c>
    </row>
    <row r="299" spans="1:32" hidden="1" x14ac:dyDescent="0.2">
      <c r="A299">
        <v>3.8040479999999999</v>
      </c>
      <c r="B299">
        <v>5.7584239999999998</v>
      </c>
      <c r="C299">
        <v>2040.0584719999999</v>
      </c>
      <c r="D299">
        <v>89.085526000000002</v>
      </c>
      <c r="E299">
        <v>1.268016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1732</v>
      </c>
      <c r="L299">
        <v>69.237503000000004</v>
      </c>
      <c r="M299">
        <v>0</v>
      </c>
      <c r="N299">
        <v>1</v>
      </c>
      <c r="O299">
        <v>0</v>
      </c>
      <c r="Q299">
        <v>1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">
        <v>578</v>
      </c>
      <c r="AC299" t="s">
        <v>495</v>
      </c>
      <c r="AD299">
        <v>4</v>
      </c>
      <c r="AE299" s="31">
        <v>0.35943287037037036</v>
      </c>
      <c r="AF299">
        <v>2023</v>
      </c>
    </row>
    <row r="300" spans="1:32" hidden="1" x14ac:dyDescent="0.2">
      <c r="A300">
        <v>14</v>
      </c>
      <c r="B300" t="s">
        <v>569</v>
      </c>
      <c r="C300">
        <v>0</v>
      </c>
      <c r="D300" t="s">
        <v>593</v>
      </c>
      <c r="E300">
        <v>0</v>
      </c>
      <c r="F300">
        <v>1</v>
      </c>
      <c r="G300">
        <v>0</v>
      </c>
      <c r="H300">
        <v>1</v>
      </c>
      <c r="I300">
        <v>0</v>
      </c>
      <c r="J300">
        <v>0</v>
      </c>
      <c r="K300">
        <v>0</v>
      </c>
      <c r="L300">
        <v>0</v>
      </c>
      <c r="M300" t="s">
        <v>594</v>
      </c>
      <c r="N300">
        <v>0</v>
      </c>
      <c r="O300">
        <v>0</v>
      </c>
      <c r="Q300">
        <v>0</v>
      </c>
      <c r="R300">
        <v>0</v>
      </c>
      <c r="S300" t="s">
        <v>572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 t="s">
        <v>459</v>
      </c>
    </row>
    <row r="301" spans="1:32" hidden="1" x14ac:dyDescent="0.2">
      <c r="A301" t="s">
        <v>573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 t="s">
        <v>458</v>
      </c>
    </row>
    <row r="302" spans="1:32" hidden="1" x14ac:dyDescent="0.2">
      <c r="A302" t="s">
        <v>574</v>
      </c>
      <c r="B302" t="s">
        <v>595</v>
      </c>
      <c r="C302" t="s">
        <v>576</v>
      </c>
      <c r="D302" t="s">
        <v>577</v>
      </c>
      <c r="E302">
        <v>1.837459</v>
      </c>
    </row>
    <row r="303" spans="1:32" hidden="1" x14ac:dyDescent="0.2">
      <c r="A303">
        <v>3.8040479999999999</v>
      </c>
      <c r="B303">
        <v>5.7596439999999998</v>
      </c>
      <c r="C303">
        <v>2040.4904790000001</v>
      </c>
      <c r="D303">
        <v>89.104384999999994</v>
      </c>
      <c r="E303">
        <v>1.268016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1733</v>
      </c>
      <c r="L303">
        <v>69.237503000000004</v>
      </c>
      <c r="M303">
        <v>0</v>
      </c>
      <c r="N303">
        <v>1</v>
      </c>
      <c r="O303">
        <v>0</v>
      </c>
      <c r="Q303">
        <v>1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">
        <v>578</v>
      </c>
      <c r="AC303" t="s">
        <v>495</v>
      </c>
      <c r="AD303">
        <v>4</v>
      </c>
      <c r="AE303" s="31">
        <v>0.35944444444444446</v>
      </c>
      <c r="AF303">
        <v>2023</v>
      </c>
    </row>
    <row r="304" spans="1:32" x14ac:dyDescent="0.2">
      <c r="A304">
        <v>14</v>
      </c>
      <c r="B304" t="s">
        <v>569</v>
      </c>
      <c r="C304">
        <v>1</v>
      </c>
      <c r="D304">
        <v>251</v>
      </c>
      <c r="E304">
        <v>0</v>
      </c>
      <c r="F304">
        <v>1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 t="s">
        <v>596</v>
      </c>
      <c r="N304">
        <v>0</v>
      </c>
      <c r="O304">
        <v>0</v>
      </c>
      <c r="Q304">
        <v>0</v>
      </c>
      <c r="R304">
        <v>0</v>
      </c>
      <c r="S304" t="s">
        <v>572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 t="s">
        <v>459</v>
      </c>
    </row>
    <row r="305" spans="1:32" hidden="1" x14ac:dyDescent="0.2">
      <c r="A305" t="s">
        <v>573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 t="s">
        <v>458</v>
      </c>
    </row>
    <row r="306" spans="1:32" hidden="1" x14ac:dyDescent="0.2">
      <c r="A306" t="s">
        <v>574</v>
      </c>
      <c r="B306" t="s">
        <v>580</v>
      </c>
      <c r="C306" t="s">
        <v>576</v>
      </c>
      <c r="D306" t="s">
        <v>577</v>
      </c>
      <c r="E306">
        <v>1.836973</v>
      </c>
    </row>
    <row r="307" spans="1:32" hidden="1" x14ac:dyDescent="0.2">
      <c r="A307">
        <v>4.7550600000000003</v>
      </c>
      <c r="B307">
        <v>5.7581730000000002</v>
      </c>
      <c r="C307">
        <v>2039.969482</v>
      </c>
      <c r="D307">
        <v>89.081635000000006</v>
      </c>
      <c r="E307">
        <v>1.5850200000000001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1734</v>
      </c>
      <c r="L307">
        <v>69.237503000000004</v>
      </c>
      <c r="M307">
        <v>0</v>
      </c>
      <c r="N307">
        <v>1</v>
      </c>
      <c r="O307">
        <v>0</v>
      </c>
      <c r="Q307">
        <v>1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">
        <v>578</v>
      </c>
      <c r="AC307" t="s">
        <v>495</v>
      </c>
      <c r="AD307">
        <v>4</v>
      </c>
      <c r="AE307" s="31">
        <v>0.35945601851851849</v>
      </c>
      <c r="AF307">
        <v>2023</v>
      </c>
    </row>
    <row r="308" spans="1:32" hidden="1" x14ac:dyDescent="0.2">
      <c r="A308">
        <v>14</v>
      </c>
      <c r="B308" t="s">
        <v>569</v>
      </c>
      <c r="C308">
        <v>0</v>
      </c>
      <c r="D308">
        <v>252</v>
      </c>
      <c r="E308">
        <v>0</v>
      </c>
      <c r="F308">
        <v>1</v>
      </c>
      <c r="G308">
        <v>0</v>
      </c>
      <c r="H308">
        <v>1</v>
      </c>
      <c r="I308">
        <v>0</v>
      </c>
      <c r="J308">
        <v>0</v>
      </c>
      <c r="K308">
        <v>0</v>
      </c>
      <c r="L308">
        <v>0</v>
      </c>
      <c r="M308" t="s">
        <v>597</v>
      </c>
      <c r="N308">
        <v>0</v>
      </c>
      <c r="O308">
        <v>0</v>
      </c>
      <c r="Q308">
        <v>0</v>
      </c>
      <c r="R308">
        <v>0</v>
      </c>
      <c r="S308" t="s">
        <v>572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 t="s">
        <v>459</v>
      </c>
    </row>
    <row r="309" spans="1:32" hidden="1" x14ac:dyDescent="0.2">
      <c r="A309" t="s">
        <v>573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 t="s">
        <v>458</v>
      </c>
    </row>
    <row r="310" spans="1:32" hidden="1" x14ac:dyDescent="0.2">
      <c r="A310" t="s">
        <v>574</v>
      </c>
      <c r="B310" t="s">
        <v>598</v>
      </c>
      <c r="C310" t="s">
        <v>576</v>
      </c>
      <c r="D310" t="s">
        <v>577</v>
      </c>
      <c r="E310">
        <v>1.8366089999999999</v>
      </c>
    </row>
    <row r="311" spans="1:32" hidden="1" x14ac:dyDescent="0.2">
      <c r="A311">
        <v>4.7550600000000003</v>
      </c>
      <c r="B311">
        <v>5.7570730000000001</v>
      </c>
      <c r="C311">
        <v>2039.579712</v>
      </c>
      <c r="D311">
        <v>89.064612999999994</v>
      </c>
      <c r="E311">
        <v>1.5850200000000001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1735</v>
      </c>
      <c r="L311">
        <v>69.237503000000004</v>
      </c>
      <c r="M311">
        <v>0</v>
      </c>
      <c r="N311">
        <v>1</v>
      </c>
      <c r="O311">
        <v>0</v>
      </c>
      <c r="Q311">
        <v>1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">
        <v>578</v>
      </c>
      <c r="AC311" t="s">
        <v>495</v>
      </c>
      <c r="AD311">
        <v>4</v>
      </c>
      <c r="AE311" s="31">
        <v>0.35946759259259259</v>
      </c>
      <c r="AF311">
        <v>2023</v>
      </c>
    </row>
    <row r="312" spans="1:32" x14ac:dyDescent="0.2">
      <c r="A312">
        <v>14</v>
      </c>
      <c r="B312" t="s">
        <v>569</v>
      </c>
      <c r="C312">
        <v>1</v>
      </c>
      <c r="D312" t="s">
        <v>599</v>
      </c>
      <c r="E312">
        <v>0</v>
      </c>
      <c r="F312">
        <v>1</v>
      </c>
      <c r="G312">
        <v>0</v>
      </c>
      <c r="H312">
        <v>1</v>
      </c>
      <c r="I312">
        <v>0</v>
      </c>
      <c r="J312">
        <v>0</v>
      </c>
      <c r="K312">
        <v>0</v>
      </c>
      <c r="L312">
        <v>0</v>
      </c>
      <c r="M312" t="s">
        <v>600</v>
      </c>
      <c r="N312">
        <v>0</v>
      </c>
      <c r="O312">
        <v>0</v>
      </c>
      <c r="Q312">
        <v>0</v>
      </c>
      <c r="R312">
        <v>0</v>
      </c>
      <c r="S312" t="s">
        <v>572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 t="s">
        <v>459</v>
      </c>
    </row>
    <row r="313" spans="1:32" hidden="1" x14ac:dyDescent="0.2">
      <c r="A313" t="s">
        <v>573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 t="s">
        <v>458</v>
      </c>
    </row>
    <row r="314" spans="1:32" hidden="1" x14ac:dyDescent="0.2">
      <c r="A314" t="s">
        <v>574</v>
      </c>
      <c r="B314" t="s">
        <v>601</v>
      </c>
      <c r="C314" t="s">
        <v>576</v>
      </c>
      <c r="D314" t="s">
        <v>577</v>
      </c>
      <c r="E314">
        <v>1.835815</v>
      </c>
    </row>
    <row r="315" spans="1:32" hidden="1" x14ac:dyDescent="0.2">
      <c r="A315">
        <v>5.7060719999999998</v>
      </c>
      <c r="B315">
        <v>5.7546710000000001</v>
      </c>
      <c r="C315">
        <v>2038.7288820000001</v>
      </c>
      <c r="D315">
        <v>89.027466000000004</v>
      </c>
      <c r="E315">
        <v>1.9020239999999999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1736</v>
      </c>
      <c r="L315">
        <v>69.237503000000004</v>
      </c>
      <c r="M315">
        <v>0</v>
      </c>
      <c r="N315">
        <v>1</v>
      </c>
      <c r="O315">
        <v>0</v>
      </c>
      <c r="Q315">
        <v>1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">
        <v>578</v>
      </c>
      <c r="AC315" t="s">
        <v>495</v>
      </c>
      <c r="AD315">
        <v>4</v>
      </c>
      <c r="AE315" s="31">
        <v>0.35947916666666663</v>
      </c>
      <c r="AF315">
        <v>2023</v>
      </c>
    </row>
    <row r="316" spans="1:32" hidden="1" x14ac:dyDescent="0.2">
      <c r="A316">
        <v>14</v>
      </c>
      <c r="B316" t="s">
        <v>569</v>
      </c>
      <c r="C316">
        <v>0</v>
      </c>
      <c r="D316">
        <v>259</v>
      </c>
      <c r="E316">
        <v>0</v>
      </c>
      <c r="F316">
        <v>1</v>
      </c>
      <c r="G316">
        <v>0</v>
      </c>
      <c r="H316">
        <v>1</v>
      </c>
      <c r="I316">
        <v>0</v>
      </c>
      <c r="J316">
        <v>0</v>
      </c>
      <c r="K316">
        <v>0</v>
      </c>
      <c r="L316">
        <v>0</v>
      </c>
      <c r="M316" t="s">
        <v>602</v>
      </c>
      <c r="N316">
        <v>0</v>
      </c>
      <c r="O316">
        <v>0</v>
      </c>
      <c r="Q316">
        <v>0</v>
      </c>
      <c r="R316">
        <v>0</v>
      </c>
      <c r="S316" t="s">
        <v>572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 t="s">
        <v>459</v>
      </c>
    </row>
    <row r="317" spans="1:32" hidden="1" x14ac:dyDescent="0.2">
      <c r="A317" t="s">
        <v>573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 t="s">
        <v>458</v>
      </c>
    </row>
    <row r="318" spans="1:32" hidden="1" x14ac:dyDescent="0.2">
      <c r="A318" t="s">
        <v>574</v>
      </c>
      <c r="B318" t="s">
        <v>603</v>
      </c>
      <c r="C318" t="s">
        <v>576</v>
      </c>
      <c r="D318" t="s">
        <v>577</v>
      </c>
      <c r="E318">
        <v>1.83612</v>
      </c>
    </row>
    <row r="319" spans="1:32" hidden="1" x14ac:dyDescent="0.2">
      <c r="A319">
        <v>5.7060719999999998</v>
      </c>
      <c r="B319">
        <v>5.7555930000000002</v>
      </c>
      <c r="C319">
        <v>2039.055298</v>
      </c>
      <c r="D319">
        <v>89.041718000000003</v>
      </c>
      <c r="E319">
        <v>1.9020239999999999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1737</v>
      </c>
      <c r="L319">
        <v>69.237503000000004</v>
      </c>
      <c r="M319">
        <v>0</v>
      </c>
      <c r="N319">
        <v>1</v>
      </c>
      <c r="O319">
        <v>0</v>
      </c>
      <c r="Q319">
        <v>1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578</v>
      </c>
      <c r="AC319" t="s">
        <v>495</v>
      </c>
      <c r="AD319">
        <v>4</v>
      </c>
      <c r="AE319" s="31">
        <v>0.35949074074074078</v>
      </c>
      <c r="AF319">
        <v>2023</v>
      </c>
    </row>
    <row r="320" spans="1:32" x14ac:dyDescent="0.2">
      <c r="A320">
        <v>13</v>
      </c>
      <c r="B320" t="s">
        <v>569</v>
      </c>
      <c r="C320">
        <v>1</v>
      </c>
      <c r="D320" t="s">
        <v>593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0</v>
      </c>
      <c r="K320">
        <v>0</v>
      </c>
      <c r="L320">
        <v>0</v>
      </c>
      <c r="M320" t="s">
        <v>604</v>
      </c>
      <c r="N320">
        <v>0</v>
      </c>
      <c r="O320">
        <v>0</v>
      </c>
      <c r="Q320">
        <v>0</v>
      </c>
      <c r="R320">
        <v>0</v>
      </c>
      <c r="S320" t="s">
        <v>572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 t="s">
        <v>459</v>
      </c>
    </row>
    <row r="321" spans="1:32" hidden="1" x14ac:dyDescent="0.2">
      <c r="A321" t="s">
        <v>573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 t="s">
        <v>458</v>
      </c>
    </row>
    <row r="322" spans="1:32" hidden="1" x14ac:dyDescent="0.2">
      <c r="A322" t="s">
        <v>574</v>
      </c>
      <c r="B322" t="s">
        <v>595</v>
      </c>
      <c r="C322" t="s">
        <v>576</v>
      </c>
      <c r="D322" t="s">
        <v>577</v>
      </c>
      <c r="E322">
        <v>1.8364929999999999</v>
      </c>
    </row>
    <row r="323" spans="1:32" hidden="1" x14ac:dyDescent="0.2">
      <c r="A323">
        <v>6.5619829999999997</v>
      </c>
      <c r="B323">
        <v>5.7567209999999998</v>
      </c>
      <c r="C323">
        <v>2039.454956</v>
      </c>
      <c r="D323">
        <v>89.059166000000005</v>
      </c>
      <c r="E323">
        <v>2.1873269999999998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1738</v>
      </c>
      <c r="L323">
        <v>69.237503000000004</v>
      </c>
      <c r="M323">
        <v>0</v>
      </c>
      <c r="N323">
        <v>1</v>
      </c>
      <c r="O323">
        <v>0</v>
      </c>
      <c r="Q323">
        <v>1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">
        <v>578</v>
      </c>
      <c r="AC323" t="s">
        <v>495</v>
      </c>
      <c r="AD323">
        <v>4</v>
      </c>
      <c r="AE323" s="31">
        <v>0.35950231481481482</v>
      </c>
      <c r="AF323">
        <v>2023</v>
      </c>
    </row>
    <row r="324" spans="1:32" hidden="1" x14ac:dyDescent="0.2">
      <c r="A324">
        <v>13</v>
      </c>
      <c r="B324" t="s">
        <v>569</v>
      </c>
      <c r="C324">
        <v>0</v>
      </c>
      <c r="D324" t="s">
        <v>570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0</v>
      </c>
      <c r="K324">
        <v>0</v>
      </c>
      <c r="L324">
        <v>0</v>
      </c>
      <c r="M324" t="s">
        <v>605</v>
      </c>
      <c r="N324">
        <v>0</v>
      </c>
      <c r="O324">
        <v>0</v>
      </c>
      <c r="Q324">
        <v>0</v>
      </c>
      <c r="R324">
        <v>0</v>
      </c>
      <c r="S324" t="s">
        <v>572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 t="s">
        <v>459</v>
      </c>
    </row>
    <row r="325" spans="1:32" hidden="1" x14ac:dyDescent="0.2">
      <c r="A325" t="s">
        <v>573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 t="s">
        <v>458</v>
      </c>
    </row>
    <row r="326" spans="1:32" hidden="1" x14ac:dyDescent="0.2">
      <c r="A326" t="s">
        <v>574</v>
      </c>
      <c r="B326" t="s">
        <v>575</v>
      </c>
      <c r="C326" t="s">
        <v>576</v>
      </c>
      <c r="D326" t="s">
        <v>577</v>
      </c>
      <c r="E326">
        <v>1.8370120000000001</v>
      </c>
    </row>
    <row r="327" spans="1:32" hidden="1" x14ac:dyDescent="0.2">
      <c r="A327">
        <v>6.5619829999999997</v>
      </c>
      <c r="B327">
        <v>5.7582899999999997</v>
      </c>
      <c r="C327">
        <v>2040.010986</v>
      </c>
      <c r="D327">
        <v>89.083449999999999</v>
      </c>
      <c r="E327">
        <v>2.1873269999999998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1739</v>
      </c>
      <c r="L327">
        <v>69.237503000000004</v>
      </c>
      <c r="M327">
        <v>0</v>
      </c>
      <c r="N327">
        <v>1</v>
      </c>
      <c r="O327">
        <v>0</v>
      </c>
      <c r="Q327">
        <v>1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">
        <v>578</v>
      </c>
      <c r="AC327" t="s">
        <v>495</v>
      </c>
      <c r="AD327">
        <v>4</v>
      </c>
      <c r="AE327" s="31">
        <v>0.35951388888888891</v>
      </c>
      <c r="AF327">
        <v>2023</v>
      </c>
    </row>
    <row r="328" spans="1:32" x14ac:dyDescent="0.2">
      <c r="A328">
        <v>14</v>
      </c>
      <c r="B328" t="s">
        <v>569</v>
      </c>
      <c r="C328">
        <v>1</v>
      </c>
      <c r="D328">
        <v>255</v>
      </c>
      <c r="E328">
        <v>0</v>
      </c>
      <c r="F328">
        <v>1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  <c r="M328" t="s">
        <v>606</v>
      </c>
      <c r="N328">
        <v>0</v>
      </c>
      <c r="O328">
        <v>0</v>
      </c>
      <c r="Q328">
        <v>0</v>
      </c>
      <c r="R328">
        <v>0</v>
      </c>
      <c r="S328" t="s">
        <v>572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 t="s">
        <v>459</v>
      </c>
    </row>
    <row r="329" spans="1:32" hidden="1" x14ac:dyDescent="0.2">
      <c r="A329" t="s">
        <v>573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 t="s">
        <v>458</v>
      </c>
    </row>
    <row r="330" spans="1:32" hidden="1" x14ac:dyDescent="0.2">
      <c r="A330" t="s">
        <v>574</v>
      </c>
      <c r="B330" t="s">
        <v>607</v>
      </c>
      <c r="C330" t="s">
        <v>576</v>
      </c>
      <c r="D330" t="s">
        <v>577</v>
      </c>
      <c r="E330">
        <v>1.836937</v>
      </c>
    </row>
    <row r="331" spans="1:32" hidden="1" x14ac:dyDescent="0.2">
      <c r="A331">
        <v>7.512994</v>
      </c>
      <c r="B331">
        <v>5.7580660000000004</v>
      </c>
      <c r="C331">
        <v>2039.9313959999999</v>
      </c>
      <c r="D331">
        <v>89.079971</v>
      </c>
      <c r="E331">
        <v>2.5043310000000001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1740</v>
      </c>
      <c r="L331">
        <v>69.237503000000004</v>
      </c>
      <c r="M331">
        <v>0</v>
      </c>
      <c r="N331">
        <v>1</v>
      </c>
      <c r="O331">
        <v>0</v>
      </c>
      <c r="Q331">
        <v>1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">
        <v>578</v>
      </c>
      <c r="AC331" t="s">
        <v>495</v>
      </c>
      <c r="AD331">
        <v>4</v>
      </c>
      <c r="AE331" s="31">
        <v>0.35952546296296295</v>
      </c>
      <c r="AF331">
        <v>2023</v>
      </c>
    </row>
    <row r="332" spans="1:32" hidden="1" x14ac:dyDescent="0.2">
      <c r="A332">
        <v>14</v>
      </c>
      <c r="B332" t="s">
        <v>569</v>
      </c>
      <c r="C332">
        <v>0</v>
      </c>
      <c r="D332">
        <v>255</v>
      </c>
      <c r="E332">
        <v>0</v>
      </c>
      <c r="F332">
        <v>1</v>
      </c>
      <c r="G332">
        <v>0</v>
      </c>
      <c r="H332">
        <v>1</v>
      </c>
      <c r="I332">
        <v>0</v>
      </c>
      <c r="J332">
        <v>0</v>
      </c>
      <c r="K332">
        <v>0</v>
      </c>
      <c r="L332">
        <v>0</v>
      </c>
      <c r="M332" t="s">
        <v>608</v>
      </c>
      <c r="N332">
        <v>0</v>
      </c>
      <c r="O332">
        <v>0</v>
      </c>
      <c r="Q332">
        <v>0</v>
      </c>
      <c r="R332">
        <v>0</v>
      </c>
      <c r="S332" t="s">
        <v>572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 t="s">
        <v>459</v>
      </c>
    </row>
    <row r="333" spans="1:32" hidden="1" x14ac:dyDescent="0.2">
      <c r="A333" t="s">
        <v>573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 t="s">
        <v>458</v>
      </c>
    </row>
    <row r="334" spans="1:32" hidden="1" x14ac:dyDescent="0.2">
      <c r="A334" t="s">
        <v>574</v>
      </c>
      <c r="B334" t="s">
        <v>607</v>
      </c>
      <c r="C334" t="s">
        <v>576</v>
      </c>
      <c r="D334" t="s">
        <v>577</v>
      </c>
      <c r="E334">
        <v>1.836867</v>
      </c>
    </row>
    <row r="335" spans="1:32" hidden="1" x14ac:dyDescent="0.2">
      <c r="A335">
        <v>7.512994</v>
      </c>
      <c r="B335">
        <v>5.7578529999999999</v>
      </c>
      <c r="C335">
        <v>2039.8560789999999</v>
      </c>
      <c r="D335">
        <v>89.076683000000003</v>
      </c>
      <c r="E335">
        <v>2.5043310000000001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1741</v>
      </c>
      <c r="L335">
        <v>69.237503000000004</v>
      </c>
      <c r="M335">
        <v>0</v>
      </c>
      <c r="N335">
        <v>1</v>
      </c>
      <c r="O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">
        <v>578</v>
      </c>
      <c r="AC335" t="s">
        <v>495</v>
      </c>
      <c r="AD335">
        <v>4</v>
      </c>
      <c r="AE335" s="31">
        <v>0.35953703703703704</v>
      </c>
      <c r="AF335">
        <v>2023</v>
      </c>
    </row>
    <row r="336" spans="1:32" x14ac:dyDescent="0.2">
      <c r="A336">
        <v>14</v>
      </c>
      <c r="B336" t="s">
        <v>569</v>
      </c>
      <c r="C336">
        <v>1</v>
      </c>
      <c r="D336" t="s">
        <v>609</v>
      </c>
      <c r="E336">
        <v>0</v>
      </c>
      <c r="F336">
        <v>1</v>
      </c>
      <c r="G336">
        <v>0</v>
      </c>
      <c r="H336">
        <v>1</v>
      </c>
      <c r="I336">
        <v>0</v>
      </c>
      <c r="J336">
        <v>0</v>
      </c>
      <c r="K336">
        <v>0</v>
      </c>
      <c r="L336">
        <v>0</v>
      </c>
      <c r="M336" t="s">
        <v>610</v>
      </c>
      <c r="N336">
        <v>0</v>
      </c>
      <c r="O336">
        <v>0</v>
      </c>
      <c r="Q336">
        <v>0</v>
      </c>
      <c r="R336">
        <v>0</v>
      </c>
      <c r="S336" t="s">
        <v>572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 t="s">
        <v>459</v>
      </c>
    </row>
    <row r="337" spans="1:32" hidden="1" x14ac:dyDescent="0.2">
      <c r="A337" t="s">
        <v>573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 t="s">
        <v>458</v>
      </c>
    </row>
    <row r="338" spans="1:32" hidden="1" x14ac:dyDescent="0.2">
      <c r="A338" t="s">
        <v>574</v>
      </c>
      <c r="B338" t="s">
        <v>611</v>
      </c>
      <c r="C338" t="s">
        <v>576</v>
      </c>
      <c r="D338" t="s">
        <v>577</v>
      </c>
      <c r="E338">
        <v>1.8362620000000001</v>
      </c>
    </row>
    <row r="339" spans="1:32" hidden="1" x14ac:dyDescent="0.2">
      <c r="A339">
        <v>8.4640059999999995</v>
      </c>
      <c r="B339">
        <v>5.756024</v>
      </c>
      <c r="C339">
        <v>2039.2082519999999</v>
      </c>
      <c r="D339">
        <v>89.048393000000004</v>
      </c>
      <c r="E339">
        <v>2.8213349999999999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1742</v>
      </c>
      <c r="L339">
        <v>69.237503000000004</v>
      </c>
      <c r="M339">
        <v>0</v>
      </c>
      <c r="N339">
        <v>1</v>
      </c>
      <c r="O339">
        <v>0</v>
      </c>
      <c r="Q339">
        <v>1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">
        <v>578</v>
      </c>
      <c r="AC339" t="s">
        <v>495</v>
      </c>
      <c r="AD339">
        <v>4</v>
      </c>
      <c r="AE339" s="31">
        <v>0.35954861111111108</v>
      </c>
      <c r="AF339">
        <v>2023</v>
      </c>
    </row>
    <row r="340" spans="1:32" hidden="1" x14ac:dyDescent="0.2">
      <c r="A340">
        <v>14</v>
      </c>
      <c r="B340" t="s">
        <v>569</v>
      </c>
      <c r="C340">
        <v>0</v>
      </c>
      <c r="D340">
        <v>255</v>
      </c>
      <c r="E340">
        <v>0</v>
      </c>
      <c r="F340">
        <v>1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0</v>
      </c>
      <c r="M340" t="s">
        <v>612</v>
      </c>
      <c r="N340">
        <v>0</v>
      </c>
      <c r="O340">
        <v>0</v>
      </c>
      <c r="Q340">
        <v>0</v>
      </c>
      <c r="R340">
        <v>0</v>
      </c>
      <c r="S340" t="s">
        <v>613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 t="s">
        <v>459</v>
      </c>
    </row>
    <row r="341" spans="1:32" hidden="1" x14ac:dyDescent="0.2">
      <c r="A341" t="s">
        <v>573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 t="s">
        <v>458</v>
      </c>
    </row>
    <row r="342" spans="1:32" hidden="1" x14ac:dyDescent="0.2">
      <c r="A342" t="s">
        <v>574</v>
      </c>
      <c r="B342" t="s">
        <v>607</v>
      </c>
      <c r="C342" t="s">
        <v>576</v>
      </c>
      <c r="D342" t="s">
        <v>577</v>
      </c>
      <c r="E342">
        <v>1.83657</v>
      </c>
    </row>
    <row r="343" spans="1:32" hidden="1" x14ac:dyDescent="0.2">
      <c r="A343">
        <v>8.4640059999999995</v>
      </c>
      <c r="B343">
        <v>5.7569540000000003</v>
      </c>
      <c r="C343">
        <v>2039.5375979999999</v>
      </c>
      <c r="D343">
        <v>89.062775000000002</v>
      </c>
      <c r="E343">
        <v>2.8213349999999999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1743</v>
      </c>
      <c r="L343">
        <v>69.349997999999999</v>
      </c>
      <c r="M343">
        <v>0</v>
      </c>
      <c r="N343">
        <v>1</v>
      </c>
      <c r="O343">
        <v>0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">
        <v>578</v>
      </c>
      <c r="AC343" t="s">
        <v>495</v>
      </c>
      <c r="AD343">
        <v>4</v>
      </c>
      <c r="AE343" s="31">
        <v>0.35956018518518523</v>
      </c>
      <c r="AF343">
        <v>2023</v>
      </c>
    </row>
    <row r="344" spans="1:32" x14ac:dyDescent="0.2">
      <c r="A344">
        <v>14</v>
      </c>
      <c r="B344" t="s">
        <v>614</v>
      </c>
      <c r="C344">
        <v>1</v>
      </c>
      <c r="D344" t="s">
        <v>615</v>
      </c>
      <c r="E344">
        <v>0</v>
      </c>
      <c r="F344">
        <v>1</v>
      </c>
      <c r="G344">
        <v>0</v>
      </c>
      <c r="H344">
        <v>1</v>
      </c>
      <c r="I344">
        <v>0</v>
      </c>
      <c r="J344">
        <v>0</v>
      </c>
      <c r="K344">
        <v>0</v>
      </c>
      <c r="L344">
        <v>0</v>
      </c>
      <c r="M344" t="s">
        <v>616</v>
      </c>
      <c r="N344">
        <v>0</v>
      </c>
      <c r="O344">
        <v>0</v>
      </c>
      <c r="Q344">
        <v>0</v>
      </c>
      <c r="R344">
        <v>0</v>
      </c>
      <c r="S344" t="s">
        <v>572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 t="s">
        <v>459</v>
      </c>
    </row>
    <row r="345" spans="1:32" hidden="1" x14ac:dyDescent="0.2">
      <c r="A345" t="s">
        <v>573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 t="s">
        <v>458</v>
      </c>
    </row>
    <row r="346" spans="1:32" hidden="1" x14ac:dyDescent="0.2">
      <c r="A346" t="s">
        <v>574</v>
      </c>
      <c r="B346" t="s">
        <v>617</v>
      </c>
      <c r="C346" t="s">
        <v>576</v>
      </c>
      <c r="D346" t="s">
        <v>577</v>
      </c>
      <c r="E346">
        <v>1.836954</v>
      </c>
    </row>
    <row r="347" spans="1:32" hidden="1" x14ac:dyDescent="0.2">
      <c r="A347">
        <v>9.4150179999999999</v>
      </c>
      <c r="B347">
        <v>5.7581150000000001</v>
      </c>
      <c r="C347">
        <v>2039.9488530000001</v>
      </c>
      <c r="D347">
        <v>89.080734000000007</v>
      </c>
      <c r="E347">
        <v>3.1383390000000002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1744</v>
      </c>
      <c r="L347">
        <v>69.237503000000004</v>
      </c>
      <c r="M347">
        <v>0</v>
      </c>
      <c r="N347">
        <v>1</v>
      </c>
      <c r="O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">
        <v>578</v>
      </c>
      <c r="AC347" t="s">
        <v>495</v>
      </c>
      <c r="AD347">
        <v>4</v>
      </c>
      <c r="AE347" s="31">
        <v>0.35957175925925927</v>
      </c>
      <c r="AF347">
        <v>2023</v>
      </c>
    </row>
    <row r="348" spans="1:32" hidden="1" x14ac:dyDescent="0.2">
      <c r="A348">
        <v>14</v>
      </c>
      <c r="B348" t="s">
        <v>614</v>
      </c>
      <c r="C348">
        <v>0</v>
      </c>
      <c r="D348">
        <v>256</v>
      </c>
      <c r="E348">
        <v>0</v>
      </c>
      <c r="F348">
        <v>1</v>
      </c>
      <c r="G348">
        <v>0</v>
      </c>
      <c r="H348">
        <v>1</v>
      </c>
      <c r="I348">
        <v>0</v>
      </c>
      <c r="J348">
        <v>0</v>
      </c>
      <c r="K348">
        <v>0</v>
      </c>
      <c r="L348">
        <v>0</v>
      </c>
      <c r="M348" t="s">
        <v>618</v>
      </c>
      <c r="N348">
        <v>0</v>
      </c>
      <c r="O348">
        <v>0</v>
      </c>
      <c r="Q348">
        <v>0</v>
      </c>
      <c r="R348">
        <v>0</v>
      </c>
      <c r="S348" t="s">
        <v>572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 t="s">
        <v>459</v>
      </c>
    </row>
    <row r="349" spans="1:32" hidden="1" x14ac:dyDescent="0.2">
      <c r="A349" t="s">
        <v>573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 t="s">
        <v>458</v>
      </c>
    </row>
    <row r="350" spans="1:32" hidden="1" x14ac:dyDescent="0.2">
      <c r="A350" t="s">
        <v>574</v>
      </c>
      <c r="B350" t="s">
        <v>587</v>
      </c>
      <c r="C350" t="s">
        <v>576</v>
      </c>
      <c r="D350" t="s">
        <v>577</v>
      </c>
      <c r="E350">
        <v>1.836646</v>
      </c>
    </row>
    <row r="351" spans="1:32" hidden="1" x14ac:dyDescent="0.2">
      <c r="A351">
        <v>9.4150179999999999</v>
      </c>
      <c r="B351">
        <v>5.7571859999999999</v>
      </c>
      <c r="C351">
        <v>2039.619751</v>
      </c>
      <c r="D351">
        <v>89.066367999999997</v>
      </c>
      <c r="E351">
        <v>3.1383390000000002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1745</v>
      </c>
      <c r="L351">
        <v>69.237503000000004</v>
      </c>
      <c r="M351">
        <v>0</v>
      </c>
      <c r="N351">
        <v>1</v>
      </c>
      <c r="O351">
        <v>0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">
        <v>578</v>
      </c>
      <c r="AC351" t="s">
        <v>495</v>
      </c>
      <c r="AD351">
        <v>4</v>
      </c>
      <c r="AE351" s="31">
        <v>0.35958333333333337</v>
      </c>
      <c r="AF351">
        <v>2023</v>
      </c>
    </row>
    <row r="352" spans="1:32" x14ac:dyDescent="0.2">
      <c r="A352">
        <v>14</v>
      </c>
      <c r="B352" t="s">
        <v>619</v>
      </c>
      <c r="C352">
        <v>1</v>
      </c>
      <c r="D352">
        <v>253</v>
      </c>
      <c r="E352">
        <v>0</v>
      </c>
      <c r="F352">
        <v>1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0</v>
      </c>
      <c r="M352" t="s">
        <v>620</v>
      </c>
      <c r="N352">
        <v>0</v>
      </c>
      <c r="O352">
        <v>0</v>
      </c>
      <c r="Q352">
        <v>0</v>
      </c>
      <c r="R352">
        <v>0</v>
      </c>
      <c r="S352" t="s">
        <v>572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 t="s">
        <v>459</v>
      </c>
    </row>
    <row r="353" spans="1:32" hidden="1" x14ac:dyDescent="0.2">
      <c r="A353" t="s">
        <v>573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 t="s">
        <v>458</v>
      </c>
    </row>
    <row r="354" spans="1:32" hidden="1" x14ac:dyDescent="0.2">
      <c r="A354" t="s">
        <v>574</v>
      </c>
      <c r="B354" t="s">
        <v>621</v>
      </c>
      <c r="C354" t="s">
        <v>576</v>
      </c>
      <c r="D354" t="s">
        <v>577</v>
      </c>
      <c r="E354">
        <v>1.8358779999999999</v>
      </c>
    </row>
    <row r="355" spans="1:32" hidden="1" x14ac:dyDescent="0.2">
      <c r="A355">
        <v>9.4150179999999999</v>
      </c>
      <c r="B355">
        <v>5.7548630000000003</v>
      </c>
      <c r="C355">
        <v>2038.7967530000001</v>
      </c>
      <c r="D355">
        <v>89.030426000000006</v>
      </c>
      <c r="E355">
        <v>3.4553430000000001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1746</v>
      </c>
      <c r="L355">
        <v>69.237503000000004</v>
      </c>
      <c r="M355">
        <v>0</v>
      </c>
      <c r="N355">
        <v>1</v>
      </c>
      <c r="O355">
        <v>0</v>
      </c>
      <c r="Q355">
        <v>1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">
        <v>578</v>
      </c>
      <c r="AC355" t="s">
        <v>495</v>
      </c>
      <c r="AD355">
        <v>4</v>
      </c>
      <c r="AE355" s="31">
        <v>0.3595949074074074</v>
      </c>
      <c r="AF355">
        <v>2023</v>
      </c>
    </row>
    <row r="356" spans="1:32" hidden="1" x14ac:dyDescent="0.2">
      <c r="A356">
        <v>14</v>
      </c>
      <c r="B356" t="s">
        <v>619</v>
      </c>
      <c r="C356">
        <v>0</v>
      </c>
      <c r="D356">
        <v>252</v>
      </c>
      <c r="E356">
        <v>0</v>
      </c>
      <c r="F356">
        <v>1</v>
      </c>
      <c r="G356">
        <v>0</v>
      </c>
      <c r="H356">
        <v>1</v>
      </c>
      <c r="I356">
        <v>0</v>
      </c>
      <c r="J356">
        <v>0</v>
      </c>
      <c r="K356">
        <v>0</v>
      </c>
      <c r="L356">
        <v>0</v>
      </c>
      <c r="M356" t="s">
        <v>622</v>
      </c>
      <c r="N356">
        <v>0</v>
      </c>
      <c r="O356">
        <v>0</v>
      </c>
      <c r="Q356">
        <v>0</v>
      </c>
      <c r="R356">
        <v>0</v>
      </c>
      <c r="S356" t="s">
        <v>572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 t="s">
        <v>459</v>
      </c>
    </row>
    <row r="357" spans="1:32" hidden="1" x14ac:dyDescent="0.2">
      <c r="A357" t="s">
        <v>573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 t="s">
        <v>458</v>
      </c>
    </row>
    <row r="358" spans="1:32" hidden="1" x14ac:dyDescent="0.2">
      <c r="A358" t="s">
        <v>574</v>
      </c>
      <c r="B358" t="s">
        <v>598</v>
      </c>
      <c r="C358" t="s">
        <v>576</v>
      </c>
      <c r="D358" t="s">
        <v>577</v>
      </c>
      <c r="E358">
        <v>1.8350329999999999</v>
      </c>
    </row>
    <row r="359" spans="1:32" hidden="1" x14ac:dyDescent="0.2">
      <c r="A359">
        <v>9.4150179999999999</v>
      </c>
      <c r="B359">
        <v>5.7523080000000002</v>
      </c>
      <c r="C359">
        <v>2037.8917240000001</v>
      </c>
      <c r="D359">
        <v>88.990905999999995</v>
      </c>
      <c r="E359">
        <v>3.4553430000000001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1747</v>
      </c>
      <c r="L359">
        <v>69.237503000000004</v>
      </c>
      <c r="M359">
        <v>0</v>
      </c>
      <c r="N359">
        <v>1</v>
      </c>
      <c r="O359">
        <v>0</v>
      </c>
      <c r="Q359">
        <v>1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">
        <v>578</v>
      </c>
      <c r="AC359" t="s">
        <v>495</v>
      </c>
      <c r="AD359">
        <v>4</v>
      </c>
      <c r="AE359" s="31">
        <v>0.3596064814814815</v>
      </c>
      <c r="AF359">
        <v>2023</v>
      </c>
    </row>
    <row r="360" spans="1:32" x14ac:dyDescent="0.2">
      <c r="A360">
        <v>14</v>
      </c>
      <c r="B360" t="s">
        <v>619</v>
      </c>
      <c r="C360">
        <v>1</v>
      </c>
      <c r="D360">
        <v>258</v>
      </c>
      <c r="E360">
        <v>0</v>
      </c>
      <c r="F360">
        <v>1</v>
      </c>
      <c r="G360">
        <v>0</v>
      </c>
      <c r="H360">
        <v>1</v>
      </c>
      <c r="I360">
        <v>0</v>
      </c>
      <c r="J360">
        <v>0</v>
      </c>
      <c r="K360">
        <v>0</v>
      </c>
      <c r="L360">
        <v>0</v>
      </c>
      <c r="M360" t="s">
        <v>623</v>
      </c>
      <c r="N360">
        <v>0</v>
      </c>
      <c r="O360">
        <v>0</v>
      </c>
      <c r="Q360">
        <v>0</v>
      </c>
      <c r="R360">
        <v>0</v>
      </c>
      <c r="S360" t="s">
        <v>572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 t="s">
        <v>459</v>
      </c>
    </row>
    <row r="361" spans="1:32" hidden="1" x14ac:dyDescent="0.2">
      <c r="A361" t="s">
        <v>573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 t="s">
        <v>458</v>
      </c>
    </row>
    <row r="362" spans="1:32" hidden="1" x14ac:dyDescent="0.2">
      <c r="A362" t="s">
        <v>574</v>
      </c>
      <c r="B362" t="s">
        <v>624</v>
      </c>
      <c r="C362" t="s">
        <v>576</v>
      </c>
      <c r="D362" t="s">
        <v>577</v>
      </c>
      <c r="E362">
        <v>1.8353409999999999</v>
      </c>
    </row>
    <row r="363" spans="1:32" hidden="1" x14ac:dyDescent="0.2">
      <c r="A363">
        <v>9.4150179999999999</v>
      </c>
      <c r="B363">
        <v>5.7532370000000004</v>
      </c>
      <c r="C363">
        <v>2038.2208250000001</v>
      </c>
      <c r="D363">
        <v>89.005279999999999</v>
      </c>
      <c r="E363">
        <v>3.7723469999999999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1748</v>
      </c>
      <c r="L363">
        <v>69.237503000000004</v>
      </c>
      <c r="M363">
        <v>0</v>
      </c>
      <c r="N363">
        <v>1</v>
      </c>
      <c r="O363">
        <v>0</v>
      </c>
      <c r="Q363">
        <v>1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">
        <v>578</v>
      </c>
      <c r="AC363" t="s">
        <v>495</v>
      </c>
      <c r="AD363">
        <v>4</v>
      </c>
      <c r="AE363" s="31">
        <v>0.35961805555555554</v>
      </c>
      <c r="AF363">
        <v>2023</v>
      </c>
    </row>
    <row r="364" spans="1:32" hidden="1" x14ac:dyDescent="0.2">
      <c r="A364">
        <v>14</v>
      </c>
      <c r="B364" t="s">
        <v>619</v>
      </c>
      <c r="C364">
        <v>0</v>
      </c>
      <c r="D364" t="s">
        <v>615</v>
      </c>
      <c r="E364">
        <v>0</v>
      </c>
      <c r="F364">
        <v>1</v>
      </c>
      <c r="G364">
        <v>0</v>
      </c>
      <c r="H364">
        <v>1</v>
      </c>
      <c r="I364">
        <v>0</v>
      </c>
      <c r="J364">
        <v>0</v>
      </c>
      <c r="K364">
        <v>0</v>
      </c>
      <c r="L364">
        <v>0</v>
      </c>
      <c r="M364" t="s">
        <v>625</v>
      </c>
      <c r="N364">
        <v>0</v>
      </c>
      <c r="O364">
        <v>0</v>
      </c>
      <c r="Q364">
        <v>0</v>
      </c>
      <c r="R364">
        <v>0</v>
      </c>
      <c r="S364" t="s">
        <v>572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 t="s">
        <v>459</v>
      </c>
    </row>
    <row r="365" spans="1:32" hidden="1" x14ac:dyDescent="0.2">
      <c r="A365" t="s">
        <v>573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 t="s">
        <v>458</v>
      </c>
    </row>
    <row r="366" spans="1:32" hidden="1" x14ac:dyDescent="0.2">
      <c r="A366" t="s">
        <v>574</v>
      </c>
      <c r="B366" t="s">
        <v>617</v>
      </c>
      <c r="C366" t="s">
        <v>576</v>
      </c>
      <c r="D366" t="s">
        <v>577</v>
      </c>
      <c r="E366">
        <v>1.836109</v>
      </c>
    </row>
    <row r="367" spans="1:32" hidden="1" x14ac:dyDescent="0.2">
      <c r="A367">
        <v>9.4150179999999999</v>
      </c>
      <c r="B367">
        <v>5.75556</v>
      </c>
      <c r="C367">
        <v>2039.0439449999999</v>
      </c>
      <c r="D367">
        <v>89.041222000000005</v>
      </c>
      <c r="E367">
        <v>3.7723469999999999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1749</v>
      </c>
      <c r="L367">
        <v>69.237503000000004</v>
      </c>
      <c r="M367">
        <v>0</v>
      </c>
      <c r="N367">
        <v>1</v>
      </c>
      <c r="O367">
        <v>0</v>
      </c>
      <c r="Q367">
        <v>1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">
        <v>578</v>
      </c>
      <c r="AC367" t="s">
        <v>495</v>
      </c>
      <c r="AD367">
        <v>4</v>
      </c>
      <c r="AE367" s="31">
        <v>0.35962962962962958</v>
      </c>
      <c r="AF367">
        <v>2023</v>
      </c>
    </row>
    <row r="368" spans="1:32" x14ac:dyDescent="0.2">
      <c r="A368">
        <v>14</v>
      </c>
      <c r="B368" t="s">
        <v>569</v>
      </c>
      <c r="C368">
        <v>1</v>
      </c>
      <c r="D368" t="s">
        <v>590</v>
      </c>
      <c r="E368">
        <v>0</v>
      </c>
      <c r="F368">
        <v>1</v>
      </c>
      <c r="G368">
        <v>0</v>
      </c>
      <c r="H368">
        <v>1</v>
      </c>
      <c r="I368">
        <v>0</v>
      </c>
      <c r="J368">
        <v>0</v>
      </c>
      <c r="K368">
        <v>0</v>
      </c>
      <c r="L368">
        <v>0</v>
      </c>
      <c r="M368" t="s">
        <v>626</v>
      </c>
      <c r="N368">
        <v>0</v>
      </c>
      <c r="O368">
        <v>0</v>
      </c>
      <c r="Q368">
        <v>0</v>
      </c>
      <c r="R368">
        <v>0</v>
      </c>
      <c r="S368" t="s">
        <v>572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 t="s">
        <v>459</v>
      </c>
    </row>
    <row r="369" spans="1:32" hidden="1" x14ac:dyDescent="0.2">
      <c r="A369" t="s">
        <v>573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 t="s">
        <v>458</v>
      </c>
    </row>
    <row r="370" spans="1:32" hidden="1" x14ac:dyDescent="0.2">
      <c r="A370" t="s">
        <v>574</v>
      </c>
      <c r="B370" t="s">
        <v>592</v>
      </c>
      <c r="C370" t="s">
        <v>576</v>
      </c>
      <c r="D370" t="s">
        <v>577</v>
      </c>
      <c r="E370">
        <v>1.837107</v>
      </c>
    </row>
    <row r="371" spans="1:32" hidden="1" x14ac:dyDescent="0.2">
      <c r="A371">
        <v>9.4150179999999999</v>
      </c>
      <c r="B371">
        <v>5.7585800000000003</v>
      </c>
      <c r="C371">
        <v>2040.113525</v>
      </c>
      <c r="D371">
        <v>89.087929000000003</v>
      </c>
      <c r="E371">
        <v>4.0893509999999997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1750</v>
      </c>
      <c r="L371">
        <v>69.237503000000004</v>
      </c>
      <c r="M371">
        <v>0</v>
      </c>
      <c r="N371">
        <v>1</v>
      </c>
      <c r="O371">
        <v>0</v>
      </c>
      <c r="Q371">
        <v>1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">
        <v>578</v>
      </c>
      <c r="AC371" t="s">
        <v>495</v>
      </c>
      <c r="AD371">
        <v>4</v>
      </c>
      <c r="AE371" s="31">
        <v>0.35964120370370373</v>
      </c>
      <c r="AF371">
        <v>2023</v>
      </c>
    </row>
    <row r="372" spans="1:32" hidden="1" x14ac:dyDescent="0.2">
      <c r="A372">
        <v>14</v>
      </c>
      <c r="B372" t="s">
        <v>569</v>
      </c>
      <c r="C372">
        <v>0</v>
      </c>
      <c r="D372">
        <v>256</v>
      </c>
      <c r="E372">
        <v>0</v>
      </c>
      <c r="F372">
        <v>1</v>
      </c>
      <c r="G372">
        <v>0</v>
      </c>
      <c r="H372">
        <v>1</v>
      </c>
      <c r="I372">
        <v>0</v>
      </c>
      <c r="J372">
        <v>0</v>
      </c>
      <c r="K372">
        <v>0</v>
      </c>
      <c r="L372">
        <v>0</v>
      </c>
      <c r="M372" t="s">
        <v>627</v>
      </c>
      <c r="N372">
        <v>0</v>
      </c>
      <c r="O372">
        <v>0</v>
      </c>
      <c r="Q372">
        <v>0</v>
      </c>
      <c r="R372">
        <v>0</v>
      </c>
      <c r="S372" t="s">
        <v>572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 t="s">
        <v>459</v>
      </c>
    </row>
    <row r="373" spans="1:32" hidden="1" x14ac:dyDescent="0.2">
      <c r="A373" t="s">
        <v>573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 t="s">
        <v>458</v>
      </c>
    </row>
    <row r="374" spans="1:32" hidden="1" x14ac:dyDescent="0.2">
      <c r="A374" t="s">
        <v>574</v>
      </c>
      <c r="B374" t="s">
        <v>587</v>
      </c>
      <c r="C374" t="s">
        <v>576</v>
      </c>
      <c r="D374" t="s">
        <v>577</v>
      </c>
      <c r="E374">
        <v>1.8371839999999999</v>
      </c>
    </row>
    <row r="375" spans="1:32" hidden="1" x14ac:dyDescent="0.2">
      <c r="A375">
        <v>9.4150179999999999</v>
      </c>
      <c r="B375">
        <v>5.7588109999999997</v>
      </c>
      <c r="C375">
        <v>2040.1958010000001</v>
      </c>
      <c r="D375">
        <v>89.091521999999998</v>
      </c>
      <c r="E375">
        <v>4.0893509999999997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1751</v>
      </c>
      <c r="L375">
        <v>69.237503000000004</v>
      </c>
      <c r="M375">
        <v>0</v>
      </c>
      <c r="N375">
        <v>1</v>
      </c>
      <c r="O375">
        <v>0</v>
      </c>
      <c r="Q375">
        <v>1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">
        <v>578</v>
      </c>
      <c r="AC375" t="s">
        <v>495</v>
      </c>
      <c r="AD375">
        <v>4</v>
      </c>
      <c r="AE375" s="31">
        <v>0.35965277777777777</v>
      </c>
      <c r="AF375">
        <v>2023</v>
      </c>
    </row>
    <row r="376" spans="1:32" x14ac:dyDescent="0.2">
      <c r="A376">
        <v>13</v>
      </c>
      <c r="B376" t="s">
        <v>569</v>
      </c>
      <c r="C376">
        <v>1</v>
      </c>
      <c r="D376">
        <v>256</v>
      </c>
      <c r="E376">
        <v>0</v>
      </c>
      <c r="F376">
        <v>1</v>
      </c>
      <c r="G376">
        <v>0</v>
      </c>
      <c r="H376">
        <v>1</v>
      </c>
      <c r="I376">
        <v>0</v>
      </c>
      <c r="J376">
        <v>0</v>
      </c>
      <c r="K376">
        <v>0</v>
      </c>
      <c r="L376">
        <v>0</v>
      </c>
      <c r="M376" t="s">
        <v>628</v>
      </c>
      <c r="N376">
        <v>0</v>
      </c>
      <c r="O376">
        <v>0</v>
      </c>
      <c r="Q376">
        <v>0</v>
      </c>
      <c r="R376">
        <v>0</v>
      </c>
      <c r="S376" t="s">
        <v>572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 t="s">
        <v>459</v>
      </c>
    </row>
    <row r="377" spans="1:32" hidden="1" x14ac:dyDescent="0.2">
      <c r="A377" t="s">
        <v>573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 t="s">
        <v>458</v>
      </c>
    </row>
    <row r="378" spans="1:32" hidden="1" x14ac:dyDescent="0.2">
      <c r="A378" t="s">
        <v>574</v>
      </c>
      <c r="B378" t="s">
        <v>587</v>
      </c>
      <c r="C378" t="s">
        <v>576</v>
      </c>
      <c r="D378" t="s">
        <v>577</v>
      </c>
      <c r="E378">
        <v>1.8371839999999999</v>
      </c>
    </row>
    <row r="379" spans="1:32" hidden="1" x14ac:dyDescent="0.2">
      <c r="A379">
        <v>9.3199170000000002</v>
      </c>
      <c r="B379">
        <v>5.7588109999999997</v>
      </c>
      <c r="C379">
        <v>2040.1958010000001</v>
      </c>
      <c r="D379">
        <v>89.091521999999998</v>
      </c>
      <c r="E379">
        <v>4.3746549999999997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1752</v>
      </c>
      <c r="L379">
        <v>69.237503000000004</v>
      </c>
      <c r="M379">
        <v>0</v>
      </c>
      <c r="N379">
        <v>1</v>
      </c>
      <c r="O379">
        <v>0</v>
      </c>
      <c r="Q379">
        <v>1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">
        <v>578</v>
      </c>
      <c r="AC379" t="s">
        <v>495</v>
      </c>
      <c r="AD379">
        <v>4</v>
      </c>
      <c r="AE379" s="31">
        <v>0.35966435185185186</v>
      </c>
      <c r="AF379">
        <v>2023</v>
      </c>
    </row>
    <row r="380" spans="1:32" hidden="1" x14ac:dyDescent="0.2">
      <c r="A380">
        <v>13</v>
      </c>
      <c r="B380" t="s">
        <v>569</v>
      </c>
      <c r="C380">
        <v>0</v>
      </c>
      <c r="D380" t="s">
        <v>581</v>
      </c>
      <c r="E380">
        <v>0</v>
      </c>
      <c r="F380">
        <v>1</v>
      </c>
      <c r="G380">
        <v>0</v>
      </c>
      <c r="H380">
        <v>1</v>
      </c>
      <c r="I380">
        <v>0</v>
      </c>
      <c r="J380">
        <v>0</v>
      </c>
      <c r="K380">
        <v>0</v>
      </c>
      <c r="L380">
        <v>0</v>
      </c>
      <c r="M380" t="s">
        <v>629</v>
      </c>
      <c r="N380">
        <v>0</v>
      </c>
      <c r="O380">
        <v>0</v>
      </c>
      <c r="Q380">
        <v>0</v>
      </c>
      <c r="R380">
        <v>0</v>
      </c>
      <c r="S380" t="s">
        <v>572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 t="s">
        <v>459</v>
      </c>
    </row>
    <row r="381" spans="1:32" hidden="1" x14ac:dyDescent="0.2">
      <c r="A381" t="s">
        <v>573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 t="s">
        <v>458</v>
      </c>
    </row>
    <row r="382" spans="1:32" hidden="1" x14ac:dyDescent="0.2">
      <c r="A382" t="s">
        <v>574</v>
      </c>
      <c r="B382" t="s">
        <v>583</v>
      </c>
      <c r="C382" t="s">
        <v>576</v>
      </c>
      <c r="D382" t="s">
        <v>577</v>
      </c>
      <c r="E382">
        <v>1.836185</v>
      </c>
    </row>
    <row r="383" spans="1:32" hidden="1" x14ac:dyDescent="0.2">
      <c r="A383">
        <v>9.3199170000000002</v>
      </c>
      <c r="B383">
        <v>5.7557919999999996</v>
      </c>
      <c r="C383">
        <v>2039.1260990000001</v>
      </c>
      <c r="D383">
        <v>89.044807000000006</v>
      </c>
      <c r="E383">
        <v>4.3746549999999997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1753</v>
      </c>
      <c r="L383">
        <v>69.237503000000004</v>
      </c>
      <c r="M383">
        <v>0</v>
      </c>
      <c r="N383">
        <v>1</v>
      </c>
      <c r="O383">
        <v>0</v>
      </c>
      <c r="Q383">
        <v>1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">
        <v>578</v>
      </c>
      <c r="AC383" t="s">
        <v>495</v>
      </c>
      <c r="AD383">
        <v>4</v>
      </c>
      <c r="AE383" s="31">
        <v>0.3596759259259259</v>
      </c>
      <c r="AF383">
        <v>2023</v>
      </c>
    </row>
    <row r="384" spans="1:32" hidden="1" x14ac:dyDescent="0.2">
      <c r="A384" t="s">
        <v>573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 t="s">
        <v>458</v>
      </c>
    </row>
    <row r="385" spans="1:32" x14ac:dyDescent="0.2">
      <c r="A385">
        <v>14</v>
      </c>
      <c r="B385" t="s">
        <v>569</v>
      </c>
      <c r="C385">
        <v>1</v>
      </c>
      <c r="D385">
        <v>254</v>
      </c>
      <c r="E385">
        <v>0</v>
      </c>
      <c r="F385">
        <v>1</v>
      </c>
      <c r="G385">
        <v>0</v>
      </c>
      <c r="H385">
        <v>1</v>
      </c>
      <c r="I385">
        <v>0</v>
      </c>
      <c r="J385">
        <v>0</v>
      </c>
      <c r="K385">
        <v>0</v>
      </c>
      <c r="L385">
        <v>0</v>
      </c>
      <c r="M385" t="s">
        <v>630</v>
      </c>
      <c r="N385">
        <v>0</v>
      </c>
      <c r="O385">
        <v>0</v>
      </c>
      <c r="Q385">
        <v>0</v>
      </c>
      <c r="R385">
        <v>0</v>
      </c>
      <c r="S385" t="s">
        <v>613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 t="s">
        <v>459</v>
      </c>
    </row>
    <row r="386" spans="1:32" hidden="1" x14ac:dyDescent="0.2">
      <c r="A386" t="s">
        <v>574</v>
      </c>
      <c r="B386" t="s">
        <v>631</v>
      </c>
      <c r="C386" t="s">
        <v>576</v>
      </c>
      <c r="D386" t="s">
        <v>577</v>
      </c>
      <c r="E386">
        <v>1.8357250000000001</v>
      </c>
    </row>
    <row r="387" spans="1:32" hidden="1" x14ac:dyDescent="0.2">
      <c r="A387">
        <v>9.3199170000000002</v>
      </c>
      <c r="B387">
        <v>5.7543980000000001</v>
      </c>
      <c r="C387">
        <v>2038.6323239999999</v>
      </c>
      <c r="D387">
        <v>89.023246999999998</v>
      </c>
      <c r="E387">
        <v>4.6916589999999996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1754</v>
      </c>
      <c r="L387">
        <v>69.349997999999999</v>
      </c>
      <c r="M387">
        <v>0</v>
      </c>
      <c r="N387">
        <v>1</v>
      </c>
      <c r="O387">
        <v>0</v>
      </c>
      <c r="Q387">
        <v>1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">
        <v>578</v>
      </c>
      <c r="AC387" t="s">
        <v>495</v>
      </c>
      <c r="AD387">
        <v>4</v>
      </c>
      <c r="AE387" s="31">
        <v>0.35968749999999999</v>
      </c>
      <c r="AF387">
        <v>2023</v>
      </c>
    </row>
    <row r="388" spans="1:32" hidden="1" x14ac:dyDescent="0.2">
      <c r="A388" t="s">
        <v>573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 t="s">
        <v>458</v>
      </c>
    </row>
    <row r="389" spans="1:32" hidden="1" x14ac:dyDescent="0.2">
      <c r="A389">
        <v>14</v>
      </c>
      <c r="B389" t="s">
        <v>569</v>
      </c>
      <c r="C389">
        <v>0</v>
      </c>
      <c r="D389">
        <v>256</v>
      </c>
      <c r="E389">
        <v>0</v>
      </c>
      <c r="F389">
        <v>1</v>
      </c>
      <c r="G389">
        <v>0</v>
      </c>
      <c r="H389">
        <v>1</v>
      </c>
      <c r="I389">
        <v>0</v>
      </c>
      <c r="J389">
        <v>0</v>
      </c>
      <c r="K389">
        <v>0</v>
      </c>
      <c r="L389">
        <v>0</v>
      </c>
      <c r="M389" t="s">
        <v>632</v>
      </c>
      <c r="N389">
        <v>0</v>
      </c>
      <c r="O389">
        <v>0</v>
      </c>
      <c r="Q389">
        <v>0</v>
      </c>
      <c r="R389">
        <v>0</v>
      </c>
      <c r="S389" t="s">
        <v>613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 t="s">
        <v>459</v>
      </c>
    </row>
    <row r="390" spans="1:32" hidden="1" x14ac:dyDescent="0.2">
      <c r="A390" t="s">
        <v>574</v>
      </c>
      <c r="B390" t="s">
        <v>587</v>
      </c>
      <c r="C390" t="s">
        <v>576</v>
      </c>
      <c r="D390" t="s">
        <v>577</v>
      </c>
      <c r="E390">
        <v>1.835955</v>
      </c>
    </row>
    <row r="391" spans="1:32" hidden="1" x14ac:dyDescent="0.2">
      <c r="A391">
        <v>9.3199170000000002</v>
      </c>
      <c r="B391">
        <v>5.7550949999999998</v>
      </c>
      <c r="C391">
        <v>2038.8790280000001</v>
      </c>
      <c r="D391">
        <v>89.034019000000001</v>
      </c>
      <c r="E391">
        <v>4.6916589999999996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1755</v>
      </c>
      <c r="L391">
        <v>69.349997999999999</v>
      </c>
      <c r="M391">
        <v>0</v>
      </c>
      <c r="N391">
        <v>1</v>
      </c>
      <c r="O391">
        <v>0</v>
      </c>
      <c r="Q391">
        <v>1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">
        <v>578</v>
      </c>
      <c r="AC391" t="s">
        <v>495</v>
      </c>
      <c r="AD391">
        <v>4</v>
      </c>
      <c r="AE391" s="31">
        <v>0.35969907407407403</v>
      </c>
      <c r="AF391">
        <v>2023</v>
      </c>
    </row>
    <row r="392" spans="1:32" hidden="1" x14ac:dyDescent="0.2">
      <c r="A392" t="s">
        <v>573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 t="s">
        <v>458</v>
      </c>
    </row>
    <row r="393" spans="1:32" x14ac:dyDescent="0.2">
      <c r="A393">
        <v>14</v>
      </c>
      <c r="B393" t="s">
        <v>569</v>
      </c>
      <c r="C393">
        <v>1</v>
      </c>
      <c r="D393" t="s">
        <v>615</v>
      </c>
      <c r="E393">
        <v>0</v>
      </c>
      <c r="F393">
        <v>1</v>
      </c>
      <c r="G393">
        <v>0</v>
      </c>
      <c r="H393">
        <v>1</v>
      </c>
      <c r="I393">
        <v>0</v>
      </c>
      <c r="J393">
        <v>0</v>
      </c>
      <c r="K393">
        <v>0</v>
      </c>
      <c r="L393">
        <v>0</v>
      </c>
      <c r="M393" t="s">
        <v>633</v>
      </c>
      <c r="N393">
        <v>0</v>
      </c>
      <c r="O393">
        <v>0</v>
      </c>
      <c r="Q393">
        <v>0</v>
      </c>
      <c r="R393">
        <v>0</v>
      </c>
      <c r="S393" t="s">
        <v>572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 t="s">
        <v>459</v>
      </c>
    </row>
    <row r="394" spans="1:32" hidden="1" x14ac:dyDescent="0.2">
      <c r="A394" t="s">
        <v>574</v>
      </c>
      <c r="B394" t="s">
        <v>617</v>
      </c>
      <c r="C394" t="s">
        <v>576</v>
      </c>
      <c r="D394" t="s">
        <v>577</v>
      </c>
      <c r="E394">
        <v>1.8368770000000001</v>
      </c>
    </row>
    <row r="395" spans="1:32" hidden="1" x14ac:dyDescent="0.2">
      <c r="A395">
        <v>9.3199170000000002</v>
      </c>
      <c r="B395">
        <v>5.7578820000000004</v>
      </c>
      <c r="C395">
        <v>2039.8664550000001</v>
      </c>
      <c r="D395">
        <v>89.077140999999997</v>
      </c>
      <c r="E395">
        <v>5.0086630000000003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1756</v>
      </c>
      <c r="L395">
        <v>69.237503000000004</v>
      </c>
      <c r="M395">
        <v>0</v>
      </c>
      <c r="N395">
        <v>1</v>
      </c>
      <c r="O395">
        <v>0</v>
      </c>
      <c r="Q395">
        <v>1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">
        <v>578</v>
      </c>
      <c r="AC395" t="s">
        <v>495</v>
      </c>
      <c r="AD395">
        <v>4</v>
      </c>
      <c r="AE395" s="31">
        <v>0.35971064814814818</v>
      </c>
      <c r="AF395">
        <v>2023</v>
      </c>
    </row>
    <row r="396" spans="1:32" hidden="1" x14ac:dyDescent="0.2">
      <c r="A396" t="s">
        <v>573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 t="s">
        <v>458</v>
      </c>
    </row>
    <row r="397" spans="1:32" hidden="1" x14ac:dyDescent="0.2">
      <c r="A397">
        <v>14</v>
      </c>
      <c r="B397" t="s">
        <v>569</v>
      </c>
      <c r="C397">
        <v>0</v>
      </c>
      <c r="D397">
        <v>259</v>
      </c>
      <c r="E397">
        <v>0</v>
      </c>
      <c r="F397">
        <v>1</v>
      </c>
      <c r="G397">
        <v>0</v>
      </c>
      <c r="H397">
        <v>1</v>
      </c>
      <c r="I397">
        <v>0</v>
      </c>
      <c r="J397">
        <v>0</v>
      </c>
      <c r="K397">
        <v>0</v>
      </c>
      <c r="L397">
        <v>0</v>
      </c>
      <c r="M397" t="s">
        <v>634</v>
      </c>
      <c r="N397">
        <v>0</v>
      </c>
      <c r="O397">
        <v>0</v>
      </c>
      <c r="Q397">
        <v>0</v>
      </c>
      <c r="R397">
        <v>0</v>
      </c>
      <c r="S397" t="s">
        <v>613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 t="s">
        <v>459</v>
      </c>
    </row>
    <row r="398" spans="1:32" hidden="1" x14ac:dyDescent="0.2">
      <c r="A398" t="s">
        <v>574</v>
      </c>
      <c r="B398" t="s">
        <v>603</v>
      </c>
      <c r="C398" t="s">
        <v>576</v>
      </c>
      <c r="D398" t="s">
        <v>577</v>
      </c>
      <c r="E398">
        <v>1.8377220000000001</v>
      </c>
    </row>
    <row r="399" spans="1:32" hidden="1" x14ac:dyDescent="0.2">
      <c r="A399">
        <v>9.3199170000000002</v>
      </c>
      <c r="B399">
        <v>5.7604369999999996</v>
      </c>
      <c r="C399">
        <v>2040.7717290000001</v>
      </c>
      <c r="D399">
        <v>89.116669000000002</v>
      </c>
      <c r="E399">
        <v>5.0086630000000003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1757</v>
      </c>
      <c r="L399">
        <v>69.349997999999999</v>
      </c>
      <c r="M399">
        <v>0</v>
      </c>
      <c r="N399">
        <v>1</v>
      </c>
      <c r="O399">
        <v>0</v>
      </c>
      <c r="Q399">
        <v>1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">
        <v>578</v>
      </c>
      <c r="AC399" t="s">
        <v>495</v>
      </c>
      <c r="AD399">
        <v>4</v>
      </c>
      <c r="AE399" s="31">
        <v>0.35972222222222222</v>
      </c>
      <c r="AF399">
        <v>2023</v>
      </c>
    </row>
    <row r="400" spans="1:32" hidden="1" x14ac:dyDescent="0.2">
      <c r="A400" t="s">
        <v>573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 t="s">
        <v>458</v>
      </c>
    </row>
    <row r="401" spans="1:32" hidden="1" x14ac:dyDescent="0.2">
      <c r="A401" t="s">
        <v>574</v>
      </c>
      <c r="B401" t="s">
        <v>603</v>
      </c>
      <c r="C401" t="s">
        <v>576</v>
      </c>
      <c r="D401" t="s">
        <v>577</v>
      </c>
      <c r="E401">
        <v>1.837415</v>
      </c>
    </row>
    <row r="402" spans="1:32" hidden="1" x14ac:dyDescent="0.2">
      <c r="A402">
        <v>9.3199170000000002</v>
      </c>
      <c r="B402">
        <v>5.7595090000000004</v>
      </c>
      <c r="C402">
        <v>2040.442871</v>
      </c>
      <c r="D402">
        <v>89.102310000000003</v>
      </c>
      <c r="E402">
        <v>5.0086630000000003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1757</v>
      </c>
      <c r="L402">
        <v>69.349997999999999</v>
      </c>
      <c r="M402">
        <v>0</v>
      </c>
      <c r="N402">
        <v>1</v>
      </c>
      <c r="O402">
        <v>0</v>
      </c>
      <c r="Q402">
        <v>1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">
        <v>578</v>
      </c>
      <c r="AC402" t="s">
        <v>495</v>
      </c>
      <c r="AD402">
        <v>4</v>
      </c>
      <c r="AE402" s="31">
        <v>0.35973379629629632</v>
      </c>
      <c r="AF402">
        <v>2023</v>
      </c>
    </row>
    <row r="403" spans="1:32" x14ac:dyDescent="0.2">
      <c r="A403">
        <v>14</v>
      </c>
      <c r="B403" t="s">
        <v>569</v>
      </c>
      <c r="C403">
        <v>1</v>
      </c>
      <c r="D403">
        <v>258</v>
      </c>
      <c r="E403">
        <v>0</v>
      </c>
      <c r="F403">
        <v>1</v>
      </c>
      <c r="G403">
        <v>0</v>
      </c>
      <c r="H403">
        <v>1</v>
      </c>
      <c r="I403">
        <v>0</v>
      </c>
      <c r="J403">
        <v>0</v>
      </c>
      <c r="K403">
        <v>0</v>
      </c>
      <c r="L403">
        <v>0</v>
      </c>
      <c r="M403" t="s">
        <v>635</v>
      </c>
      <c r="N403">
        <v>0</v>
      </c>
      <c r="O403">
        <v>0</v>
      </c>
      <c r="Q403">
        <v>0</v>
      </c>
      <c r="R403">
        <v>0</v>
      </c>
      <c r="S403" t="s">
        <v>613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 t="s">
        <v>459</v>
      </c>
    </row>
    <row r="404" spans="1:32" hidden="1" x14ac:dyDescent="0.2">
      <c r="A404" t="s">
        <v>573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 t="s">
        <v>458</v>
      </c>
    </row>
    <row r="405" spans="1:32" hidden="1" x14ac:dyDescent="0.2">
      <c r="A405">
        <v>14</v>
      </c>
      <c r="B405" t="s">
        <v>569</v>
      </c>
      <c r="C405">
        <v>0</v>
      </c>
      <c r="D405">
        <v>253</v>
      </c>
      <c r="E405">
        <v>0</v>
      </c>
      <c r="F405">
        <v>1</v>
      </c>
      <c r="G405">
        <v>0</v>
      </c>
      <c r="H405">
        <v>1</v>
      </c>
      <c r="I405">
        <v>0</v>
      </c>
      <c r="J405">
        <v>0</v>
      </c>
      <c r="K405">
        <v>0</v>
      </c>
      <c r="L405">
        <v>0</v>
      </c>
      <c r="M405" t="s">
        <v>636</v>
      </c>
      <c r="N405">
        <v>0</v>
      </c>
      <c r="O405">
        <v>0</v>
      </c>
      <c r="Q405">
        <v>0</v>
      </c>
      <c r="R405">
        <v>0</v>
      </c>
      <c r="S405" t="s">
        <v>572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 t="s">
        <v>459</v>
      </c>
    </row>
    <row r="406" spans="1:32" hidden="1" x14ac:dyDescent="0.2">
      <c r="A406" t="s">
        <v>574</v>
      </c>
      <c r="B406" t="s">
        <v>621</v>
      </c>
      <c r="C406" t="s">
        <v>576</v>
      </c>
      <c r="D406" t="s">
        <v>577</v>
      </c>
      <c r="E406">
        <v>1.836954</v>
      </c>
    </row>
    <row r="407" spans="1:32" hidden="1" x14ac:dyDescent="0.2">
      <c r="A407">
        <v>9.3199170000000002</v>
      </c>
      <c r="B407">
        <v>5.7581150000000001</v>
      </c>
      <c r="C407">
        <v>2039.9488530000001</v>
      </c>
      <c r="D407">
        <v>89.080734000000007</v>
      </c>
      <c r="E407">
        <v>5.0086630000000003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1759</v>
      </c>
      <c r="L407">
        <v>69.237503000000004</v>
      </c>
      <c r="M407">
        <v>0</v>
      </c>
      <c r="N407">
        <v>1</v>
      </c>
      <c r="O407">
        <v>0</v>
      </c>
      <c r="Q407">
        <v>1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">
        <v>578</v>
      </c>
      <c r="AC407" t="s">
        <v>495</v>
      </c>
      <c r="AD407">
        <v>4</v>
      </c>
      <c r="AE407" s="31">
        <v>0.35974537037037035</v>
      </c>
      <c r="AF407">
        <v>2023</v>
      </c>
    </row>
    <row r="408" spans="1:32" hidden="1" x14ac:dyDescent="0.2">
      <c r="A408" t="s">
        <v>573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 t="s">
        <v>458</v>
      </c>
    </row>
    <row r="409" spans="1:32" hidden="1" x14ac:dyDescent="0.2">
      <c r="A409" t="s">
        <v>574</v>
      </c>
      <c r="B409" t="s">
        <v>621</v>
      </c>
      <c r="C409" t="s">
        <v>576</v>
      </c>
      <c r="D409" t="s">
        <v>577</v>
      </c>
      <c r="E409">
        <v>1.8365689999999999</v>
      </c>
    </row>
    <row r="410" spans="1:32" hidden="1" x14ac:dyDescent="0.2">
      <c r="A410">
        <v>9.3199170000000002</v>
      </c>
      <c r="B410">
        <v>5.7569530000000002</v>
      </c>
      <c r="C410">
        <v>2039.5373540000001</v>
      </c>
      <c r="D410">
        <v>89.062766999999994</v>
      </c>
      <c r="E410">
        <v>5.0086630000000003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1759</v>
      </c>
      <c r="L410">
        <v>69.237503000000004</v>
      </c>
      <c r="M410">
        <v>0</v>
      </c>
      <c r="N410">
        <v>1</v>
      </c>
      <c r="O410">
        <v>0</v>
      </c>
      <c r="Q410">
        <v>1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">
        <v>578</v>
      </c>
      <c r="AC410" t="s">
        <v>495</v>
      </c>
      <c r="AD410">
        <v>4</v>
      </c>
      <c r="AE410" s="31">
        <v>0.35975694444444445</v>
      </c>
      <c r="AF410">
        <v>2023</v>
      </c>
    </row>
    <row r="411" spans="1:32" x14ac:dyDescent="0.2">
      <c r="A411">
        <v>14</v>
      </c>
      <c r="B411" t="s">
        <v>569</v>
      </c>
      <c r="C411">
        <v>1</v>
      </c>
      <c r="D411">
        <v>252</v>
      </c>
      <c r="E411">
        <v>0</v>
      </c>
      <c r="F411">
        <v>1</v>
      </c>
      <c r="G411">
        <v>0</v>
      </c>
      <c r="H411">
        <v>1</v>
      </c>
      <c r="I411">
        <v>0</v>
      </c>
      <c r="J411">
        <v>0</v>
      </c>
      <c r="K411">
        <v>0</v>
      </c>
      <c r="L411">
        <v>0</v>
      </c>
      <c r="M411" s="32">
        <v>6</v>
      </c>
      <c r="N411">
        <v>0</v>
      </c>
      <c r="O411">
        <v>0</v>
      </c>
      <c r="Q411">
        <v>0</v>
      </c>
      <c r="R411">
        <v>0</v>
      </c>
      <c r="S411" t="s">
        <v>572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 t="s">
        <v>459</v>
      </c>
    </row>
    <row r="412" spans="1:32" hidden="1" x14ac:dyDescent="0.2">
      <c r="A412" t="s">
        <v>573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 t="s">
        <v>458</v>
      </c>
    </row>
    <row r="413" spans="1:32" hidden="1" x14ac:dyDescent="0.2">
      <c r="A413" t="s">
        <v>574</v>
      </c>
      <c r="B413" t="s">
        <v>598</v>
      </c>
      <c r="C413" t="s">
        <v>576</v>
      </c>
      <c r="D413" t="s">
        <v>577</v>
      </c>
      <c r="E413">
        <v>1.8365689999999999</v>
      </c>
    </row>
    <row r="414" spans="1:32" hidden="1" x14ac:dyDescent="0.2">
      <c r="A414">
        <v>9.4150179999999999</v>
      </c>
      <c r="B414">
        <v>5.7569530000000002</v>
      </c>
      <c r="C414">
        <v>2039.5373540000001</v>
      </c>
      <c r="D414">
        <v>89.062766999999994</v>
      </c>
      <c r="E414">
        <v>5.3256670000000002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1760</v>
      </c>
      <c r="L414">
        <v>69.237503000000004</v>
      </c>
      <c r="M414">
        <v>0</v>
      </c>
      <c r="N414">
        <v>1</v>
      </c>
      <c r="O414">
        <v>0</v>
      </c>
      <c r="Q414">
        <v>1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">
        <v>578</v>
      </c>
      <c r="AC414" t="s">
        <v>495</v>
      </c>
      <c r="AD414">
        <v>4</v>
      </c>
      <c r="AE414" s="31">
        <v>0.35976851851851849</v>
      </c>
      <c r="AF414">
        <v>2023</v>
      </c>
    </row>
    <row r="415" spans="1:32" hidden="1" x14ac:dyDescent="0.2">
      <c r="A415">
        <v>14</v>
      </c>
      <c r="B415" t="s">
        <v>569</v>
      </c>
      <c r="C415">
        <v>0</v>
      </c>
      <c r="D415">
        <v>253</v>
      </c>
      <c r="E415">
        <v>0</v>
      </c>
      <c r="F415">
        <v>1</v>
      </c>
      <c r="G415">
        <v>0</v>
      </c>
      <c r="H415">
        <v>1</v>
      </c>
      <c r="I415">
        <v>0</v>
      </c>
      <c r="J415">
        <v>0</v>
      </c>
      <c r="K415">
        <v>0</v>
      </c>
      <c r="L415">
        <v>0</v>
      </c>
      <c r="M415" s="32">
        <v>60</v>
      </c>
      <c r="N415">
        <v>0</v>
      </c>
      <c r="O415">
        <v>0</v>
      </c>
      <c r="Q415">
        <v>0</v>
      </c>
      <c r="R415">
        <v>0</v>
      </c>
      <c r="S415" t="s">
        <v>572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 t="s">
        <v>459</v>
      </c>
    </row>
    <row r="416" spans="1:32" hidden="1" x14ac:dyDescent="0.2">
      <c r="A416" t="s">
        <v>573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 t="s">
        <v>458</v>
      </c>
    </row>
    <row r="417" spans="1:32" hidden="1" x14ac:dyDescent="0.2">
      <c r="A417" t="s">
        <v>574</v>
      </c>
      <c r="B417" t="s">
        <v>621</v>
      </c>
      <c r="C417" t="s">
        <v>576</v>
      </c>
      <c r="D417" t="s">
        <v>577</v>
      </c>
      <c r="E417">
        <v>1.836646</v>
      </c>
    </row>
    <row r="418" spans="1:32" hidden="1" x14ac:dyDescent="0.2">
      <c r="A418">
        <v>9.4150179999999999</v>
      </c>
      <c r="B418">
        <v>5.7571849999999998</v>
      </c>
      <c r="C418">
        <v>2039.6195070000001</v>
      </c>
      <c r="D418">
        <v>89.066353000000007</v>
      </c>
      <c r="E418">
        <v>5.3256670000000002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1761</v>
      </c>
      <c r="L418">
        <v>69.237503000000004</v>
      </c>
      <c r="M418">
        <v>0</v>
      </c>
      <c r="N418">
        <v>1</v>
      </c>
      <c r="O418">
        <v>0</v>
      </c>
      <c r="Q418">
        <v>1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">
        <v>578</v>
      </c>
      <c r="AC418" t="s">
        <v>495</v>
      </c>
      <c r="AD418">
        <v>4</v>
      </c>
      <c r="AE418" s="31">
        <v>0.35978009259259264</v>
      </c>
      <c r="AF418">
        <v>2023</v>
      </c>
    </row>
    <row r="419" spans="1:32" x14ac:dyDescent="0.2">
      <c r="A419">
        <v>13</v>
      </c>
      <c r="B419" t="s">
        <v>569</v>
      </c>
      <c r="C419">
        <v>1</v>
      </c>
      <c r="D419">
        <v>255</v>
      </c>
      <c r="E419">
        <v>0</v>
      </c>
      <c r="F419">
        <v>1</v>
      </c>
      <c r="G419">
        <v>0</v>
      </c>
      <c r="H419">
        <v>1</v>
      </c>
      <c r="I419">
        <v>0</v>
      </c>
      <c r="J419">
        <v>0</v>
      </c>
      <c r="K419">
        <v>0</v>
      </c>
      <c r="L419">
        <v>0</v>
      </c>
      <c r="M419" s="32">
        <v>600</v>
      </c>
      <c r="N419">
        <v>0</v>
      </c>
      <c r="O419">
        <v>0</v>
      </c>
      <c r="Q419">
        <v>0</v>
      </c>
      <c r="R419">
        <v>0</v>
      </c>
      <c r="S419" t="s">
        <v>613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 t="s">
        <v>459</v>
      </c>
    </row>
    <row r="420" spans="1:32" hidden="1" x14ac:dyDescent="0.2">
      <c r="A420" t="s">
        <v>573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 t="s">
        <v>458</v>
      </c>
    </row>
    <row r="421" spans="1:32" hidden="1" x14ac:dyDescent="0.2">
      <c r="A421" t="s">
        <v>574</v>
      </c>
      <c r="B421" t="s">
        <v>607</v>
      </c>
      <c r="C421" t="s">
        <v>576</v>
      </c>
      <c r="D421" t="s">
        <v>577</v>
      </c>
      <c r="E421">
        <v>1.8370299999999999</v>
      </c>
    </row>
    <row r="422" spans="1:32" hidden="1" x14ac:dyDescent="0.2">
      <c r="A422">
        <v>9.3199170000000002</v>
      </c>
      <c r="B422">
        <v>5.7583469999999997</v>
      </c>
      <c r="C422">
        <v>2040.0310059999999</v>
      </c>
      <c r="D422">
        <v>89.084320000000005</v>
      </c>
      <c r="E422">
        <v>5.6109710000000002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1762</v>
      </c>
      <c r="L422">
        <v>69.349997999999999</v>
      </c>
      <c r="M422">
        <v>0</v>
      </c>
      <c r="N422">
        <v>1</v>
      </c>
      <c r="O422">
        <v>0</v>
      </c>
      <c r="Q422">
        <v>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">
        <v>578</v>
      </c>
      <c r="AC422" t="s">
        <v>495</v>
      </c>
      <c r="AD422">
        <v>4</v>
      </c>
      <c r="AE422" s="31">
        <v>0.35979166666666668</v>
      </c>
      <c r="AF422">
        <v>2023</v>
      </c>
    </row>
    <row r="423" spans="1:32" hidden="1" x14ac:dyDescent="0.2">
      <c r="A423">
        <v>13</v>
      </c>
      <c r="B423" t="s">
        <v>569</v>
      </c>
      <c r="C423">
        <v>0</v>
      </c>
      <c r="D423">
        <v>258</v>
      </c>
      <c r="E423">
        <v>0</v>
      </c>
      <c r="F423">
        <v>1</v>
      </c>
      <c r="G423">
        <v>0</v>
      </c>
      <c r="H423">
        <v>1</v>
      </c>
      <c r="I423">
        <v>0</v>
      </c>
      <c r="J423">
        <v>0</v>
      </c>
      <c r="K423">
        <v>0</v>
      </c>
      <c r="L423">
        <v>0</v>
      </c>
      <c r="M423" s="32">
        <v>6000</v>
      </c>
      <c r="N423">
        <v>0</v>
      </c>
      <c r="O423">
        <v>0</v>
      </c>
      <c r="Q423">
        <v>0</v>
      </c>
      <c r="R423">
        <v>0</v>
      </c>
      <c r="S423" t="s">
        <v>572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 t="s">
        <v>459</v>
      </c>
    </row>
    <row r="424" spans="1:32" hidden="1" x14ac:dyDescent="0.2">
      <c r="A424" t="s">
        <v>573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 t="s">
        <v>458</v>
      </c>
    </row>
    <row r="425" spans="1:32" hidden="1" x14ac:dyDescent="0.2">
      <c r="A425" t="s">
        <v>574</v>
      </c>
      <c r="B425" t="s">
        <v>624</v>
      </c>
      <c r="C425" t="s">
        <v>576</v>
      </c>
      <c r="D425" t="s">
        <v>577</v>
      </c>
      <c r="E425">
        <v>1.8369530000000001</v>
      </c>
    </row>
    <row r="426" spans="1:32" hidden="1" x14ac:dyDescent="0.2">
      <c r="A426">
        <v>9.3199170000000002</v>
      </c>
      <c r="B426">
        <v>5.758114</v>
      </c>
      <c r="C426">
        <v>2039.9488530000001</v>
      </c>
      <c r="D426">
        <v>89.080734000000007</v>
      </c>
      <c r="E426">
        <v>5.6109710000000002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1763</v>
      </c>
      <c r="L426">
        <v>69.237503000000004</v>
      </c>
      <c r="M426">
        <v>0</v>
      </c>
      <c r="N426">
        <v>1</v>
      </c>
      <c r="O426">
        <v>0</v>
      </c>
      <c r="Q426">
        <v>1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">
        <v>578</v>
      </c>
      <c r="AC426" t="s">
        <v>495</v>
      </c>
      <c r="AD426">
        <v>4</v>
      </c>
      <c r="AE426" s="31">
        <v>0.35980324074074077</v>
      </c>
      <c r="AF426">
        <v>2023</v>
      </c>
    </row>
    <row r="427" spans="1:32" x14ac:dyDescent="0.2">
      <c r="A427">
        <v>14</v>
      </c>
      <c r="B427" t="s">
        <v>569</v>
      </c>
      <c r="C427">
        <v>1</v>
      </c>
      <c r="D427" t="s">
        <v>637</v>
      </c>
      <c r="E427">
        <v>0</v>
      </c>
      <c r="F427">
        <v>1</v>
      </c>
      <c r="G427">
        <v>0</v>
      </c>
      <c r="H427">
        <v>1</v>
      </c>
      <c r="I427">
        <v>0</v>
      </c>
      <c r="J427">
        <v>0</v>
      </c>
      <c r="K427">
        <v>0</v>
      </c>
      <c r="L427">
        <v>0</v>
      </c>
      <c r="M427" s="32">
        <v>60000</v>
      </c>
      <c r="N427">
        <v>0</v>
      </c>
      <c r="O427">
        <v>0</v>
      </c>
      <c r="Q427">
        <v>0</v>
      </c>
      <c r="R427">
        <v>0</v>
      </c>
      <c r="S427" t="s">
        <v>572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 t="s">
        <v>459</v>
      </c>
    </row>
    <row r="428" spans="1:32" hidden="1" x14ac:dyDescent="0.2">
      <c r="A428" t="s">
        <v>573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 t="s">
        <v>458</v>
      </c>
    </row>
    <row r="429" spans="1:32" hidden="1" x14ac:dyDescent="0.2">
      <c r="A429" t="s">
        <v>574</v>
      </c>
      <c r="B429" t="s">
        <v>638</v>
      </c>
      <c r="C429" t="s">
        <v>576</v>
      </c>
      <c r="D429" t="s">
        <v>577</v>
      </c>
      <c r="E429">
        <v>1.837337</v>
      </c>
    </row>
    <row r="430" spans="1:32" hidden="1" x14ac:dyDescent="0.2">
      <c r="A430">
        <v>9.3199170000000002</v>
      </c>
      <c r="B430">
        <v>5.7592749999999997</v>
      </c>
      <c r="C430">
        <v>2040.360107</v>
      </c>
      <c r="D430">
        <v>89.098693999999995</v>
      </c>
      <c r="E430">
        <v>5.927975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1764</v>
      </c>
      <c r="L430">
        <v>69.237503000000004</v>
      </c>
      <c r="M430">
        <v>0</v>
      </c>
      <c r="N430">
        <v>1</v>
      </c>
      <c r="O430">
        <v>0</v>
      </c>
      <c r="Q430">
        <v>1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">
        <v>578</v>
      </c>
      <c r="AC430" t="s">
        <v>495</v>
      </c>
      <c r="AD430">
        <v>4</v>
      </c>
      <c r="AE430" s="31">
        <v>0.35981481481481481</v>
      </c>
      <c r="AF430">
        <v>2023</v>
      </c>
    </row>
    <row r="431" spans="1:32" hidden="1" x14ac:dyDescent="0.2">
      <c r="A431">
        <v>14</v>
      </c>
      <c r="B431" t="s">
        <v>569</v>
      </c>
      <c r="C431">
        <v>0</v>
      </c>
      <c r="D431" t="s">
        <v>590</v>
      </c>
      <c r="E431">
        <v>0</v>
      </c>
      <c r="F431">
        <v>1</v>
      </c>
      <c r="G431">
        <v>0</v>
      </c>
      <c r="H431">
        <v>1</v>
      </c>
      <c r="I431">
        <v>0</v>
      </c>
      <c r="J431">
        <v>0</v>
      </c>
      <c r="K431">
        <v>0</v>
      </c>
      <c r="L431">
        <v>0</v>
      </c>
      <c r="M431" s="32">
        <v>600000</v>
      </c>
      <c r="N431">
        <v>0</v>
      </c>
      <c r="O431">
        <v>0</v>
      </c>
      <c r="Q431">
        <v>0</v>
      </c>
      <c r="R431">
        <v>0</v>
      </c>
      <c r="S431" t="s">
        <v>613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 t="s">
        <v>459</v>
      </c>
    </row>
    <row r="432" spans="1:32" hidden="1" x14ac:dyDescent="0.2">
      <c r="A432" t="s">
        <v>573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 t="s">
        <v>458</v>
      </c>
    </row>
    <row r="433" spans="1:32" hidden="1" x14ac:dyDescent="0.2">
      <c r="A433" t="s">
        <v>574</v>
      </c>
      <c r="B433" t="s">
        <v>592</v>
      </c>
      <c r="C433" t="s">
        <v>576</v>
      </c>
      <c r="D433" t="s">
        <v>577</v>
      </c>
      <c r="E433">
        <v>1.8372599999999999</v>
      </c>
    </row>
    <row r="434" spans="1:32" hidden="1" x14ac:dyDescent="0.2">
      <c r="A434">
        <v>9.3199170000000002</v>
      </c>
      <c r="B434">
        <v>5.7590430000000001</v>
      </c>
      <c r="C434">
        <v>2040.2777100000001</v>
      </c>
      <c r="D434">
        <v>89.095093000000006</v>
      </c>
      <c r="E434">
        <v>5.927975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1765</v>
      </c>
      <c r="L434">
        <v>69.349997999999999</v>
      </c>
      <c r="M434">
        <v>0</v>
      </c>
      <c r="N434">
        <v>1</v>
      </c>
      <c r="O434">
        <v>0</v>
      </c>
      <c r="Q434">
        <v>1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">
        <v>578</v>
      </c>
      <c r="AC434" t="s">
        <v>495</v>
      </c>
      <c r="AD434">
        <v>4</v>
      </c>
      <c r="AE434" s="31">
        <v>0.3598263888888889</v>
      </c>
      <c r="AF434">
        <v>2023</v>
      </c>
    </row>
    <row r="435" spans="1:32" x14ac:dyDescent="0.2">
      <c r="A435">
        <v>13</v>
      </c>
      <c r="B435" t="s">
        <v>569</v>
      </c>
      <c r="C435">
        <v>1</v>
      </c>
      <c r="D435">
        <v>259</v>
      </c>
      <c r="E435">
        <v>0</v>
      </c>
      <c r="F435">
        <v>1</v>
      </c>
      <c r="G435">
        <v>0</v>
      </c>
      <c r="H435">
        <v>1</v>
      </c>
      <c r="I435">
        <v>0</v>
      </c>
      <c r="J435">
        <v>0</v>
      </c>
      <c r="K435">
        <v>0</v>
      </c>
      <c r="L435">
        <v>0</v>
      </c>
      <c r="M435" s="32">
        <v>6000000</v>
      </c>
      <c r="N435">
        <v>0</v>
      </c>
      <c r="O435">
        <v>0</v>
      </c>
      <c r="Q435">
        <v>0</v>
      </c>
      <c r="R435">
        <v>0</v>
      </c>
      <c r="S435" t="s">
        <v>572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 t="s">
        <v>459</v>
      </c>
    </row>
    <row r="436" spans="1:32" hidden="1" x14ac:dyDescent="0.2">
      <c r="A436" t="s">
        <v>573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 t="s">
        <v>458</v>
      </c>
    </row>
    <row r="437" spans="1:32" hidden="1" x14ac:dyDescent="0.2">
      <c r="A437" t="s">
        <v>574</v>
      </c>
      <c r="B437" t="s">
        <v>603</v>
      </c>
      <c r="C437" t="s">
        <v>576</v>
      </c>
      <c r="D437" t="s">
        <v>577</v>
      </c>
      <c r="E437">
        <v>1.8378749999999999</v>
      </c>
    </row>
    <row r="438" spans="1:32" hidden="1" x14ac:dyDescent="0.2">
      <c r="A438">
        <v>9.2248149999999995</v>
      </c>
      <c r="B438">
        <v>5.7609009999999996</v>
      </c>
      <c r="C438">
        <v>2040.9360349999999</v>
      </c>
      <c r="D438">
        <v>89.123847999999995</v>
      </c>
      <c r="E438">
        <v>6.213279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1766</v>
      </c>
      <c r="L438">
        <v>69.237503000000004</v>
      </c>
      <c r="M438">
        <v>0</v>
      </c>
      <c r="N438">
        <v>1</v>
      </c>
      <c r="O438">
        <v>0</v>
      </c>
      <c r="Q438">
        <v>1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">
        <v>578</v>
      </c>
      <c r="AC438" t="s">
        <v>495</v>
      </c>
      <c r="AD438">
        <v>4</v>
      </c>
      <c r="AE438" s="31">
        <v>0.35983796296296294</v>
      </c>
      <c r="AF438">
        <v>2023</v>
      </c>
    </row>
    <row r="439" spans="1:32" hidden="1" x14ac:dyDescent="0.2">
      <c r="A439">
        <v>13</v>
      </c>
      <c r="B439" t="s">
        <v>569</v>
      </c>
      <c r="C439">
        <v>0</v>
      </c>
      <c r="D439">
        <v>255</v>
      </c>
      <c r="E439">
        <v>0</v>
      </c>
      <c r="F439">
        <v>1</v>
      </c>
      <c r="G439">
        <v>0</v>
      </c>
      <c r="H439">
        <v>1</v>
      </c>
      <c r="I439">
        <v>0</v>
      </c>
      <c r="J439">
        <v>0</v>
      </c>
      <c r="K439">
        <v>0</v>
      </c>
      <c r="L439">
        <v>0</v>
      </c>
      <c r="M439" s="32">
        <v>60000000</v>
      </c>
      <c r="N439">
        <v>0</v>
      </c>
      <c r="O439">
        <v>0</v>
      </c>
      <c r="Q439">
        <v>0</v>
      </c>
      <c r="R439">
        <v>0</v>
      </c>
      <c r="S439" t="s">
        <v>572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 t="s">
        <v>459</v>
      </c>
    </row>
    <row r="440" spans="1:32" hidden="1" x14ac:dyDescent="0.2">
      <c r="A440" t="s">
        <v>573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 t="s">
        <v>458</v>
      </c>
    </row>
    <row r="441" spans="1:32" hidden="1" x14ac:dyDescent="0.2">
      <c r="A441" t="s">
        <v>574</v>
      </c>
      <c r="B441" t="s">
        <v>607</v>
      </c>
      <c r="C441" t="s">
        <v>576</v>
      </c>
      <c r="D441" t="s">
        <v>577</v>
      </c>
      <c r="E441">
        <v>1.838336</v>
      </c>
    </row>
    <row r="442" spans="1:32" hidden="1" x14ac:dyDescent="0.2">
      <c r="A442">
        <v>9.2248149999999995</v>
      </c>
      <c r="B442">
        <v>5.7622949999999999</v>
      </c>
      <c r="C442">
        <v>2041.4296879999999</v>
      </c>
      <c r="D442">
        <v>89.145401000000007</v>
      </c>
      <c r="E442">
        <v>6.213279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1767</v>
      </c>
      <c r="L442">
        <v>69.237503000000004</v>
      </c>
      <c r="M442">
        <v>0</v>
      </c>
      <c r="N442">
        <v>1</v>
      </c>
      <c r="O442">
        <v>0</v>
      </c>
      <c r="Q442">
        <v>1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">
        <v>578</v>
      </c>
      <c r="AC442" t="s">
        <v>495</v>
      </c>
      <c r="AD442">
        <v>4</v>
      </c>
      <c r="AE442" s="31">
        <v>0.35984953703703698</v>
      </c>
      <c r="AF442">
        <v>2023</v>
      </c>
    </row>
    <row r="443" spans="1:32" x14ac:dyDescent="0.2">
      <c r="A443">
        <v>14</v>
      </c>
      <c r="B443" t="s">
        <v>569</v>
      </c>
      <c r="C443">
        <v>1</v>
      </c>
      <c r="D443">
        <v>251</v>
      </c>
      <c r="E443">
        <v>0</v>
      </c>
      <c r="F443">
        <v>1</v>
      </c>
      <c r="G443">
        <v>0</v>
      </c>
      <c r="H443">
        <v>1</v>
      </c>
      <c r="I443">
        <v>0</v>
      </c>
      <c r="J443">
        <v>0</v>
      </c>
      <c r="K443">
        <v>0</v>
      </c>
      <c r="L443">
        <v>0</v>
      </c>
      <c r="M443" s="32">
        <v>600000000</v>
      </c>
      <c r="N443">
        <v>0</v>
      </c>
      <c r="O443">
        <v>0</v>
      </c>
      <c r="Q443">
        <v>0</v>
      </c>
      <c r="R443">
        <v>0</v>
      </c>
      <c r="S443" t="s">
        <v>572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 t="s">
        <v>459</v>
      </c>
    </row>
    <row r="444" spans="1:32" hidden="1" x14ac:dyDescent="0.2">
      <c r="A444" t="s">
        <v>573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 t="s">
        <v>458</v>
      </c>
    </row>
    <row r="445" spans="1:32" hidden="1" x14ac:dyDescent="0.2">
      <c r="A445" t="s">
        <v>574</v>
      </c>
      <c r="B445" t="s">
        <v>580</v>
      </c>
      <c r="C445" t="s">
        <v>576</v>
      </c>
      <c r="D445" t="s">
        <v>577</v>
      </c>
      <c r="E445">
        <v>1.8384130000000001</v>
      </c>
    </row>
    <row r="446" spans="1:32" hidden="1" x14ac:dyDescent="0.2">
      <c r="A446">
        <v>9.2248149999999995</v>
      </c>
      <c r="B446">
        <v>5.7625270000000004</v>
      </c>
      <c r="C446">
        <v>2041.5120850000001</v>
      </c>
      <c r="D446">
        <v>89.149001999999996</v>
      </c>
      <c r="E446">
        <v>6.5302829999999998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1768</v>
      </c>
      <c r="L446">
        <v>69.237503000000004</v>
      </c>
      <c r="M446">
        <v>0</v>
      </c>
      <c r="N446">
        <v>1</v>
      </c>
      <c r="O446">
        <v>0</v>
      </c>
      <c r="Q446">
        <v>1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">
        <v>578</v>
      </c>
      <c r="AC446" t="s">
        <v>495</v>
      </c>
      <c r="AD446">
        <v>4</v>
      </c>
      <c r="AE446" s="31">
        <v>0.35986111111111113</v>
      </c>
      <c r="AF446">
        <v>2023</v>
      </c>
    </row>
    <row r="447" spans="1:32" hidden="1" x14ac:dyDescent="0.2">
      <c r="A447">
        <v>14</v>
      </c>
      <c r="B447" t="s">
        <v>569</v>
      </c>
      <c r="C447">
        <v>0</v>
      </c>
      <c r="D447">
        <v>252</v>
      </c>
      <c r="E447">
        <v>0</v>
      </c>
      <c r="F447">
        <v>1</v>
      </c>
      <c r="G447">
        <v>0</v>
      </c>
      <c r="H447">
        <v>1</v>
      </c>
      <c r="I447">
        <v>0</v>
      </c>
      <c r="J447">
        <v>0</v>
      </c>
      <c r="K447">
        <v>0</v>
      </c>
      <c r="L447">
        <v>0</v>
      </c>
      <c r="M447" s="32">
        <v>6000000000</v>
      </c>
      <c r="N447">
        <v>0</v>
      </c>
      <c r="O447">
        <v>0</v>
      </c>
      <c r="Q447">
        <v>0</v>
      </c>
      <c r="R447">
        <v>0</v>
      </c>
      <c r="S447" t="s">
        <v>572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 t="s">
        <v>459</v>
      </c>
    </row>
    <row r="448" spans="1:32" hidden="1" x14ac:dyDescent="0.2">
      <c r="A448" t="s">
        <v>573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 t="s">
        <v>458</v>
      </c>
    </row>
    <row r="449" spans="1:32" hidden="1" x14ac:dyDescent="0.2">
      <c r="A449" t="s">
        <v>574</v>
      </c>
      <c r="B449" t="s">
        <v>598</v>
      </c>
      <c r="C449" t="s">
        <v>576</v>
      </c>
      <c r="D449" t="s">
        <v>577</v>
      </c>
      <c r="E449">
        <v>1.838106</v>
      </c>
    </row>
    <row r="450" spans="1:32" hidden="1" x14ac:dyDescent="0.2">
      <c r="A450">
        <v>9.2248149999999995</v>
      </c>
      <c r="B450">
        <v>5.7615990000000004</v>
      </c>
      <c r="C450">
        <v>2041.1832280000001</v>
      </c>
      <c r="D450">
        <v>89.134636</v>
      </c>
      <c r="E450">
        <v>6.5302829999999998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1769</v>
      </c>
      <c r="L450">
        <v>69.237503000000004</v>
      </c>
      <c r="M450">
        <v>0</v>
      </c>
      <c r="N450">
        <v>1</v>
      </c>
      <c r="O450">
        <v>0</v>
      </c>
      <c r="Q450">
        <v>1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">
        <v>578</v>
      </c>
      <c r="AC450" t="s">
        <v>495</v>
      </c>
      <c r="AD450">
        <v>4</v>
      </c>
      <c r="AE450" s="31">
        <v>0.35987268518518517</v>
      </c>
      <c r="AF450">
        <v>2023</v>
      </c>
    </row>
    <row r="451" spans="1:32" x14ac:dyDescent="0.2">
      <c r="A451">
        <v>14</v>
      </c>
      <c r="B451" t="s">
        <v>639</v>
      </c>
      <c r="C451">
        <v>1</v>
      </c>
      <c r="D451" t="s">
        <v>590</v>
      </c>
      <c r="E451">
        <v>0</v>
      </c>
      <c r="F451">
        <v>1</v>
      </c>
      <c r="G451">
        <v>0</v>
      </c>
      <c r="H451">
        <v>1</v>
      </c>
      <c r="I451">
        <v>0</v>
      </c>
      <c r="J451">
        <v>0</v>
      </c>
      <c r="K451">
        <v>0</v>
      </c>
      <c r="L451">
        <v>0</v>
      </c>
      <c r="M451" t="s">
        <v>640</v>
      </c>
      <c r="N451">
        <v>0</v>
      </c>
      <c r="O451">
        <v>0</v>
      </c>
      <c r="Q451">
        <v>0</v>
      </c>
      <c r="R451">
        <v>0</v>
      </c>
      <c r="S451" t="s">
        <v>572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 t="s">
        <v>459</v>
      </c>
    </row>
    <row r="452" spans="1:32" hidden="1" x14ac:dyDescent="0.2">
      <c r="A452" t="s">
        <v>573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 t="s">
        <v>458</v>
      </c>
    </row>
    <row r="453" spans="1:32" hidden="1" x14ac:dyDescent="0.2">
      <c r="A453" t="s">
        <v>574</v>
      </c>
      <c r="B453" t="s">
        <v>592</v>
      </c>
      <c r="C453" t="s">
        <v>576</v>
      </c>
      <c r="D453" t="s">
        <v>577</v>
      </c>
      <c r="E453">
        <v>1.8380289999999999</v>
      </c>
    </row>
    <row r="454" spans="1:32" hidden="1" x14ac:dyDescent="0.2">
      <c r="A454">
        <v>9.2248149999999995</v>
      </c>
      <c r="B454">
        <v>5.7613659999999998</v>
      </c>
      <c r="C454">
        <v>2041.1008300000001</v>
      </c>
      <c r="D454">
        <v>89.131041999999994</v>
      </c>
      <c r="E454">
        <v>6.8472869999999997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1770</v>
      </c>
      <c r="L454">
        <v>69.237503000000004</v>
      </c>
      <c r="M454">
        <v>0</v>
      </c>
      <c r="N454">
        <v>1</v>
      </c>
      <c r="O454">
        <v>0</v>
      </c>
      <c r="Q454">
        <v>1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">
        <v>578</v>
      </c>
      <c r="AC454" t="s">
        <v>495</v>
      </c>
      <c r="AD454">
        <v>4</v>
      </c>
      <c r="AE454" s="31">
        <v>0.35988425925925926</v>
      </c>
      <c r="AF454">
        <v>2023</v>
      </c>
    </row>
    <row r="455" spans="1:32" hidden="1" x14ac:dyDescent="0.2">
      <c r="A455">
        <v>14</v>
      </c>
      <c r="B455" t="s">
        <v>639</v>
      </c>
      <c r="C455">
        <v>0</v>
      </c>
      <c r="D455" t="s">
        <v>641</v>
      </c>
      <c r="E455">
        <v>0</v>
      </c>
      <c r="F455">
        <v>1</v>
      </c>
      <c r="G455">
        <v>0</v>
      </c>
      <c r="H455">
        <v>1</v>
      </c>
      <c r="I455">
        <v>0</v>
      </c>
      <c r="J455">
        <v>0</v>
      </c>
      <c r="K455">
        <v>0</v>
      </c>
      <c r="L455">
        <v>0</v>
      </c>
      <c r="M455" t="s">
        <v>642</v>
      </c>
      <c r="N455">
        <v>0</v>
      </c>
      <c r="O455">
        <v>0</v>
      </c>
      <c r="Q455">
        <v>0</v>
      </c>
      <c r="R455">
        <v>0</v>
      </c>
      <c r="S455" t="s">
        <v>572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 t="s">
        <v>459</v>
      </c>
    </row>
    <row r="456" spans="1:32" hidden="1" x14ac:dyDescent="0.2">
      <c r="A456" t="s">
        <v>573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 t="s">
        <v>458</v>
      </c>
    </row>
    <row r="457" spans="1:32" hidden="1" x14ac:dyDescent="0.2">
      <c r="A457" t="s">
        <v>574</v>
      </c>
      <c r="B457" t="s">
        <v>643</v>
      </c>
      <c r="C457" t="s">
        <v>576</v>
      </c>
      <c r="D457" t="s">
        <v>577</v>
      </c>
      <c r="E457">
        <v>1.838336</v>
      </c>
    </row>
    <row r="458" spans="1:32" hidden="1" x14ac:dyDescent="0.2">
      <c r="A458">
        <v>9.2248149999999995</v>
      </c>
      <c r="B458">
        <v>5.7622960000000001</v>
      </c>
      <c r="C458">
        <v>2041.4301760000001</v>
      </c>
      <c r="D458">
        <v>89.145424000000006</v>
      </c>
      <c r="E458">
        <v>6.8472869999999997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1771</v>
      </c>
      <c r="L458">
        <v>69.237503000000004</v>
      </c>
      <c r="M458">
        <v>0</v>
      </c>
      <c r="N458">
        <v>1</v>
      </c>
      <c r="O458">
        <v>0</v>
      </c>
      <c r="Q458">
        <v>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">
        <v>578</v>
      </c>
      <c r="AC458" t="s">
        <v>495</v>
      </c>
      <c r="AD458">
        <v>4</v>
      </c>
      <c r="AE458" s="31">
        <v>0.3598958333333333</v>
      </c>
      <c r="AF458">
        <v>2023</v>
      </c>
    </row>
    <row r="459" spans="1:32" x14ac:dyDescent="0.2">
      <c r="A459">
        <v>14</v>
      </c>
      <c r="B459" t="s">
        <v>619</v>
      </c>
      <c r="C459">
        <v>1</v>
      </c>
      <c r="D459">
        <v>256</v>
      </c>
      <c r="E459">
        <v>0</v>
      </c>
      <c r="F459">
        <v>1</v>
      </c>
      <c r="G459">
        <v>0</v>
      </c>
      <c r="H459">
        <v>1</v>
      </c>
      <c r="I459">
        <v>0</v>
      </c>
      <c r="J459">
        <v>0</v>
      </c>
      <c r="K459">
        <v>0</v>
      </c>
      <c r="L459">
        <v>0</v>
      </c>
      <c r="M459" t="s">
        <v>644</v>
      </c>
      <c r="N459">
        <v>0</v>
      </c>
      <c r="O459">
        <v>0</v>
      </c>
      <c r="Q459">
        <v>0</v>
      </c>
      <c r="R459">
        <v>0</v>
      </c>
      <c r="S459" t="s">
        <v>572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 t="s">
        <v>459</v>
      </c>
    </row>
    <row r="460" spans="1:32" hidden="1" x14ac:dyDescent="0.2">
      <c r="A460" t="s">
        <v>573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 t="s">
        <v>458</v>
      </c>
    </row>
    <row r="461" spans="1:32" hidden="1" x14ac:dyDescent="0.2">
      <c r="A461" t="s">
        <v>574</v>
      </c>
      <c r="B461" t="s">
        <v>587</v>
      </c>
      <c r="C461" t="s">
        <v>576</v>
      </c>
      <c r="D461" t="s">
        <v>577</v>
      </c>
      <c r="E461">
        <v>1.8380289999999999</v>
      </c>
    </row>
    <row r="462" spans="1:32" hidden="1" x14ac:dyDescent="0.2">
      <c r="A462">
        <v>9.2248149999999995</v>
      </c>
      <c r="B462">
        <v>5.7613659999999998</v>
      </c>
      <c r="C462">
        <v>2041.1008300000001</v>
      </c>
      <c r="D462">
        <v>89.131041999999994</v>
      </c>
      <c r="E462">
        <v>7.1642910000000004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1772</v>
      </c>
      <c r="L462">
        <v>69.237503000000004</v>
      </c>
      <c r="M462">
        <v>0</v>
      </c>
      <c r="N462">
        <v>1</v>
      </c>
      <c r="O462">
        <v>0</v>
      </c>
      <c r="Q462">
        <v>1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">
        <v>578</v>
      </c>
      <c r="AC462" t="s">
        <v>495</v>
      </c>
      <c r="AD462">
        <v>4</v>
      </c>
      <c r="AE462" s="31">
        <v>0.3599074074074074</v>
      </c>
      <c r="AF462">
        <v>2023</v>
      </c>
    </row>
    <row r="463" spans="1:32" hidden="1" x14ac:dyDescent="0.2">
      <c r="A463">
        <v>14</v>
      </c>
      <c r="B463" t="s">
        <v>619</v>
      </c>
      <c r="C463">
        <v>0</v>
      </c>
      <c r="D463" t="s">
        <v>590</v>
      </c>
      <c r="E463">
        <v>0</v>
      </c>
      <c r="F463">
        <v>1</v>
      </c>
      <c r="G463">
        <v>0</v>
      </c>
      <c r="H463">
        <v>1</v>
      </c>
      <c r="I463">
        <v>0</v>
      </c>
      <c r="J463">
        <v>0</v>
      </c>
      <c r="K463">
        <v>0</v>
      </c>
      <c r="L463">
        <v>0</v>
      </c>
      <c r="M463" t="s">
        <v>645</v>
      </c>
      <c r="N463">
        <v>0</v>
      </c>
      <c r="O463">
        <v>0</v>
      </c>
      <c r="Q463">
        <v>0</v>
      </c>
      <c r="R463">
        <v>0</v>
      </c>
      <c r="S463" t="s">
        <v>572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 t="s">
        <v>459</v>
      </c>
    </row>
    <row r="464" spans="1:32" hidden="1" x14ac:dyDescent="0.2">
      <c r="A464" t="s">
        <v>573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 t="s">
        <v>458</v>
      </c>
    </row>
    <row r="465" spans="1:32" hidden="1" x14ac:dyDescent="0.2">
      <c r="A465" t="s">
        <v>574</v>
      </c>
      <c r="B465" t="s">
        <v>592</v>
      </c>
      <c r="C465" t="s">
        <v>576</v>
      </c>
      <c r="D465" t="s">
        <v>577</v>
      </c>
      <c r="E465">
        <v>1.838797</v>
      </c>
    </row>
    <row r="466" spans="1:32" hidden="1" x14ac:dyDescent="0.2">
      <c r="A466">
        <v>9.2248149999999995</v>
      </c>
      <c r="B466">
        <v>5.7636900000000004</v>
      </c>
      <c r="C466">
        <v>2041.923828</v>
      </c>
      <c r="D466">
        <v>89.166977000000003</v>
      </c>
      <c r="E466">
        <v>7.1642910000000004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1773</v>
      </c>
      <c r="L466">
        <v>69.237503000000004</v>
      </c>
      <c r="M466">
        <v>0</v>
      </c>
      <c r="N466">
        <v>1</v>
      </c>
      <c r="O466">
        <v>0</v>
      </c>
      <c r="Q466">
        <v>1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">
        <v>578</v>
      </c>
      <c r="AC466" t="s">
        <v>495</v>
      </c>
      <c r="AD466">
        <v>4</v>
      </c>
      <c r="AE466" s="31">
        <v>0.35991898148148144</v>
      </c>
      <c r="AF466">
        <v>2023</v>
      </c>
    </row>
    <row r="467" spans="1:32" x14ac:dyDescent="0.2">
      <c r="A467">
        <v>14</v>
      </c>
      <c r="B467" t="s">
        <v>569</v>
      </c>
      <c r="C467">
        <v>1</v>
      </c>
      <c r="D467">
        <v>254</v>
      </c>
      <c r="E467">
        <v>0</v>
      </c>
      <c r="F467">
        <v>1</v>
      </c>
      <c r="G467">
        <v>0</v>
      </c>
      <c r="H467">
        <v>1</v>
      </c>
      <c r="I467">
        <v>0</v>
      </c>
      <c r="J467">
        <v>0</v>
      </c>
      <c r="K467">
        <v>0</v>
      </c>
      <c r="L467">
        <v>0</v>
      </c>
      <c r="M467" t="s">
        <v>646</v>
      </c>
      <c r="N467">
        <v>0</v>
      </c>
      <c r="O467">
        <v>0</v>
      </c>
      <c r="Q467">
        <v>0</v>
      </c>
      <c r="R467">
        <v>0</v>
      </c>
      <c r="S467" t="s">
        <v>572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 t="s">
        <v>459</v>
      </c>
    </row>
    <row r="468" spans="1:32" hidden="1" x14ac:dyDescent="0.2">
      <c r="A468" t="s">
        <v>573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 t="s">
        <v>458</v>
      </c>
    </row>
    <row r="469" spans="1:32" hidden="1" x14ac:dyDescent="0.2">
      <c r="A469" t="s">
        <v>574</v>
      </c>
      <c r="B469" t="s">
        <v>631</v>
      </c>
      <c r="C469" t="s">
        <v>576</v>
      </c>
      <c r="D469" t="s">
        <v>577</v>
      </c>
      <c r="E469">
        <v>1.8389500000000001</v>
      </c>
    </row>
    <row r="470" spans="1:32" hidden="1" x14ac:dyDescent="0.2">
      <c r="A470">
        <v>9.3199170000000002</v>
      </c>
      <c r="B470">
        <v>5.7641540000000004</v>
      </c>
      <c r="C470">
        <v>2042.088379</v>
      </c>
      <c r="D470">
        <v>89.174164000000005</v>
      </c>
      <c r="E470">
        <v>7.4812960000000004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1774</v>
      </c>
      <c r="L470">
        <v>69.237503000000004</v>
      </c>
      <c r="M470">
        <v>0</v>
      </c>
      <c r="N470">
        <v>1</v>
      </c>
      <c r="O470">
        <v>0</v>
      </c>
      <c r="Q470">
        <v>1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">
        <v>578</v>
      </c>
      <c r="AC470" t="s">
        <v>495</v>
      </c>
      <c r="AD470">
        <v>4</v>
      </c>
      <c r="AE470" s="31">
        <v>0.35993055555555559</v>
      </c>
      <c r="AF470">
        <v>2023</v>
      </c>
    </row>
    <row r="471" spans="1:32" hidden="1" x14ac:dyDescent="0.2">
      <c r="A471">
        <v>14</v>
      </c>
      <c r="B471" t="s">
        <v>569</v>
      </c>
      <c r="C471">
        <v>0</v>
      </c>
      <c r="D471">
        <v>253</v>
      </c>
      <c r="E471">
        <v>0</v>
      </c>
      <c r="F471">
        <v>1</v>
      </c>
      <c r="G471">
        <v>0</v>
      </c>
      <c r="H471">
        <v>1</v>
      </c>
      <c r="I471">
        <v>0</v>
      </c>
      <c r="J471">
        <v>0</v>
      </c>
      <c r="K471">
        <v>0</v>
      </c>
      <c r="L471">
        <v>0</v>
      </c>
      <c r="M471" t="s">
        <v>647</v>
      </c>
      <c r="N471">
        <v>0</v>
      </c>
      <c r="O471">
        <v>0</v>
      </c>
      <c r="Q471">
        <v>0</v>
      </c>
      <c r="R471">
        <v>0</v>
      </c>
      <c r="S471" t="s">
        <v>613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 t="s">
        <v>459</v>
      </c>
    </row>
    <row r="472" spans="1:32" hidden="1" x14ac:dyDescent="0.2">
      <c r="A472" t="s">
        <v>573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 t="s">
        <v>458</v>
      </c>
    </row>
    <row r="473" spans="1:32" hidden="1" x14ac:dyDescent="0.2">
      <c r="A473" t="s">
        <v>574</v>
      </c>
      <c r="B473" t="s">
        <v>621</v>
      </c>
      <c r="C473" t="s">
        <v>576</v>
      </c>
      <c r="D473" t="s">
        <v>577</v>
      </c>
      <c r="E473">
        <v>1.8394109999999999</v>
      </c>
    </row>
    <row r="474" spans="1:32" hidden="1" x14ac:dyDescent="0.2">
      <c r="A474">
        <v>9.3199170000000002</v>
      </c>
      <c r="B474">
        <v>5.7655469999999998</v>
      </c>
      <c r="C474">
        <v>2042.581909</v>
      </c>
      <c r="D474">
        <v>89.195717000000002</v>
      </c>
      <c r="E474">
        <v>7.4812960000000004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1775</v>
      </c>
      <c r="L474">
        <v>69.349997999999999</v>
      </c>
      <c r="M474">
        <v>0</v>
      </c>
      <c r="N474">
        <v>1</v>
      </c>
      <c r="O474">
        <v>0</v>
      </c>
      <c r="Q474">
        <v>1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">
        <v>578</v>
      </c>
      <c r="AC474" t="s">
        <v>495</v>
      </c>
      <c r="AD474">
        <v>4</v>
      </c>
      <c r="AE474" s="31">
        <v>0.35994212962962963</v>
      </c>
      <c r="AF474">
        <v>2023</v>
      </c>
    </row>
    <row r="475" spans="1:32" x14ac:dyDescent="0.2">
      <c r="A475">
        <v>13</v>
      </c>
      <c r="B475" t="s">
        <v>569</v>
      </c>
      <c r="C475">
        <v>1</v>
      </c>
      <c r="D475">
        <v>250</v>
      </c>
      <c r="E475">
        <v>0</v>
      </c>
      <c r="F475">
        <v>1</v>
      </c>
      <c r="G475">
        <v>0</v>
      </c>
      <c r="H475">
        <v>1</v>
      </c>
      <c r="I475">
        <v>0</v>
      </c>
      <c r="J475">
        <v>0</v>
      </c>
      <c r="K475">
        <v>0</v>
      </c>
      <c r="L475">
        <v>0</v>
      </c>
      <c r="M475" t="s">
        <v>648</v>
      </c>
      <c r="N475">
        <v>0</v>
      </c>
      <c r="O475">
        <v>0</v>
      </c>
      <c r="Q475">
        <v>0</v>
      </c>
      <c r="R475">
        <v>0</v>
      </c>
      <c r="S475" t="s">
        <v>613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 t="s">
        <v>459</v>
      </c>
    </row>
    <row r="476" spans="1:32" hidden="1" x14ac:dyDescent="0.2">
      <c r="A476" t="s">
        <v>573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 t="s">
        <v>458</v>
      </c>
    </row>
    <row r="477" spans="1:32" hidden="1" x14ac:dyDescent="0.2">
      <c r="A477" t="s">
        <v>574</v>
      </c>
      <c r="B477" t="s">
        <v>585</v>
      </c>
      <c r="C477" t="s">
        <v>576</v>
      </c>
      <c r="D477" t="s">
        <v>577</v>
      </c>
      <c r="E477">
        <v>1.8387199999999999</v>
      </c>
    </row>
    <row r="478" spans="1:32" hidden="1" x14ac:dyDescent="0.2">
      <c r="A478">
        <v>9.2248149999999995</v>
      </c>
      <c r="B478">
        <v>5.7634559999999997</v>
      </c>
      <c r="C478">
        <v>2041.841187</v>
      </c>
      <c r="D478">
        <v>89.163368000000006</v>
      </c>
      <c r="E478">
        <v>7.7665990000000003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1776</v>
      </c>
      <c r="L478">
        <v>69.349997999999999</v>
      </c>
      <c r="M478">
        <v>0</v>
      </c>
      <c r="N478">
        <v>1</v>
      </c>
      <c r="O478">
        <v>0</v>
      </c>
      <c r="Q478">
        <v>1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">
        <v>578</v>
      </c>
      <c r="AC478" t="s">
        <v>495</v>
      </c>
      <c r="AD478">
        <v>4</v>
      </c>
      <c r="AE478" s="31">
        <v>0.35995370370370372</v>
      </c>
      <c r="AF478">
        <v>2023</v>
      </c>
    </row>
    <row r="479" spans="1:32" hidden="1" x14ac:dyDescent="0.2">
      <c r="A479">
        <v>13</v>
      </c>
      <c r="B479" t="s">
        <v>569</v>
      </c>
      <c r="C479">
        <v>0</v>
      </c>
      <c r="D479">
        <v>254</v>
      </c>
      <c r="E479">
        <v>0</v>
      </c>
      <c r="F479">
        <v>1</v>
      </c>
      <c r="G479">
        <v>0</v>
      </c>
      <c r="H479">
        <v>1</v>
      </c>
      <c r="I479">
        <v>0</v>
      </c>
      <c r="J479">
        <v>0</v>
      </c>
      <c r="K479">
        <v>0</v>
      </c>
      <c r="L479">
        <v>0</v>
      </c>
      <c r="M479" t="s">
        <v>649</v>
      </c>
      <c r="N479">
        <v>0</v>
      </c>
      <c r="O479">
        <v>0</v>
      </c>
      <c r="Q479">
        <v>0</v>
      </c>
      <c r="R479">
        <v>0</v>
      </c>
      <c r="S479" t="s">
        <v>613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 t="s">
        <v>459</v>
      </c>
    </row>
    <row r="480" spans="1:32" hidden="1" x14ac:dyDescent="0.2">
      <c r="A480" t="s">
        <v>573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 t="s">
        <v>458</v>
      </c>
    </row>
    <row r="481" spans="1:32" hidden="1" x14ac:dyDescent="0.2">
      <c r="A481" t="s">
        <v>574</v>
      </c>
      <c r="B481" t="s">
        <v>631</v>
      </c>
      <c r="C481" t="s">
        <v>576</v>
      </c>
      <c r="D481" t="s">
        <v>577</v>
      </c>
      <c r="E481">
        <v>1.8382590000000001</v>
      </c>
    </row>
    <row r="482" spans="1:32" hidden="1" x14ac:dyDescent="0.2">
      <c r="A482">
        <v>9.2248149999999995</v>
      </c>
      <c r="B482">
        <v>5.7620630000000004</v>
      </c>
      <c r="C482">
        <v>2041.347534</v>
      </c>
      <c r="D482">
        <v>89.141814999999994</v>
      </c>
      <c r="E482">
        <v>7.7665990000000003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1777</v>
      </c>
      <c r="L482">
        <v>69.349997999999999</v>
      </c>
      <c r="M482">
        <v>0</v>
      </c>
      <c r="N482">
        <v>1</v>
      </c>
      <c r="O482">
        <v>0</v>
      </c>
      <c r="Q482">
        <v>1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">
        <v>578</v>
      </c>
      <c r="AC482" t="s">
        <v>495</v>
      </c>
      <c r="AD482">
        <v>4</v>
      </c>
      <c r="AE482" s="31">
        <v>0.35996527777777776</v>
      </c>
      <c r="AF482">
        <v>2023</v>
      </c>
    </row>
    <row r="483" spans="1:32" x14ac:dyDescent="0.2">
      <c r="A483">
        <v>14</v>
      </c>
      <c r="B483" t="s">
        <v>619</v>
      </c>
      <c r="C483">
        <v>1</v>
      </c>
      <c r="D483" t="s">
        <v>593</v>
      </c>
      <c r="E483">
        <v>0</v>
      </c>
      <c r="F483">
        <v>1</v>
      </c>
      <c r="G483">
        <v>0</v>
      </c>
      <c r="H483">
        <v>1</v>
      </c>
      <c r="I483">
        <v>0</v>
      </c>
      <c r="J483">
        <v>0</v>
      </c>
      <c r="K483">
        <v>0</v>
      </c>
      <c r="L483">
        <v>0</v>
      </c>
      <c r="M483" t="s">
        <v>650</v>
      </c>
      <c r="N483">
        <v>0</v>
      </c>
      <c r="O483">
        <v>0</v>
      </c>
      <c r="Q483">
        <v>0</v>
      </c>
      <c r="R483">
        <v>0</v>
      </c>
      <c r="S483" t="s">
        <v>613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 t="s">
        <v>459</v>
      </c>
    </row>
    <row r="484" spans="1:32" hidden="1" x14ac:dyDescent="0.2">
      <c r="A484" t="s">
        <v>573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 t="s">
        <v>458</v>
      </c>
    </row>
    <row r="485" spans="1:32" hidden="1" x14ac:dyDescent="0.2">
      <c r="A485" t="s">
        <v>574</v>
      </c>
      <c r="B485" t="s">
        <v>595</v>
      </c>
      <c r="C485" t="s">
        <v>576</v>
      </c>
      <c r="D485" t="s">
        <v>577</v>
      </c>
      <c r="E485">
        <v>1.8381050000000001</v>
      </c>
    </row>
    <row r="486" spans="1:32" hidden="1" x14ac:dyDescent="0.2">
      <c r="A486">
        <v>9.2248149999999995</v>
      </c>
      <c r="B486">
        <v>5.7615980000000002</v>
      </c>
      <c r="C486">
        <v>2041.1827390000001</v>
      </c>
      <c r="D486">
        <v>89.134620999999996</v>
      </c>
      <c r="E486">
        <v>8.0836030000000001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1778</v>
      </c>
      <c r="L486">
        <v>69.349997999999999</v>
      </c>
      <c r="M486">
        <v>0</v>
      </c>
      <c r="N486">
        <v>1</v>
      </c>
      <c r="O486">
        <v>0</v>
      </c>
      <c r="Q486">
        <v>1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">
        <v>578</v>
      </c>
      <c r="AC486" t="s">
        <v>495</v>
      </c>
      <c r="AD486">
        <v>4</v>
      </c>
      <c r="AE486" s="31">
        <v>0.35997685185185185</v>
      </c>
      <c r="AF486">
        <v>2023</v>
      </c>
    </row>
    <row r="487" spans="1:32" hidden="1" x14ac:dyDescent="0.2">
      <c r="A487">
        <v>14</v>
      </c>
      <c r="B487" t="s">
        <v>619</v>
      </c>
      <c r="C487">
        <v>0</v>
      </c>
      <c r="D487" t="s">
        <v>570</v>
      </c>
      <c r="E487">
        <v>0</v>
      </c>
      <c r="F487">
        <v>1</v>
      </c>
      <c r="G487">
        <v>0</v>
      </c>
      <c r="H487">
        <v>1</v>
      </c>
      <c r="I487">
        <v>0</v>
      </c>
      <c r="J487">
        <v>0</v>
      </c>
      <c r="K487">
        <v>0</v>
      </c>
      <c r="L487">
        <v>0</v>
      </c>
      <c r="M487" t="s">
        <v>651</v>
      </c>
      <c r="N487">
        <v>0</v>
      </c>
      <c r="O487">
        <v>0</v>
      </c>
      <c r="Q487">
        <v>0</v>
      </c>
      <c r="R487">
        <v>0</v>
      </c>
      <c r="S487" t="s">
        <v>613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 t="s">
        <v>459</v>
      </c>
    </row>
    <row r="488" spans="1:32" hidden="1" x14ac:dyDescent="0.2">
      <c r="A488" t="s">
        <v>573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 t="s">
        <v>458</v>
      </c>
    </row>
    <row r="489" spans="1:32" hidden="1" x14ac:dyDescent="0.2">
      <c r="A489" t="s">
        <v>574</v>
      </c>
      <c r="B489" t="s">
        <v>575</v>
      </c>
      <c r="C489" t="s">
        <v>576</v>
      </c>
      <c r="D489" t="s">
        <v>577</v>
      </c>
      <c r="E489">
        <v>1.838643</v>
      </c>
    </row>
    <row r="490" spans="1:32" hidden="1" x14ac:dyDescent="0.2">
      <c r="A490">
        <v>9.2248149999999995</v>
      </c>
      <c r="B490">
        <v>5.7632240000000001</v>
      </c>
      <c r="C490">
        <v>2041.758789</v>
      </c>
      <c r="D490">
        <v>89.159774999999996</v>
      </c>
      <c r="E490">
        <v>8.0836030000000001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1779</v>
      </c>
      <c r="L490">
        <v>69.349997999999999</v>
      </c>
      <c r="M490">
        <v>0</v>
      </c>
      <c r="N490">
        <v>1</v>
      </c>
      <c r="O490">
        <v>0</v>
      </c>
      <c r="Q490">
        <v>1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">
        <v>578</v>
      </c>
      <c r="AC490" t="s">
        <v>495</v>
      </c>
      <c r="AD490">
        <v>4</v>
      </c>
      <c r="AE490" s="31">
        <v>0.35998842592592589</v>
      </c>
      <c r="AF490">
        <v>2023</v>
      </c>
    </row>
    <row r="491" spans="1:32" x14ac:dyDescent="0.2">
      <c r="A491">
        <v>14</v>
      </c>
      <c r="B491" t="s">
        <v>569</v>
      </c>
      <c r="C491">
        <v>1</v>
      </c>
      <c r="D491" t="s">
        <v>570</v>
      </c>
      <c r="E491">
        <v>0</v>
      </c>
      <c r="F491">
        <v>1</v>
      </c>
      <c r="G491">
        <v>0</v>
      </c>
      <c r="H491">
        <v>1</v>
      </c>
      <c r="I491">
        <v>0</v>
      </c>
      <c r="J491">
        <v>0</v>
      </c>
      <c r="K491">
        <v>0</v>
      </c>
      <c r="L491">
        <v>0</v>
      </c>
      <c r="M491" t="s">
        <v>652</v>
      </c>
      <c r="N491">
        <v>0</v>
      </c>
      <c r="O491">
        <v>0</v>
      </c>
      <c r="Q491">
        <v>0</v>
      </c>
      <c r="R491">
        <v>0</v>
      </c>
      <c r="S491" t="s">
        <v>613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 t="s">
        <v>459</v>
      </c>
    </row>
    <row r="492" spans="1:32" hidden="1" x14ac:dyDescent="0.2">
      <c r="A492" t="s">
        <v>573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 t="s">
        <v>458</v>
      </c>
    </row>
    <row r="493" spans="1:32" hidden="1" x14ac:dyDescent="0.2">
      <c r="A493" t="s">
        <v>574</v>
      </c>
      <c r="B493" t="s">
        <v>575</v>
      </c>
      <c r="C493" t="s">
        <v>576</v>
      </c>
      <c r="D493" t="s">
        <v>577</v>
      </c>
      <c r="E493">
        <v>1.839181</v>
      </c>
    </row>
    <row r="494" spans="1:32" hidden="1" x14ac:dyDescent="0.2">
      <c r="A494">
        <v>9.2248149999999995</v>
      </c>
      <c r="B494">
        <v>5.76485</v>
      </c>
      <c r="C494">
        <v>2042.3350829999999</v>
      </c>
      <c r="D494">
        <v>89.184937000000005</v>
      </c>
      <c r="E494">
        <v>8.4006070000000008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1780</v>
      </c>
      <c r="L494">
        <v>69.349997999999999</v>
      </c>
      <c r="M494">
        <v>0</v>
      </c>
      <c r="N494">
        <v>1</v>
      </c>
      <c r="O494">
        <v>0</v>
      </c>
      <c r="Q494">
        <v>1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">
        <v>578</v>
      </c>
      <c r="AC494" t="s">
        <v>495</v>
      </c>
      <c r="AD494">
        <v>4</v>
      </c>
      <c r="AE494" s="31">
        <v>0.36000000000000004</v>
      </c>
      <c r="AF494">
        <v>2023</v>
      </c>
    </row>
    <row r="495" spans="1:32" hidden="1" x14ac:dyDescent="0.2">
      <c r="A495">
        <v>14</v>
      </c>
      <c r="B495" t="s">
        <v>569</v>
      </c>
      <c r="C495">
        <v>0</v>
      </c>
      <c r="D495">
        <v>256</v>
      </c>
      <c r="E495">
        <v>0</v>
      </c>
      <c r="F495">
        <v>1</v>
      </c>
      <c r="G495">
        <v>0</v>
      </c>
      <c r="H495">
        <v>1</v>
      </c>
      <c r="I495">
        <v>0</v>
      </c>
      <c r="J495">
        <v>0</v>
      </c>
      <c r="K495">
        <v>0</v>
      </c>
      <c r="L495">
        <v>0</v>
      </c>
      <c r="M495" t="s">
        <v>653</v>
      </c>
      <c r="N495">
        <v>0</v>
      </c>
      <c r="O495">
        <v>0</v>
      </c>
      <c r="Q495">
        <v>0</v>
      </c>
      <c r="R495">
        <v>0</v>
      </c>
      <c r="S495" t="s">
        <v>613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 t="s">
        <v>459</v>
      </c>
    </row>
    <row r="496" spans="1:32" hidden="1" x14ac:dyDescent="0.2">
      <c r="A496" t="s">
        <v>573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 t="s">
        <v>458</v>
      </c>
    </row>
    <row r="497" spans="1:32" hidden="1" x14ac:dyDescent="0.2">
      <c r="A497" t="s">
        <v>574</v>
      </c>
      <c r="B497" t="s">
        <v>587</v>
      </c>
      <c r="C497" t="s">
        <v>576</v>
      </c>
      <c r="D497" t="s">
        <v>577</v>
      </c>
      <c r="E497">
        <v>1.8397950000000001</v>
      </c>
    </row>
    <row r="498" spans="1:32" hidden="1" x14ac:dyDescent="0.2">
      <c r="A498">
        <v>9.2248149999999995</v>
      </c>
      <c r="B498">
        <v>5.7667070000000002</v>
      </c>
      <c r="C498">
        <v>2042.9930420000001</v>
      </c>
      <c r="D498">
        <v>89.213668999999996</v>
      </c>
      <c r="E498">
        <v>8.4006070000000008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1781</v>
      </c>
      <c r="L498">
        <v>69.349997999999999</v>
      </c>
      <c r="M498">
        <v>0</v>
      </c>
      <c r="N498">
        <v>1</v>
      </c>
      <c r="O498">
        <v>0</v>
      </c>
      <c r="Q498">
        <v>1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">
        <v>578</v>
      </c>
      <c r="AC498" t="s">
        <v>495</v>
      </c>
      <c r="AD498">
        <v>4</v>
      </c>
      <c r="AE498" s="31">
        <v>0.36001157407407408</v>
      </c>
      <c r="AF498">
        <v>2023</v>
      </c>
    </row>
    <row r="499" spans="1:32" x14ac:dyDescent="0.2">
      <c r="A499">
        <v>14</v>
      </c>
      <c r="B499" t="s">
        <v>569</v>
      </c>
      <c r="C499">
        <v>1</v>
      </c>
      <c r="D499">
        <v>258</v>
      </c>
      <c r="E499">
        <v>0</v>
      </c>
      <c r="F499">
        <v>1</v>
      </c>
      <c r="G499">
        <v>0</v>
      </c>
      <c r="H499">
        <v>1</v>
      </c>
      <c r="I499">
        <v>0</v>
      </c>
      <c r="J499">
        <v>0</v>
      </c>
      <c r="K499">
        <v>0</v>
      </c>
      <c r="L499">
        <v>0</v>
      </c>
      <c r="M499" t="s">
        <v>654</v>
      </c>
      <c r="N499">
        <v>0</v>
      </c>
      <c r="O499">
        <v>0</v>
      </c>
      <c r="Q499">
        <v>0</v>
      </c>
      <c r="R499">
        <v>0</v>
      </c>
      <c r="S499" t="s">
        <v>613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 t="s">
        <v>459</v>
      </c>
    </row>
    <row r="500" spans="1:32" hidden="1" x14ac:dyDescent="0.2">
      <c r="A500" t="s">
        <v>573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 t="s">
        <v>458</v>
      </c>
    </row>
    <row r="501" spans="1:32" hidden="1" x14ac:dyDescent="0.2">
      <c r="A501" t="s">
        <v>574</v>
      </c>
      <c r="B501" t="s">
        <v>624</v>
      </c>
      <c r="C501" t="s">
        <v>576</v>
      </c>
      <c r="D501" t="s">
        <v>577</v>
      </c>
      <c r="E501">
        <v>1.840025</v>
      </c>
    </row>
    <row r="502" spans="1:32" hidden="1" x14ac:dyDescent="0.2">
      <c r="A502">
        <v>9.3199170000000002</v>
      </c>
      <c r="B502">
        <v>5.7674050000000001</v>
      </c>
      <c r="C502">
        <v>2043.2398679999999</v>
      </c>
      <c r="D502">
        <v>89.224449000000007</v>
      </c>
      <c r="E502">
        <v>8.7176109999999998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1782</v>
      </c>
      <c r="L502">
        <v>69.349997999999999</v>
      </c>
      <c r="M502">
        <v>0</v>
      </c>
      <c r="N502">
        <v>1</v>
      </c>
      <c r="O502">
        <v>0</v>
      </c>
      <c r="Q502">
        <v>1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">
        <v>578</v>
      </c>
      <c r="AC502" t="s">
        <v>495</v>
      </c>
      <c r="AD502">
        <v>4</v>
      </c>
      <c r="AE502" s="31">
        <v>0.36002314814814818</v>
      </c>
      <c r="AF502">
        <v>2023</v>
      </c>
    </row>
    <row r="503" spans="1:32" hidden="1" x14ac:dyDescent="0.2">
      <c r="A503">
        <v>14</v>
      </c>
      <c r="B503" t="s">
        <v>569</v>
      </c>
      <c r="C503">
        <v>0</v>
      </c>
      <c r="D503">
        <v>253</v>
      </c>
      <c r="E503">
        <v>0</v>
      </c>
      <c r="F503">
        <v>1</v>
      </c>
      <c r="G503">
        <v>0</v>
      </c>
      <c r="H503">
        <v>1</v>
      </c>
      <c r="I503">
        <v>0</v>
      </c>
      <c r="J503">
        <v>0</v>
      </c>
      <c r="K503">
        <v>0</v>
      </c>
      <c r="L503">
        <v>0</v>
      </c>
      <c r="M503" t="s">
        <v>655</v>
      </c>
      <c r="N503">
        <v>0</v>
      </c>
      <c r="O503">
        <v>0</v>
      </c>
      <c r="Q503">
        <v>0</v>
      </c>
      <c r="R503">
        <v>0</v>
      </c>
      <c r="S503" t="s">
        <v>613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 t="s">
        <v>459</v>
      </c>
    </row>
    <row r="504" spans="1:32" hidden="1" x14ac:dyDescent="0.2">
      <c r="A504" t="s">
        <v>573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 t="s">
        <v>458</v>
      </c>
    </row>
    <row r="505" spans="1:32" hidden="1" x14ac:dyDescent="0.2">
      <c r="A505" t="s">
        <v>574</v>
      </c>
      <c r="B505" t="s">
        <v>621</v>
      </c>
      <c r="C505" t="s">
        <v>576</v>
      </c>
      <c r="D505" t="s">
        <v>577</v>
      </c>
      <c r="E505">
        <v>1.8392569999999999</v>
      </c>
    </row>
    <row r="506" spans="1:32" hidden="1" x14ac:dyDescent="0.2">
      <c r="A506">
        <v>9.3199170000000002</v>
      </c>
      <c r="B506">
        <v>5.7650819999999996</v>
      </c>
      <c r="C506">
        <v>2042.417236</v>
      </c>
      <c r="D506">
        <v>89.188522000000006</v>
      </c>
      <c r="E506">
        <v>8.7176109999999998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1783</v>
      </c>
      <c r="L506">
        <v>69.349997999999999</v>
      </c>
      <c r="M506">
        <v>0</v>
      </c>
      <c r="N506">
        <v>1</v>
      </c>
      <c r="O506">
        <v>0</v>
      </c>
      <c r="Q506">
        <v>1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">
        <v>578</v>
      </c>
      <c r="AC506" t="s">
        <v>495</v>
      </c>
      <c r="AD506">
        <v>4</v>
      </c>
      <c r="AE506" s="31">
        <v>0.36003472222222221</v>
      </c>
      <c r="AF506">
        <v>2023</v>
      </c>
    </row>
    <row r="507" spans="1:32" x14ac:dyDescent="0.2">
      <c r="A507">
        <v>14</v>
      </c>
      <c r="B507" t="s">
        <v>569</v>
      </c>
      <c r="C507">
        <v>1</v>
      </c>
      <c r="D507">
        <v>252</v>
      </c>
      <c r="E507">
        <v>0</v>
      </c>
      <c r="F507">
        <v>1</v>
      </c>
      <c r="G507">
        <v>0</v>
      </c>
      <c r="H507">
        <v>1</v>
      </c>
      <c r="I507">
        <v>0</v>
      </c>
      <c r="J507">
        <v>0</v>
      </c>
      <c r="K507">
        <v>0</v>
      </c>
      <c r="L507">
        <v>0</v>
      </c>
      <c r="M507" t="s">
        <v>656</v>
      </c>
      <c r="N507">
        <v>0</v>
      </c>
      <c r="O507">
        <v>0</v>
      </c>
      <c r="Q507">
        <v>0</v>
      </c>
      <c r="R507">
        <v>0</v>
      </c>
      <c r="S507" t="s">
        <v>613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 t="s">
        <v>459</v>
      </c>
    </row>
    <row r="508" spans="1:32" hidden="1" x14ac:dyDescent="0.2">
      <c r="A508" t="s">
        <v>573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 t="s">
        <v>458</v>
      </c>
    </row>
    <row r="509" spans="1:32" hidden="1" x14ac:dyDescent="0.2">
      <c r="A509" t="s">
        <v>574</v>
      </c>
      <c r="B509" t="s">
        <v>598</v>
      </c>
      <c r="C509" t="s">
        <v>576</v>
      </c>
      <c r="D509" t="s">
        <v>577</v>
      </c>
      <c r="E509">
        <v>1.8389500000000001</v>
      </c>
    </row>
    <row r="510" spans="1:32" hidden="1" x14ac:dyDescent="0.2">
      <c r="A510">
        <v>9.3199170000000002</v>
      </c>
      <c r="B510">
        <v>5.7641530000000003</v>
      </c>
      <c r="C510">
        <v>2042.088135</v>
      </c>
      <c r="D510">
        <v>89.174155999999996</v>
      </c>
      <c r="E510">
        <v>9.0346159999999998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1784</v>
      </c>
      <c r="L510">
        <v>69.349997999999999</v>
      </c>
      <c r="M510">
        <v>0</v>
      </c>
      <c r="N510">
        <v>1</v>
      </c>
      <c r="O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">
        <v>578</v>
      </c>
      <c r="AC510" t="s">
        <v>495</v>
      </c>
      <c r="AD510">
        <v>4</v>
      </c>
      <c r="AE510" s="31">
        <v>0.36004629629629631</v>
      </c>
      <c r="AF510">
        <v>2023</v>
      </c>
    </row>
    <row r="511" spans="1:32" hidden="1" x14ac:dyDescent="0.2">
      <c r="A511">
        <v>14</v>
      </c>
      <c r="B511" t="s">
        <v>569</v>
      </c>
      <c r="C511">
        <v>0</v>
      </c>
      <c r="D511">
        <v>258</v>
      </c>
      <c r="E511">
        <v>0</v>
      </c>
      <c r="F511">
        <v>1</v>
      </c>
      <c r="G511">
        <v>0</v>
      </c>
      <c r="H511">
        <v>1</v>
      </c>
      <c r="I511">
        <v>0</v>
      </c>
      <c r="J511">
        <v>0</v>
      </c>
      <c r="K511">
        <v>0</v>
      </c>
      <c r="L511">
        <v>0</v>
      </c>
      <c r="M511" t="s">
        <v>657</v>
      </c>
      <c r="N511">
        <v>0</v>
      </c>
      <c r="O511">
        <v>0</v>
      </c>
      <c r="Q511">
        <v>0</v>
      </c>
      <c r="R511">
        <v>0</v>
      </c>
      <c r="S511" t="s">
        <v>613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 t="s">
        <v>459</v>
      </c>
    </row>
    <row r="512" spans="1:32" hidden="1" x14ac:dyDescent="0.2">
      <c r="A512" t="s">
        <v>573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 t="s">
        <v>458</v>
      </c>
    </row>
    <row r="513" spans="1:32" hidden="1" x14ac:dyDescent="0.2">
      <c r="A513" t="s">
        <v>574</v>
      </c>
      <c r="B513" t="s">
        <v>624</v>
      </c>
      <c r="C513" t="s">
        <v>576</v>
      </c>
      <c r="D513" t="s">
        <v>577</v>
      </c>
      <c r="E513">
        <v>1.839334</v>
      </c>
    </row>
    <row r="514" spans="1:32" hidden="1" x14ac:dyDescent="0.2">
      <c r="A514">
        <v>9.3199170000000002</v>
      </c>
      <c r="B514">
        <v>5.7653150000000002</v>
      </c>
      <c r="C514">
        <v>2042.499634</v>
      </c>
      <c r="D514">
        <v>89.192122999999995</v>
      </c>
      <c r="E514">
        <v>9.0346159999999998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1785</v>
      </c>
      <c r="L514">
        <v>69.349997999999999</v>
      </c>
      <c r="M514">
        <v>0</v>
      </c>
      <c r="N514">
        <v>1</v>
      </c>
      <c r="O514">
        <v>0</v>
      </c>
      <c r="Q514">
        <v>1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">
        <v>578</v>
      </c>
      <c r="AC514" t="s">
        <v>495</v>
      </c>
      <c r="AD514">
        <v>4</v>
      </c>
      <c r="AE514" s="31">
        <v>0.36005787037037035</v>
      </c>
      <c r="AF514">
        <v>2023</v>
      </c>
    </row>
    <row r="515" spans="1:32" x14ac:dyDescent="0.2">
      <c r="A515">
        <v>13</v>
      </c>
      <c r="B515" t="s">
        <v>569</v>
      </c>
      <c r="C515">
        <v>1</v>
      </c>
      <c r="D515">
        <v>256</v>
      </c>
      <c r="E515">
        <v>0</v>
      </c>
      <c r="F515">
        <v>1</v>
      </c>
      <c r="G515">
        <v>0</v>
      </c>
      <c r="H515">
        <v>1</v>
      </c>
      <c r="I515">
        <v>0</v>
      </c>
      <c r="J515">
        <v>0</v>
      </c>
      <c r="K515">
        <v>0</v>
      </c>
      <c r="L515">
        <v>0</v>
      </c>
      <c r="M515" t="s">
        <v>658</v>
      </c>
      <c r="N515">
        <v>0</v>
      </c>
      <c r="O515">
        <v>0</v>
      </c>
      <c r="Q515">
        <v>0</v>
      </c>
      <c r="R515">
        <v>0</v>
      </c>
      <c r="S515" t="s">
        <v>613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 t="s">
        <v>459</v>
      </c>
    </row>
    <row r="516" spans="1:32" hidden="1" x14ac:dyDescent="0.2">
      <c r="A516" t="s">
        <v>573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 t="s">
        <v>458</v>
      </c>
    </row>
    <row r="517" spans="1:32" hidden="1" x14ac:dyDescent="0.2">
      <c r="A517" t="s">
        <v>574</v>
      </c>
      <c r="B517" t="s">
        <v>587</v>
      </c>
      <c r="C517" t="s">
        <v>576</v>
      </c>
      <c r="D517" t="s">
        <v>577</v>
      </c>
      <c r="E517">
        <v>1.8396410000000001</v>
      </c>
    </row>
    <row r="518" spans="1:32" hidden="1" x14ac:dyDescent="0.2">
      <c r="A518">
        <v>9.3199170000000002</v>
      </c>
      <c r="B518">
        <v>5.7662430000000002</v>
      </c>
      <c r="C518">
        <v>2042.8286129999999</v>
      </c>
      <c r="D518">
        <v>89.206490000000002</v>
      </c>
      <c r="E518">
        <v>9.3199199999999998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1786</v>
      </c>
      <c r="L518">
        <v>69.349997999999999</v>
      </c>
      <c r="M518">
        <v>0</v>
      </c>
      <c r="N518">
        <v>1</v>
      </c>
      <c r="O518">
        <v>0</v>
      </c>
      <c r="Q518">
        <v>1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">
        <v>578</v>
      </c>
      <c r="AC518" t="s">
        <v>495</v>
      </c>
      <c r="AD518">
        <v>4</v>
      </c>
      <c r="AE518" s="31">
        <v>0.3600694444444445</v>
      </c>
      <c r="AF518">
        <v>2023</v>
      </c>
    </row>
    <row r="519" spans="1:32" hidden="1" x14ac:dyDescent="0.2">
      <c r="A519">
        <v>13</v>
      </c>
      <c r="B519" t="s">
        <v>569</v>
      </c>
      <c r="C519">
        <v>0</v>
      </c>
      <c r="D519" t="s">
        <v>641</v>
      </c>
      <c r="E519">
        <v>0</v>
      </c>
      <c r="F519">
        <v>1</v>
      </c>
      <c r="G519">
        <v>0</v>
      </c>
      <c r="H519">
        <v>1</v>
      </c>
      <c r="I519">
        <v>0</v>
      </c>
      <c r="J519">
        <v>0</v>
      </c>
      <c r="K519">
        <v>0</v>
      </c>
      <c r="L519">
        <v>0</v>
      </c>
      <c r="M519" t="s">
        <v>659</v>
      </c>
      <c r="N519">
        <v>0</v>
      </c>
      <c r="O519">
        <v>0</v>
      </c>
      <c r="Q519">
        <v>0</v>
      </c>
      <c r="R519">
        <v>0</v>
      </c>
      <c r="S519" t="s">
        <v>572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 t="s">
        <v>459</v>
      </c>
    </row>
    <row r="520" spans="1:32" hidden="1" x14ac:dyDescent="0.2">
      <c r="A520" t="s">
        <v>573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 t="s">
        <v>458</v>
      </c>
    </row>
    <row r="521" spans="1:32" hidden="1" x14ac:dyDescent="0.2">
      <c r="A521" t="s">
        <v>574</v>
      </c>
      <c r="B521" t="s">
        <v>643</v>
      </c>
      <c r="C521" t="s">
        <v>576</v>
      </c>
      <c r="D521" t="s">
        <v>577</v>
      </c>
      <c r="E521">
        <v>1.840179</v>
      </c>
    </row>
    <row r="522" spans="1:32" hidden="1" x14ac:dyDescent="0.2">
      <c r="A522">
        <v>9.3199170000000002</v>
      </c>
      <c r="B522">
        <v>5.7678690000000001</v>
      </c>
      <c r="C522">
        <v>2043.404663</v>
      </c>
      <c r="D522">
        <v>89.231644000000003</v>
      </c>
      <c r="E522">
        <v>9.3199199999999998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1787</v>
      </c>
      <c r="L522">
        <v>69.237503000000004</v>
      </c>
      <c r="M522">
        <v>0</v>
      </c>
      <c r="N522">
        <v>1</v>
      </c>
      <c r="O522">
        <v>0</v>
      </c>
      <c r="Q522">
        <v>1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">
        <v>578</v>
      </c>
      <c r="AC522" t="s">
        <v>495</v>
      </c>
      <c r="AD522">
        <v>4</v>
      </c>
      <c r="AE522" s="31">
        <v>0.36008101851851854</v>
      </c>
      <c r="AF522">
        <v>2023</v>
      </c>
    </row>
    <row r="523" spans="1:32" x14ac:dyDescent="0.2">
      <c r="A523">
        <v>14</v>
      </c>
      <c r="B523" t="s">
        <v>569</v>
      </c>
      <c r="C523">
        <v>1</v>
      </c>
      <c r="D523" t="s">
        <v>590</v>
      </c>
      <c r="E523">
        <v>0</v>
      </c>
      <c r="F523">
        <v>1</v>
      </c>
      <c r="G523">
        <v>0</v>
      </c>
      <c r="H523">
        <v>1</v>
      </c>
      <c r="I523">
        <v>0</v>
      </c>
      <c r="J523">
        <v>0</v>
      </c>
      <c r="K523">
        <v>0</v>
      </c>
      <c r="L523">
        <v>0</v>
      </c>
      <c r="M523" t="s">
        <v>660</v>
      </c>
      <c r="N523">
        <v>0</v>
      </c>
      <c r="O523">
        <v>0</v>
      </c>
      <c r="Q523">
        <v>0</v>
      </c>
      <c r="R523">
        <v>0</v>
      </c>
      <c r="S523" t="s">
        <v>613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 t="s">
        <v>459</v>
      </c>
    </row>
    <row r="524" spans="1:32" hidden="1" x14ac:dyDescent="0.2">
      <c r="A524" t="s">
        <v>573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 t="s">
        <v>458</v>
      </c>
    </row>
    <row r="525" spans="1:32" hidden="1" x14ac:dyDescent="0.2">
      <c r="A525" t="s">
        <v>574</v>
      </c>
      <c r="B525" t="s">
        <v>592</v>
      </c>
      <c r="C525" t="s">
        <v>576</v>
      </c>
      <c r="D525" t="s">
        <v>577</v>
      </c>
      <c r="E525">
        <v>1.8400259999999999</v>
      </c>
    </row>
    <row r="526" spans="1:32" hidden="1" x14ac:dyDescent="0.2">
      <c r="A526">
        <v>9.3199170000000002</v>
      </c>
      <c r="B526">
        <v>5.7674050000000001</v>
      </c>
      <c r="C526">
        <v>2043.240112</v>
      </c>
      <c r="D526">
        <v>89.224457000000001</v>
      </c>
      <c r="E526">
        <v>9.6369240000000005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1788</v>
      </c>
      <c r="L526">
        <v>69.349997999999999</v>
      </c>
      <c r="M526">
        <v>0</v>
      </c>
      <c r="N526">
        <v>1</v>
      </c>
      <c r="O526">
        <v>0</v>
      </c>
      <c r="Q526">
        <v>1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">
        <v>578</v>
      </c>
      <c r="AC526" t="s">
        <v>495</v>
      </c>
      <c r="AD526">
        <v>4</v>
      </c>
      <c r="AE526" s="31">
        <v>0.36009259259259258</v>
      </c>
      <c r="AF526">
        <v>2023</v>
      </c>
    </row>
    <row r="527" spans="1:32" hidden="1" x14ac:dyDescent="0.2">
      <c r="A527">
        <v>14</v>
      </c>
      <c r="B527" t="s">
        <v>569</v>
      </c>
      <c r="C527">
        <v>0</v>
      </c>
      <c r="D527" t="s">
        <v>593</v>
      </c>
      <c r="E527">
        <v>0</v>
      </c>
      <c r="F527">
        <v>1</v>
      </c>
      <c r="G527">
        <v>0</v>
      </c>
      <c r="H527">
        <v>1</v>
      </c>
      <c r="I527">
        <v>0</v>
      </c>
      <c r="J527">
        <v>0</v>
      </c>
      <c r="K527">
        <v>0</v>
      </c>
      <c r="L527">
        <v>0</v>
      </c>
      <c r="M527" t="s">
        <v>661</v>
      </c>
      <c r="N527">
        <v>0</v>
      </c>
      <c r="O527">
        <v>0</v>
      </c>
      <c r="Q527">
        <v>0</v>
      </c>
      <c r="R527">
        <v>0</v>
      </c>
      <c r="S527" t="s">
        <v>613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 t="s">
        <v>459</v>
      </c>
    </row>
    <row r="528" spans="1:32" hidden="1" x14ac:dyDescent="0.2">
      <c r="A528" t="s">
        <v>573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 t="s">
        <v>458</v>
      </c>
    </row>
    <row r="529" spans="1:32" hidden="1" x14ac:dyDescent="0.2">
      <c r="A529" t="s">
        <v>574</v>
      </c>
      <c r="B529" t="s">
        <v>595</v>
      </c>
      <c r="C529" t="s">
        <v>576</v>
      </c>
      <c r="D529" t="s">
        <v>577</v>
      </c>
      <c r="E529">
        <v>1.8399490000000001</v>
      </c>
    </row>
    <row r="530" spans="1:32" hidden="1" x14ac:dyDescent="0.2">
      <c r="A530">
        <v>9.3199170000000002</v>
      </c>
      <c r="B530">
        <v>5.7671729999999997</v>
      </c>
      <c r="C530">
        <v>2043.1579589999999</v>
      </c>
      <c r="D530">
        <v>89.220871000000002</v>
      </c>
      <c r="E530">
        <v>9.6369240000000005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1789</v>
      </c>
      <c r="L530">
        <v>69.349997999999999</v>
      </c>
      <c r="M530">
        <v>0</v>
      </c>
      <c r="N530">
        <v>1</v>
      </c>
      <c r="O530">
        <v>0</v>
      </c>
      <c r="Q530">
        <v>1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">
        <v>578</v>
      </c>
      <c r="AC530" t="s">
        <v>495</v>
      </c>
      <c r="AD530">
        <v>4</v>
      </c>
      <c r="AE530" s="31">
        <v>0.36010416666666667</v>
      </c>
      <c r="AF530">
        <v>2023</v>
      </c>
    </row>
    <row r="531" spans="1:32" x14ac:dyDescent="0.2">
      <c r="A531">
        <v>14</v>
      </c>
      <c r="B531" t="s">
        <v>569</v>
      </c>
      <c r="C531">
        <v>1</v>
      </c>
      <c r="D531" t="s">
        <v>570</v>
      </c>
      <c r="E531">
        <v>0</v>
      </c>
      <c r="F531">
        <v>1</v>
      </c>
      <c r="G531">
        <v>0</v>
      </c>
      <c r="H531">
        <v>1</v>
      </c>
      <c r="I531">
        <v>0</v>
      </c>
      <c r="J531">
        <v>0</v>
      </c>
      <c r="K531">
        <v>0</v>
      </c>
      <c r="L531">
        <v>0</v>
      </c>
      <c r="M531" t="s">
        <v>662</v>
      </c>
      <c r="N531">
        <v>0</v>
      </c>
      <c r="O531">
        <v>0</v>
      </c>
      <c r="Q531">
        <v>0</v>
      </c>
      <c r="R531">
        <v>0</v>
      </c>
      <c r="S531" t="s">
        <v>613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 t="s">
        <v>459</v>
      </c>
    </row>
    <row r="532" spans="1:32" hidden="1" x14ac:dyDescent="0.2">
      <c r="A532" t="s">
        <v>573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 t="s">
        <v>458</v>
      </c>
    </row>
    <row r="533" spans="1:32" hidden="1" x14ac:dyDescent="0.2">
      <c r="A533" t="s">
        <v>574</v>
      </c>
      <c r="B533" t="s">
        <v>575</v>
      </c>
      <c r="C533" t="s">
        <v>576</v>
      </c>
      <c r="D533" t="s">
        <v>577</v>
      </c>
      <c r="E533">
        <v>1.8404100000000001</v>
      </c>
    </row>
    <row r="534" spans="1:32" hidden="1" x14ac:dyDescent="0.2">
      <c r="A534">
        <v>9.3199170000000002</v>
      </c>
      <c r="B534">
        <v>5.768567</v>
      </c>
      <c r="C534">
        <v>2043.651611</v>
      </c>
      <c r="D534">
        <v>89.242431999999994</v>
      </c>
      <c r="E534">
        <v>9.9539279999999994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1790</v>
      </c>
      <c r="L534">
        <v>69.349997999999999</v>
      </c>
      <c r="M534">
        <v>0</v>
      </c>
      <c r="N534">
        <v>1</v>
      </c>
      <c r="O534">
        <v>0</v>
      </c>
      <c r="Q534">
        <v>1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">
        <v>578</v>
      </c>
      <c r="AC534" t="s">
        <v>495</v>
      </c>
      <c r="AD534">
        <v>4</v>
      </c>
      <c r="AE534" s="31">
        <v>0.36011574074074071</v>
      </c>
      <c r="AF534">
        <v>2023</v>
      </c>
    </row>
    <row r="535" spans="1:32" hidden="1" x14ac:dyDescent="0.2">
      <c r="A535">
        <v>14</v>
      </c>
      <c r="B535" t="s">
        <v>569</v>
      </c>
      <c r="C535">
        <v>0</v>
      </c>
      <c r="D535">
        <v>251</v>
      </c>
      <c r="E535">
        <v>0</v>
      </c>
      <c r="F535">
        <v>1</v>
      </c>
      <c r="G535">
        <v>0</v>
      </c>
      <c r="H535">
        <v>1</v>
      </c>
      <c r="I535">
        <v>0</v>
      </c>
      <c r="J535">
        <v>0</v>
      </c>
      <c r="K535">
        <v>0</v>
      </c>
      <c r="L535">
        <v>0</v>
      </c>
      <c r="M535" t="s">
        <v>663</v>
      </c>
      <c r="N535">
        <v>0</v>
      </c>
      <c r="O535">
        <v>0</v>
      </c>
      <c r="Q535">
        <v>0</v>
      </c>
      <c r="R535">
        <v>0</v>
      </c>
      <c r="S535" t="s">
        <v>613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 t="s">
        <v>459</v>
      </c>
    </row>
    <row r="536" spans="1:32" hidden="1" x14ac:dyDescent="0.2">
      <c r="A536" t="s">
        <v>573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 t="s">
        <v>458</v>
      </c>
    </row>
    <row r="537" spans="1:32" hidden="1" x14ac:dyDescent="0.2">
      <c r="A537" t="s">
        <v>574</v>
      </c>
      <c r="B537" t="s">
        <v>580</v>
      </c>
      <c r="C537" t="s">
        <v>576</v>
      </c>
      <c r="D537" t="s">
        <v>577</v>
      </c>
      <c r="E537">
        <v>1.8400259999999999</v>
      </c>
    </row>
    <row r="538" spans="1:32" hidden="1" x14ac:dyDescent="0.2">
      <c r="A538">
        <v>9.3199170000000002</v>
      </c>
      <c r="B538">
        <v>5.7674060000000003</v>
      </c>
      <c r="C538">
        <v>2043.240356</v>
      </c>
      <c r="D538">
        <v>89.224472000000006</v>
      </c>
      <c r="E538">
        <v>9.9539279999999994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1791</v>
      </c>
      <c r="L538">
        <v>69.349997999999999</v>
      </c>
      <c r="M538">
        <v>0</v>
      </c>
      <c r="N538">
        <v>1</v>
      </c>
      <c r="O538">
        <v>0</v>
      </c>
      <c r="Q538">
        <v>1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">
        <v>578</v>
      </c>
      <c r="AC538" t="s">
        <v>495</v>
      </c>
      <c r="AD538">
        <v>4</v>
      </c>
      <c r="AE538" s="31">
        <v>0.3601273148148148</v>
      </c>
      <c r="AF538">
        <v>2023</v>
      </c>
    </row>
    <row r="539" spans="1:32" x14ac:dyDescent="0.2">
      <c r="A539">
        <v>14</v>
      </c>
      <c r="B539" t="s">
        <v>619</v>
      </c>
      <c r="C539">
        <v>1</v>
      </c>
      <c r="D539">
        <v>253</v>
      </c>
      <c r="E539">
        <v>0</v>
      </c>
      <c r="F539">
        <v>1</v>
      </c>
      <c r="G539">
        <v>0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700</v>
      </c>
      <c r="N539">
        <v>0</v>
      </c>
      <c r="O539">
        <v>0</v>
      </c>
      <c r="Q539">
        <v>0</v>
      </c>
      <c r="R539">
        <v>0</v>
      </c>
      <c r="S539" t="s">
        <v>613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 t="s">
        <v>459</v>
      </c>
    </row>
    <row r="540" spans="1:32" hidden="1" x14ac:dyDescent="0.2">
      <c r="A540" t="s">
        <v>573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 t="s">
        <v>458</v>
      </c>
    </row>
    <row r="541" spans="1:32" hidden="1" x14ac:dyDescent="0.2">
      <c r="A541" t="s">
        <v>574</v>
      </c>
      <c r="B541" t="s">
        <v>621</v>
      </c>
      <c r="C541" t="s">
        <v>576</v>
      </c>
      <c r="D541" t="s">
        <v>577</v>
      </c>
      <c r="E541">
        <v>1.840333</v>
      </c>
    </row>
    <row r="542" spans="1:32" hidden="1" x14ac:dyDescent="0.2">
      <c r="A542">
        <v>9.3199170000000002</v>
      </c>
      <c r="B542">
        <v>5.7683340000000003</v>
      </c>
      <c r="C542">
        <v>2043.5694579999999</v>
      </c>
      <c r="D542">
        <v>89.238838000000001</v>
      </c>
      <c r="E542">
        <v>10.270932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1792</v>
      </c>
      <c r="L542">
        <v>69.349997999999999</v>
      </c>
      <c r="M542">
        <v>0</v>
      </c>
      <c r="N542">
        <v>1</v>
      </c>
      <c r="O542">
        <v>0</v>
      </c>
      <c r="Q542">
        <v>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">
        <v>578</v>
      </c>
      <c r="AC542" t="s">
        <v>495</v>
      </c>
      <c r="AD542">
        <v>4</v>
      </c>
      <c r="AE542" s="31">
        <v>0.36013888888888884</v>
      </c>
      <c r="AF542">
        <v>2023</v>
      </c>
    </row>
    <row r="543" spans="1:32" hidden="1" x14ac:dyDescent="0.2">
      <c r="A543">
        <v>14</v>
      </c>
      <c r="B543" t="s">
        <v>619</v>
      </c>
      <c r="C543">
        <v>0</v>
      </c>
      <c r="D543">
        <v>259</v>
      </c>
      <c r="E543">
        <v>0</v>
      </c>
      <c r="F543">
        <v>1</v>
      </c>
      <c r="G543">
        <v>0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701</v>
      </c>
      <c r="N543">
        <v>0</v>
      </c>
      <c r="O543">
        <v>0</v>
      </c>
      <c r="Q543">
        <v>0</v>
      </c>
      <c r="R543">
        <v>0</v>
      </c>
      <c r="S543" t="s">
        <v>613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 t="s">
        <v>459</v>
      </c>
    </row>
    <row r="544" spans="1:32" hidden="1" x14ac:dyDescent="0.2">
      <c r="A544" t="s">
        <v>573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 t="s">
        <v>458</v>
      </c>
    </row>
    <row r="545" spans="1:32" hidden="1" x14ac:dyDescent="0.2">
      <c r="A545" t="s">
        <v>574</v>
      </c>
      <c r="B545" t="s">
        <v>603</v>
      </c>
      <c r="C545" t="s">
        <v>576</v>
      </c>
      <c r="D545" t="s">
        <v>577</v>
      </c>
      <c r="E545">
        <v>1.8407169999999999</v>
      </c>
    </row>
    <row r="546" spans="1:32" hidden="1" x14ac:dyDescent="0.2">
      <c r="A546">
        <v>9.3199170000000002</v>
      </c>
      <c r="B546">
        <v>5.7694960000000002</v>
      </c>
      <c r="C546">
        <v>2043.9810789999999</v>
      </c>
      <c r="D546">
        <v>89.256812999999994</v>
      </c>
      <c r="E546">
        <v>10.270932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1793</v>
      </c>
      <c r="L546">
        <v>69.349997999999999</v>
      </c>
      <c r="M546">
        <v>0</v>
      </c>
      <c r="N546">
        <v>1</v>
      </c>
      <c r="O546">
        <v>0</v>
      </c>
      <c r="Q546">
        <v>1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">
        <v>578</v>
      </c>
      <c r="AC546" t="s">
        <v>495</v>
      </c>
      <c r="AD546">
        <v>4</v>
      </c>
      <c r="AE546" s="31">
        <v>0.36015046296296299</v>
      </c>
      <c r="AF546">
        <v>2023</v>
      </c>
    </row>
    <row r="547" spans="1:32" x14ac:dyDescent="0.2">
      <c r="A547">
        <v>14</v>
      </c>
      <c r="B547" t="s">
        <v>619</v>
      </c>
      <c r="C547">
        <v>1</v>
      </c>
      <c r="D547" t="s">
        <v>637</v>
      </c>
      <c r="E547">
        <v>0</v>
      </c>
      <c r="F547">
        <v>1</v>
      </c>
      <c r="G547">
        <v>0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702</v>
      </c>
      <c r="N547">
        <v>0</v>
      </c>
      <c r="O547">
        <v>0</v>
      </c>
      <c r="Q547">
        <v>0</v>
      </c>
      <c r="R547">
        <v>0</v>
      </c>
      <c r="S547" t="s">
        <v>613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 t="s">
        <v>459</v>
      </c>
    </row>
    <row r="548" spans="1:32" hidden="1" x14ac:dyDescent="0.2">
      <c r="A548" t="s">
        <v>573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 t="s">
        <v>458</v>
      </c>
    </row>
    <row r="549" spans="1:32" hidden="1" x14ac:dyDescent="0.2">
      <c r="A549" t="s">
        <v>574</v>
      </c>
      <c r="B549" t="s">
        <v>638</v>
      </c>
      <c r="C549" t="s">
        <v>576</v>
      </c>
      <c r="D549" t="s">
        <v>577</v>
      </c>
      <c r="E549">
        <v>1.8413310000000001</v>
      </c>
    </row>
    <row r="550" spans="1:32" hidden="1" x14ac:dyDescent="0.2">
      <c r="A550">
        <v>9.3199170000000002</v>
      </c>
      <c r="B550">
        <v>5.7713549999999998</v>
      </c>
      <c r="C550">
        <v>2044.6395259999999</v>
      </c>
      <c r="D550">
        <v>89.285567999999998</v>
      </c>
      <c r="E550">
        <v>10.587935999999999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1794</v>
      </c>
      <c r="L550">
        <v>69.349997999999999</v>
      </c>
      <c r="M550">
        <v>0</v>
      </c>
      <c r="N550">
        <v>1</v>
      </c>
      <c r="O550">
        <v>0</v>
      </c>
      <c r="Q550">
        <v>1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">
        <v>578</v>
      </c>
      <c r="AC550" t="s">
        <v>495</v>
      </c>
      <c r="AD550">
        <v>4</v>
      </c>
      <c r="AE550" s="31">
        <v>0.36016203703703703</v>
      </c>
      <c r="AF550">
        <v>2023</v>
      </c>
    </row>
    <row r="551" spans="1:32" hidden="1" x14ac:dyDescent="0.2">
      <c r="A551">
        <v>14</v>
      </c>
      <c r="B551" t="s">
        <v>619</v>
      </c>
      <c r="C551">
        <v>0</v>
      </c>
      <c r="D551" t="s">
        <v>590</v>
      </c>
      <c r="E551">
        <v>0</v>
      </c>
      <c r="F551">
        <v>1</v>
      </c>
      <c r="G551">
        <v>0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703</v>
      </c>
      <c r="N551">
        <v>0</v>
      </c>
      <c r="O551">
        <v>0</v>
      </c>
      <c r="Q551">
        <v>0</v>
      </c>
      <c r="R551">
        <v>0</v>
      </c>
      <c r="S551" t="s">
        <v>613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 t="s">
        <v>459</v>
      </c>
    </row>
    <row r="552" spans="1:32" hidden="1" x14ac:dyDescent="0.2">
      <c r="A552" t="s">
        <v>573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 t="s">
        <v>458</v>
      </c>
    </row>
    <row r="553" spans="1:32" hidden="1" x14ac:dyDescent="0.2">
      <c r="A553" t="s">
        <v>574</v>
      </c>
      <c r="B553" t="s">
        <v>592</v>
      </c>
      <c r="C553" t="s">
        <v>576</v>
      </c>
      <c r="D553" t="s">
        <v>577</v>
      </c>
      <c r="E553">
        <v>1.841178</v>
      </c>
    </row>
    <row r="554" spans="1:32" hidden="1" x14ac:dyDescent="0.2">
      <c r="A554">
        <v>9.3199170000000002</v>
      </c>
      <c r="B554">
        <v>5.7708899999999996</v>
      </c>
      <c r="C554">
        <v>2044.474976</v>
      </c>
      <c r="D554">
        <v>89.278380999999996</v>
      </c>
      <c r="E554">
        <v>10.587935999999999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1795</v>
      </c>
      <c r="L554">
        <v>69.349997999999999</v>
      </c>
      <c r="M554">
        <v>0</v>
      </c>
      <c r="N554">
        <v>1</v>
      </c>
      <c r="O554">
        <v>0</v>
      </c>
      <c r="Q554">
        <v>1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">
        <v>578</v>
      </c>
      <c r="AC554" t="s">
        <v>495</v>
      </c>
      <c r="AD554">
        <v>4</v>
      </c>
      <c r="AE554" s="31">
        <v>0.36017361111111112</v>
      </c>
      <c r="AF554">
        <v>2023</v>
      </c>
    </row>
    <row r="555" spans="1:32" x14ac:dyDescent="0.2">
      <c r="A555">
        <v>14</v>
      </c>
      <c r="B555" t="s">
        <v>614</v>
      </c>
      <c r="C555">
        <v>1</v>
      </c>
      <c r="D555">
        <v>258</v>
      </c>
      <c r="E555">
        <v>0</v>
      </c>
      <c r="F555">
        <v>1</v>
      </c>
      <c r="G555">
        <v>0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704</v>
      </c>
      <c r="N555">
        <v>0</v>
      </c>
      <c r="O555">
        <v>0</v>
      </c>
      <c r="Q555">
        <v>0</v>
      </c>
      <c r="R555">
        <v>0</v>
      </c>
      <c r="S555" t="s">
        <v>613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 t="s">
        <v>459</v>
      </c>
    </row>
    <row r="556" spans="1:32" hidden="1" x14ac:dyDescent="0.2">
      <c r="A556" t="s">
        <v>573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 t="s">
        <v>458</v>
      </c>
    </row>
    <row r="557" spans="1:32" hidden="1" x14ac:dyDescent="0.2">
      <c r="A557" t="s">
        <v>574</v>
      </c>
      <c r="B557" t="s">
        <v>624</v>
      </c>
      <c r="C557" t="s">
        <v>576</v>
      </c>
      <c r="D557" t="s">
        <v>577</v>
      </c>
      <c r="E557">
        <v>1.8411010000000001</v>
      </c>
    </row>
    <row r="558" spans="1:32" hidden="1" x14ac:dyDescent="0.2">
      <c r="A558">
        <v>9.4150179999999999</v>
      </c>
      <c r="B558">
        <v>5.7706580000000001</v>
      </c>
      <c r="C558">
        <v>2044.392578</v>
      </c>
      <c r="D558">
        <v>89.274788000000001</v>
      </c>
      <c r="E558">
        <v>10.904941000000001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1796</v>
      </c>
      <c r="L558">
        <v>69.349997999999999</v>
      </c>
      <c r="M558">
        <v>0</v>
      </c>
      <c r="N558">
        <v>1</v>
      </c>
      <c r="O558">
        <v>0</v>
      </c>
      <c r="Q558">
        <v>1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">
        <v>578</v>
      </c>
      <c r="AC558" t="s">
        <v>495</v>
      </c>
      <c r="AD558">
        <v>4</v>
      </c>
      <c r="AE558" s="31">
        <v>0.36018518518518516</v>
      </c>
      <c r="AF558">
        <v>2023</v>
      </c>
    </row>
    <row r="559" spans="1:32" hidden="1" x14ac:dyDescent="0.2">
      <c r="A559">
        <v>14</v>
      </c>
      <c r="B559" t="s">
        <v>614</v>
      </c>
      <c r="C559">
        <v>0</v>
      </c>
      <c r="D559">
        <v>253</v>
      </c>
      <c r="E559">
        <v>0</v>
      </c>
      <c r="F559">
        <v>1</v>
      </c>
      <c r="G559">
        <v>0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705</v>
      </c>
      <c r="N559">
        <v>0</v>
      </c>
      <c r="O559">
        <v>0</v>
      </c>
      <c r="Q559">
        <v>0</v>
      </c>
      <c r="R559">
        <v>0</v>
      </c>
      <c r="S559" t="s">
        <v>664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 t="s">
        <v>459</v>
      </c>
    </row>
    <row r="560" spans="1:32" hidden="1" x14ac:dyDescent="0.2">
      <c r="A560" t="s">
        <v>573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 t="s">
        <v>458</v>
      </c>
    </row>
    <row r="561" spans="1:32" hidden="1" x14ac:dyDescent="0.2">
      <c r="A561" t="s">
        <v>574</v>
      </c>
      <c r="B561" t="s">
        <v>621</v>
      </c>
      <c r="C561" t="s">
        <v>576</v>
      </c>
      <c r="D561" t="s">
        <v>577</v>
      </c>
      <c r="E561">
        <v>1.8406400000000001</v>
      </c>
    </row>
    <row r="562" spans="1:32" hidden="1" x14ac:dyDescent="0.2">
      <c r="A562">
        <v>9.4150179999999999</v>
      </c>
      <c r="B562">
        <v>5.7692639999999997</v>
      </c>
      <c r="C562">
        <v>2043.898682</v>
      </c>
      <c r="D562">
        <v>89.253219999999999</v>
      </c>
      <c r="E562">
        <v>10.904941000000001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1797</v>
      </c>
      <c r="L562">
        <v>69.462494000000007</v>
      </c>
      <c r="M562">
        <v>0</v>
      </c>
      <c r="N562">
        <v>1</v>
      </c>
      <c r="O562">
        <v>0</v>
      </c>
      <c r="Q562">
        <v>1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">
        <v>578</v>
      </c>
      <c r="AC562" t="s">
        <v>495</v>
      </c>
      <c r="AD562">
        <v>4</v>
      </c>
      <c r="AE562" s="31">
        <v>0.36019675925925926</v>
      </c>
      <c r="AF562">
        <v>2023</v>
      </c>
    </row>
    <row r="563" spans="1:32" x14ac:dyDescent="0.2">
      <c r="A563">
        <v>14</v>
      </c>
      <c r="B563" t="s">
        <v>619</v>
      </c>
      <c r="C563">
        <v>1</v>
      </c>
      <c r="D563">
        <v>250</v>
      </c>
      <c r="E563">
        <v>0</v>
      </c>
      <c r="F563">
        <v>1</v>
      </c>
      <c r="G563">
        <v>0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706</v>
      </c>
      <c r="N563">
        <v>0</v>
      </c>
      <c r="O563">
        <v>0</v>
      </c>
      <c r="Q563">
        <v>0</v>
      </c>
      <c r="R563">
        <v>0</v>
      </c>
      <c r="S563" t="s">
        <v>613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 t="s">
        <v>459</v>
      </c>
    </row>
    <row r="564" spans="1:32" hidden="1" x14ac:dyDescent="0.2">
      <c r="A564" t="s">
        <v>573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 t="s">
        <v>458</v>
      </c>
    </row>
    <row r="565" spans="1:32" hidden="1" x14ac:dyDescent="0.2">
      <c r="A565" t="s">
        <v>574</v>
      </c>
      <c r="B565" t="s">
        <v>585</v>
      </c>
      <c r="C565" t="s">
        <v>576</v>
      </c>
      <c r="D565" t="s">
        <v>577</v>
      </c>
      <c r="E565">
        <v>1.8404100000000001</v>
      </c>
    </row>
    <row r="566" spans="1:32" hidden="1" x14ac:dyDescent="0.2">
      <c r="A566">
        <v>9.4150179999999999</v>
      </c>
      <c r="B566">
        <v>5.768567</v>
      </c>
      <c r="C566">
        <v>2043.651611</v>
      </c>
      <c r="D566">
        <v>89.242431999999994</v>
      </c>
      <c r="E566">
        <v>11.221945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1798</v>
      </c>
      <c r="L566">
        <v>69.349997999999999</v>
      </c>
      <c r="M566">
        <v>0</v>
      </c>
      <c r="N566">
        <v>1</v>
      </c>
      <c r="O566">
        <v>0</v>
      </c>
      <c r="Q566">
        <v>1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">
        <v>578</v>
      </c>
      <c r="AC566" t="s">
        <v>495</v>
      </c>
      <c r="AD566">
        <v>4</v>
      </c>
      <c r="AE566" s="31">
        <v>0.3602083333333333</v>
      </c>
      <c r="AF566">
        <v>2023</v>
      </c>
    </row>
    <row r="567" spans="1:32" hidden="1" x14ac:dyDescent="0.2">
      <c r="A567" t="s">
        <v>665</v>
      </c>
    </row>
  </sheetData>
  <autoFilter ref="A79:AG567" xr:uid="{D9F61E9D-B2A5-9B45-9750-8B639A717A36}">
    <filterColumn colId="2">
      <filters>
        <filter val="1"/>
      </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A8602-3B3D-E049-A50C-F77EAF1374E8}">
  <sheetPr codeName="Sheet14"/>
  <dimension ref="B3:AB33"/>
  <sheetViews>
    <sheetView workbookViewId="0">
      <selection activeCell="X12" sqref="X12"/>
    </sheetView>
  </sheetViews>
  <sheetFormatPr baseColWidth="10" defaultRowHeight="16" x14ac:dyDescent="0.2"/>
  <sheetData>
    <row r="3" spans="2:28" x14ac:dyDescent="0.2">
      <c r="B3">
        <v>338</v>
      </c>
      <c r="C3">
        <v>0.97565250000000003</v>
      </c>
      <c r="D3">
        <v>10</v>
      </c>
    </row>
    <row r="5" spans="2:28" x14ac:dyDescent="0.2">
      <c r="B5">
        <f>(B3*C3)/D3</f>
        <v>32.977054500000001</v>
      </c>
    </row>
    <row r="6" spans="2:28" x14ac:dyDescent="0.2">
      <c r="O6" s="27">
        <v>3.2258064499999998E-3</v>
      </c>
    </row>
    <row r="8" spans="2:28" x14ac:dyDescent="0.2">
      <c r="O8" t="s">
        <v>705</v>
      </c>
      <c r="P8" t="s">
        <v>701</v>
      </c>
      <c r="R8" t="s">
        <v>695</v>
      </c>
      <c r="T8" t="s">
        <v>696</v>
      </c>
      <c r="V8" t="s">
        <v>697</v>
      </c>
      <c r="X8" t="s">
        <v>698</v>
      </c>
      <c r="Z8" t="s">
        <v>700</v>
      </c>
      <c r="AB8" t="s">
        <v>699</v>
      </c>
    </row>
    <row r="9" spans="2:28" x14ac:dyDescent="0.2">
      <c r="O9">
        <f t="shared" ref="O9:O16" si="0">P9*$O$6</f>
        <v>1.0580645155999999</v>
      </c>
      <c r="P9">
        <v>328</v>
      </c>
      <c r="R9">
        <v>16</v>
      </c>
      <c r="T9">
        <f t="shared" ref="T9:T16" si="1">R9/12</f>
        <v>1.3333333333333333</v>
      </c>
      <c r="V9">
        <f t="shared" ref="V9:V16" si="2">(16*PI())*T9</f>
        <v>67.020643276582248</v>
      </c>
      <c r="X9">
        <f t="shared" ref="X9:X16" si="3">V9*7.048052</f>
        <v>472.36497888680208</v>
      </c>
      <c r="Z9">
        <f>(6.3783+0.748)-AB9/30.48</f>
        <v>1.3848301837270345</v>
      </c>
      <c r="AB9">
        <v>175</v>
      </c>
    </row>
    <row r="10" spans="2:28" x14ac:dyDescent="0.2">
      <c r="B10">
        <v>3.3</v>
      </c>
      <c r="C10" t="s">
        <v>666</v>
      </c>
      <c r="D10">
        <v>1023</v>
      </c>
      <c r="O10">
        <f t="shared" si="0"/>
        <v>1.1548387090999999</v>
      </c>
      <c r="P10">
        <v>358</v>
      </c>
      <c r="R10">
        <v>21.875</v>
      </c>
      <c r="T10">
        <f t="shared" si="1"/>
        <v>1.8229166666666667</v>
      </c>
      <c r="V10">
        <f t="shared" si="2"/>
        <v>91.629785729702306</v>
      </c>
      <c r="X10">
        <f t="shared" si="3"/>
        <v>645.81149457179981</v>
      </c>
      <c r="Z10">
        <f>(6.3783+0.748)-AB10/30.48</f>
        <v>2.9924417322834653</v>
      </c>
      <c r="AB10">
        <v>126</v>
      </c>
    </row>
    <row r="11" spans="2:28" x14ac:dyDescent="0.2">
      <c r="O11">
        <f t="shared" si="0"/>
        <v>1.2516129026</v>
      </c>
      <c r="P11">
        <v>388</v>
      </c>
      <c r="R11">
        <v>27.125</v>
      </c>
      <c r="T11">
        <f t="shared" si="1"/>
        <v>2.2604166666666665</v>
      </c>
      <c r="V11">
        <f t="shared" si="2"/>
        <v>113.62093430483084</v>
      </c>
      <c r="X11">
        <f t="shared" si="3"/>
        <v>800.80625326903169</v>
      </c>
    </row>
    <row r="12" spans="2:28" x14ac:dyDescent="0.2">
      <c r="O12">
        <f t="shared" si="0"/>
        <v>1.354838709</v>
      </c>
      <c r="P12">
        <v>420</v>
      </c>
      <c r="R12">
        <v>33</v>
      </c>
      <c r="T12">
        <f t="shared" si="1"/>
        <v>2.75</v>
      </c>
      <c r="V12">
        <f t="shared" si="2"/>
        <v>138.23007675795088</v>
      </c>
      <c r="X12">
        <f t="shared" si="3"/>
        <v>974.25276895402931</v>
      </c>
    </row>
    <row r="13" spans="2:28" x14ac:dyDescent="0.2">
      <c r="O13">
        <f t="shared" si="0"/>
        <v>1.5709677411499998</v>
      </c>
      <c r="P13">
        <v>487</v>
      </c>
      <c r="R13">
        <v>43</v>
      </c>
      <c r="T13">
        <f t="shared" si="1"/>
        <v>3.5833333333333335</v>
      </c>
      <c r="V13">
        <f t="shared" si="2"/>
        <v>180.1179788058148</v>
      </c>
      <c r="X13">
        <f t="shared" si="3"/>
        <v>1269.4808807582806</v>
      </c>
      <c r="Z13">
        <f>(6.3783+0.748)-AB13/30.48</f>
        <v>7.1263000000000005</v>
      </c>
    </row>
    <row r="14" spans="2:28" x14ac:dyDescent="0.2">
      <c r="B14" t="s">
        <v>667</v>
      </c>
      <c r="G14">
        <v>3.3</v>
      </c>
      <c r="O14">
        <f t="shared" si="0"/>
        <v>1.6645161281999998</v>
      </c>
      <c r="P14">
        <v>516</v>
      </c>
      <c r="R14">
        <v>50.5</v>
      </c>
      <c r="T14">
        <f t="shared" si="1"/>
        <v>4.208333333333333</v>
      </c>
      <c r="V14">
        <f t="shared" si="2"/>
        <v>211.53390534171271</v>
      </c>
      <c r="X14">
        <f t="shared" si="3"/>
        <v>1490.9019646114689</v>
      </c>
    </row>
    <row r="15" spans="2:28" x14ac:dyDescent="0.2">
      <c r="B15" t="s">
        <v>668</v>
      </c>
      <c r="C15">
        <f>B10/D10</f>
        <v>3.2258064516129032E-3</v>
      </c>
      <c r="E15">
        <v>0.5</v>
      </c>
      <c r="F15">
        <v>2.5</v>
      </c>
      <c r="G15">
        <v>4.5</v>
      </c>
      <c r="O15">
        <f t="shared" si="0"/>
        <v>1.8193548378</v>
      </c>
      <c r="P15">
        <v>564</v>
      </c>
      <c r="R15">
        <v>58.625</v>
      </c>
      <c r="T15">
        <f t="shared" si="1"/>
        <v>4.885416666666667</v>
      </c>
      <c r="V15">
        <f t="shared" si="2"/>
        <v>245.56782575560217</v>
      </c>
      <c r="X15">
        <f t="shared" si="3"/>
        <v>1730.7748054524234</v>
      </c>
    </row>
    <row r="16" spans="2:28" x14ac:dyDescent="0.2">
      <c r="E16">
        <v>0</v>
      </c>
      <c r="F16">
        <v>50</v>
      </c>
      <c r="G16">
        <v>100</v>
      </c>
      <c r="O16">
        <f t="shared" si="0"/>
        <v>1.9516129022499999</v>
      </c>
      <c r="P16">
        <v>605</v>
      </c>
      <c r="R16">
        <v>68</v>
      </c>
      <c r="T16">
        <f t="shared" si="1"/>
        <v>5.666666666666667</v>
      </c>
      <c r="V16">
        <f t="shared" si="2"/>
        <v>284.83773392547459</v>
      </c>
      <c r="X16">
        <f t="shared" si="3"/>
        <v>2007.5511602689091</v>
      </c>
    </row>
    <row r="17" spans="2:28" x14ac:dyDescent="0.2">
      <c r="B17">
        <f>B3*C15</f>
        <v>1.0903225806451613</v>
      </c>
      <c r="C17" t="s">
        <v>670</v>
      </c>
      <c r="D17">
        <f>J20</f>
        <v>40.816326530612244</v>
      </c>
    </row>
    <row r="19" spans="2:28" x14ac:dyDescent="0.2">
      <c r="B19">
        <f>B17*D17</f>
        <v>44.502962475312707</v>
      </c>
      <c r="G19">
        <v>2.4500000000000002</v>
      </c>
      <c r="H19" t="s">
        <v>342</v>
      </c>
      <c r="I19" t="s">
        <v>669</v>
      </c>
      <c r="J19">
        <v>100</v>
      </c>
    </row>
    <row r="20" spans="2:28" x14ac:dyDescent="0.2">
      <c r="H20" t="s">
        <v>342</v>
      </c>
      <c r="I20" t="s">
        <v>669</v>
      </c>
      <c r="J20">
        <f>J19/G19</f>
        <v>40.816326530612244</v>
      </c>
    </row>
    <row r="22" spans="2:28" x14ac:dyDescent="0.2">
      <c r="T22" t="s">
        <v>704</v>
      </c>
      <c r="U22">
        <f>R24*$O$6</f>
        <v>1.5709677411499998</v>
      </c>
      <c r="V22">
        <f>R25*$O$6</f>
        <v>1.6645161281999998</v>
      </c>
      <c r="W22">
        <f>R26*$O$6</f>
        <v>1.8193548378</v>
      </c>
      <c r="X22">
        <f>R27*$O$6</f>
        <v>1.9516129022499999</v>
      </c>
      <c r="Y22">
        <v>1.0580645155999999</v>
      </c>
      <c r="Z22">
        <v>1.1548387090999999</v>
      </c>
      <c r="AA22">
        <v>1.2516129026</v>
      </c>
      <c r="AB22">
        <v>1.354838709</v>
      </c>
    </row>
    <row r="23" spans="2:28" x14ac:dyDescent="0.2">
      <c r="Q23" t="s">
        <v>703</v>
      </c>
      <c r="R23" t="s">
        <v>702</v>
      </c>
      <c r="T23" t="s">
        <v>703</v>
      </c>
      <c r="U23">
        <v>3.5833333333333335</v>
      </c>
      <c r="V23">
        <v>4.208333333333333</v>
      </c>
      <c r="W23">
        <v>4.885416666666667</v>
      </c>
      <c r="X23">
        <v>5.666666666666667</v>
      </c>
      <c r="Y23">
        <v>1.3333333333333333</v>
      </c>
      <c r="Z23">
        <v>1.8229166666666667</v>
      </c>
      <c r="AA23">
        <v>2.2604166666666665</v>
      </c>
      <c r="AB23">
        <v>2.75</v>
      </c>
    </row>
    <row r="24" spans="2:28" x14ac:dyDescent="0.2">
      <c r="Q24">
        <v>3.5833333333333335</v>
      </c>
      <c r="R24">
        <v>487</v>
      </c>
    </row>
    <row r="25" spans="2:28" x14ac:dyDescent="0.2">
      <c r="Q25">
        <v>4.208333333333333</v>
      </c>
      <c r="R25">
        <v>516</v>
      </c>
    </row>
    <row r="26" spans="2:28" x14ac:dyDescent="0.2">
      <c r="Q26">
        <v>4.885416666666667</v>
      </c>
      <c r="R26">
        <v>564</v>
      </c>
    </row>
    <row r="27" spans="2:28" x14ac:dyDescent="0.2">
      <c r="Q27">
        <v>5.666666666666667</v>
      </c>
      <c r="R27">
        <v>605</v>
      </c>
    </row>
    <row r="30" spans="2:28" x14ac:dyDescent="0.2">
      <c r="O30">
        <f>(5.3113*O13)-4.7174</f>
        <v>3.6264809635699944</v>
      </c>
      <c r="Q30">
        <f>(3.0242*O13)+0.1028</f>
        <v>4.8537206427858299</v>
      </c>
    </row>
    <row r="31" spans="2:28" x14ac:dyDescent="0.2">
      <c r="O31">
        <f>(5.3113*O14)-4.7174</f>
        <v>4.1233445117086589</v>
      </c>
      <c r="Q31">
        <f>(3.0242*O14)+0.1028</f>
        <v>5.1366296749024398</v>
      </c>
    </row>
    <row r="32" spans="2:28" x14ac:dyDescent="0.2">
      <c r="O32">
        <f>(5.3113*O15)-4.7174</f>
        <v>4.9457393500071412</v>
      </c>
      <c r="Q32">
        <f>(3.0242*O15)+0.1028</f>
        <v>5.6048929004747601</v>
      </c>
    </row>
    <row r="33" spans="15:17" x14ac:dyDescent="0.2">
      <c r="O33">
        <f>(5.3113*O16)-4.7174</f>
        <v>5.6482016077204253</v>
      </c>
      <c r="Q33">
        <f>(3.0242*O16)+0.1028</f>
        <v>6.0048677389844505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F5AF7-BEBC-464F-8AEE-CFDF7BD7F669}">
  <sheetPr codeName="Sheet15"/>
  <dimension ref="A1:T27"/>
  <sheetViews>
    <sheetView topLeftCell="L5" zoomScale="191" zoomScaleNormal="191" workbookViewId="0">
      <selection activeCell="T11" sqref="T11"/>
    </sheetView>
  </sheetViews>
  <sheetFormatPr baseColWidth="10" defaultRowHeight="16" x14ac:dyDescent="0.2"/>
  <sheetData>
    <row r="1" spans="1:20" x14ac:dyDescent="0.2">
      <c r="B1" t="s">
        <v>1199</v>
      </c>
      <c r="C1" t="s">
        <v>1198</v>
      </c>
      <c r="D1" t="s">
        <v>1197</v>
      </c>
    </row>
    <row r="2" spans="1:20" x14ac:dyDescent="0.2">
      <c r="B2">
        <v>0.5</v>
      </c>
      <c r="C2">
        <v>0</v>
      </c>
      <c r="D2">
        <v>0</v>
      </c>
      <c r="E2">
        <f>((D2*$I$3)-$I$4)*25</f>
        <v>-4.8828125E-2</v>
      </c>
    </row>
    <row r="3" spans="1:20" x14ac:dyDescent="0.2">
      <c r="B3">
        <v>2.5</v>
      </c>
      <c r="C3">
        <v>50</v>
      </c>
      <c r="D3">
        <v>512</v>
      </c>
      <c r="E3">
        <f>((D3*$I$3)-$I$4)*25</f>
        <v>49.951171875</v>
      </c>
      <c r="G3">
        <v>4</v>
      </c>
      <c r="H3">
        <v>1024</v>
      </c>
      <c r="I3">
        <f>G3/H3</f>
        <v>3.90625E-3</v>
      </c>
    </row>
    <row r="4" spans="1:20" x14ac:dyDescent="0.2">
      <c r="B4">
        <v>4.5</v>
      </c>
      <c r="C4">
        <v>100</v>
      </c>
      <c r="D4">
        <v>1024</v>
      </c>
      <c r="E4">
        <f>((D4*$I$3)-$I$4)*25</f>
        <v>99.951171875</v>
      </c>
      <c r="I4">
        <f>I3*0.5</f>
        <v>1.953125E-3</v>
      </c>
    </row>
    <row r="10" spans="1:20" x14ac:dyDescent="0.2">
      <c r="T10" t="s">
        <v>1220</v>
      </c>
    </row>
    <row r="12" spans="1:20" x14ac:dyDescent="0.2">
      <c r="A12" t="s">
        <v>1197</v>
      </c>
      <c r="B12" t="s">
        <v>1048</v>
      </c>
    </row>
    <row r="13" spans="1:20" x14ac:dyDescent="0.2">
      <c r="A13">
        <v>505</v>
      </c>
      <c r="B13">
        <v>63</v>
      </c>
    </row>
    <row r="14" spans="1:20" x14ac:dyDescent="0.2">
      <c r="A14">
        <v>482</v>
      </c>
      <c r="B14">
        <v>59</v>
      </c>
    </row>
    <row r="15" spans="1:20" x14ac:dyDescent="0.2">
      <c r="A15">
        <v>460</v>
      </c>
      <c r="B15">
        <v>56</v>
      </c>
    </row>
    <row r="16" spans="1:20" x14ac:dyDescent="0.2">
      <c r="A16">
        <v>454</v>
      </c>
      <c r="B16">
        <v>55</v>
      </c>
    </row>
    <row r="17" spans="1:2" x14ac:dyDescent="0.2">
      <c r="A17">
        <v>422</v>
      </c>
      <c r="B17">
        <v>52</v>
      </c>
    </row>
    <row r="21" spans="1:2" x14ac:dyDescent="0.2">
      <c r="A21" t="s">
        <v>1237</v>
      </c>
    </row>
    <row r="22" spans="1:2" x14ac:dyDescent="0.2">
      <c r="A22" t="s">
        <v>1197</v>
      </c>
      <c r="B22" t="s">
        <v>1048</v>
      </c>
    </row>
    <row r="23" spans="1:2" x14ac:dyDescent="0.2">
      <c r="A23">
        <v>518</v>
      </c>
      <c r="B23">
        <v>43.5</v>
      </c>
    </row>
    <row r="24" spans="1:2" x14ac:dyDescent="0.2">
      <c r="A24">
        <v>429</v>
      </c>
      <c r="B24">
        <v>33.200000000000003</v>
      </c>
    </row>
    <row r="25" spans="1:2" x14ac:dyDescent="0.2">
      <c r="A25">
        <v>293</v>
      </c>
      <c r="B25">
        <v>19.5</v>
      </c>
    </row>
    <row r="26" spans="1:2" x14ac:dyDescent="0.2">
      <c r="A26">
        <v>267</v>
      </c>
      <c r="B26">
        <v>16.600000000000001</v>
      </c>
    </row>
    <row r="27" spans="1:2" x14ac:dyDescent="0.2">
      <c r="A27">
        <v>183</v>
      </c>
      <c r="B27">
        <v>7.2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78565-0E94-1A4E-919C-323D04170BDC}">
  <sheetPr codeName="Sheet16"/>
  <dimension ref="B2:G40"/>
  <sheetViews>
    <sheetView zoomScale="90" zoomScaleNormal="90" workbookViewId="0">
      <selection activeCell="I18" sqref="I18"/>
    </sheetView>
  </sheetViews>
  <sheetFormatPr baseColWidth="10" defaultRowHeight="16" x14ac:dyDescent="0.2"/>
  <sheetData>
    <row r="2" spans="2:7" x14ac:dyDescent="0.2">
      <c r="B2" t="s">
        <v>1244</v>
      </c>
      <c r="G2" t="s">
        <v>1239</v>
      </c>
    </row>
    <row r="4" spans="2:7" x14ac:dyDescent="0.2">
      <c r="B4" s="198" t="s">
        <v>1095</v>
      </c>
      <c r="C4" s="198" t="s">
        <v>758</v>
      </c>
      <c r="D4" s="198" t="s">
        <v>1238</v>
      </c>
      <c r="E4" s="198" t="s">
        <v>1245</v>
      </c>
      <c r="F4" s="198" t="s">
        <v>741</v>
      </c>
      <c r="G4" s="198"/>
    </row>
    <row r="5" spans="2:7" x14ac:dyDescent="0.2">
      <c r="B5" s="202">
        <v>0</v>
      </c>
      <c r="C5" s="202">
        <v>0</v>
      </c>
      <c r="D5" s="198">
        <v>10.56</v>
      </c>
      <c r="E5" s="203">
        <v>0</v>
      </c>
      <c r="F5" s="198">
        <v>40.880000000000003</v>
      </c>
      <c r="G5" s="198"/>
    </row>
    <row r="6" spans="2:7" x14ac:dyDescent="0.2">
      <c r="B6" s="197">
        <v>1</v>
      </c>
      <c r="C6" s="197">
        <v>1</v>
      </c>
      <c r="D6" s="197"/>
      <c r="E6" s="197"/>
      <c r="F6" s="197"/>
      <c r="G6" s="197"/>
    </row>
    <row r="7" spans="2:7" x14ac:dyDescent="0.2">
      <c r="B7" s="197">
        <v>1</v>
      </c>
      <c r="C7" s="197">
        <v>2</v>
      </c>
      <c r="D7" s="197"/>
      <c r="E7" s="197"/>
      <c r="F7" s="197"/>
      <c r="G7" s="197"/>
    </row>
    <row r="8" spans="2:7" x14ac:dyDescent="0.2">
      <c r="B8" s="197">
        <v>1</v>
      </c>
      <c r="C8" s="197">
        <v>3</v>
      </c>
      <c r="D8" s="197"/>
      <c r="E8" s="197"/>
      <c r="F8" s="197"/>
      <c r="G8" s="197"/>
    </row>
    <row r="9" spans="2:7" x14ac:dyDescent="0.2">
      <c r="B9" s="197">
        <v>1</v>
      </c>
      <c r="C9" s="197">
        <v>4</v>
      </c>
      <c r="D9" s="197"/>
      <c r="E9" s="197"/>
      <c r="F9" s="197"/>
      <c r="G9" s="197"/>
    </row>
    <row r="10" spans="2:7" x14ac:dyDescent="0.2">
      <c r="B10" s="197">
        <v>1</v>
      </c>
      <c r="C10" s="197">
        <v>5</v>
      </c>
      <c r="D10" s="197"/>
      <c r="E10" s="197"/>
      <c r="F10" s="197"/>
      <c r="G10" s="197"/>
    </row>
    <row r="11" spans="2:7" x14ac:dyDescent="0.2">
      <c r="B11" s="197">
        <v>1</v>
      </c>
      <c r="C11" s="197">
        <v>6</v>
      </c>
      <c r="D11" s="197"/>
      <c r="E11" s="197"/>
      <c r="F11" s="197"/>
      <c r="G11" s="197"/>
    </row>
    <row r="12" spans="2:7" x14ac:dyDescent="0.2">
      <c r="B12" s="197">
        <v>1</v>
      </c>
      <c r="C12" s="197">
        <v>7</v>
      </c>
      <c r="D12" s="197"/>
      <c r="E12" s="197"/>
      <c r="F12" s="197"/>
      <c r="G12" s="197"/>
    </row>
    <row r="13" spans="2:7" x14ac:dyDescent="0.2">
      <c r="B13" s="197">
        <v>1</v>
      </c>
      <c r="C13" s="197">
        <v>8</v>
      </c>
      <c r="D13" s="197"/>
      <c r="E13" s="197"/>
      <c r="F13" s="197"/>
      <c r="G13" s="197"/>
    </row>
    <row r="14" spans="2:7" x14ac:dyDescent="0.2">
      <c r="B14" s="197">
        <v>1</v>
      </c>
      <c r="C14" s="197">
        <v>9</v>
      </c>
      <c r="D14" s="197"/>
      <c r="E14" s="197"/>
      <c r="F14" s="197"/>
      <c r="G14" s="197"/>
    </row>
    <row r="15" spans="2:7" x14ac:dyDescent="0.2">
      <c r="B15" s="197">
        <v>1</v>
      </c>
      <c r="C15" s="197">
        <v>10</v>
      </c>
      <c r="D15" s="197"/>
      <c r="E15" s="197"/>
      <c r="F15" s="197"/>
      <c r="G15" s="197"/>
    </row>
    <row r="16" spans="2:7" x14ac:dyDescent="0.2">
      <c r="B16" s="197">
        <v>1</v>
      </c>
      <c r="C16" s="197">
        <v>11</v>
      </c>
      <c r="D16" s="197"/>
      <c r="E16" s="197"/>
      <c r="F16" s="197"/>
      <c r="G16" s="197"/>
    </row>
    <row r="17" spans="2:7" x14ac:dyDescent="0.2">
      <c r="B17" s="197">
        <v>1</v>
      </c>
      <c r="C17" s="197">
        <v>12</v>
      </c>
      <c r="D17" s="197"/>
      <c r="E17" s="197"/>
      <c r="F17" s="197"/>
      <c r="G17" s="197"/>
    </row>
    <row r="18" spans="2:7" x14ac:dyDescent="0.2">
      <c r="B18" s="197">
        <v>1</v>
      </c>
      <c r="C18" s="197">
        <v>13</v>
      </c>
      <c r="D18" s="197"/>
      <c r="E18" s="197"/>
      <c r="F18" s="197"/>
      <c r="G18" s="197"/>
    </row>
    <row r="19" spans="2:7" x14ac:dyDescent="0.2">
      <c r="B19" s="197">
        <v>1</v>
      </c>
      <c r="C19" s="197">
        <v>14</v>
      </c>
      <c r="D19" s="197"/>
      <c r="E19" s="197"/>
      <c r="F19" s="197"/>
      <c r="G19" s="197"/>
    </row>
    <row r="20" spans="2:7" x14ac:dyDescent="0.2">
      <c r="B20" s="197">
        <v>1</v>
      </c>
      <c r="C20" s="197">
        <v>15</v>
      </c>
      <c r="D20" s="197"/>
      <c r="E20" s="197"/>
      <c r="F20" s="197"/>
      <c r="G20" s="197"/>
    </row>
    <row r="21" spans="2:7" x14ac:dyDescent="0.2">
      <c r="B21" s="197">
        <v>1</v>
      </c>
      <c r="C21" s="197">
        <v>16</v>
      </c>
      <c r="D21" s="197"/>
      <c r="E21" s="197"/>
      <c r="F21" s="197"/>
      <c r="G21" s="197"/>
    </row>
    <row r="22" spans="2:7" x14ac:dyDescent="0.2">
      <c r="B22" s="197">
        <v>2</v>
      </c>
      <c r="C22" s="197">
        <v>1</v>
      </c>
      <c r="D22" s="197"/>
      <c r="E22" s="197"/>
      <c r="F22" s="197"/>
      <c r="G22" s="197"/>
    </row>
    <row r="23" spans="2:7" x14ac:dyDescent="0.2">
      <c r="B23" s="197">
        <v>2</v>
      </c>
      <c r="C23" s="197">
        <v>2</v>
      </c>
      <c r="D23" s="197"/>
      <c r="E23" s="197"/>
      <c r="F23" s="197"/>
      <c r="G23" s="197"/>
    </row>
    <row r="24" spans="2:7" x14ac:dyDescent="0.2">
      <c r="B24" s="197">
        <v>2</v>
      </c>
      <c r="C24" s="197">
        <v>3</v>
      </c>
      <c r="D24" s="197"/>
      <c r="E24" s="197"/>
      <c r="F24" s="197"/>
      <c r="G24" s="197"/>
    </row>
    <row r="25" spans="2:7" x14ac:dyDescent="0.2">
      <c r="B25" s="197">
        <v>2</v>
      </c>
      <c r="C25" s="197">
        <v>4</v>
      </c>
      <c r="D25" s="197"/>
      <c r="E25" s="197"/>
      <c r="F25" s="197"/>
      <c r="G25" s="197"/>
    </row>
    <row r="26" spans="2:7" x14ac:dyDescent="0.2">
      <c r="B26" s="197">
        <v>2</v>
      </c>
      <c r="C26" s="197">
        <v>5</v>
      </c>
      <c r="D26" s="197"/>
      <c r="E26" s="197"/>
      <c r="F26" s="197"/>
      <c r="G26" s="197"/>
    </row>
    <row r="27" spans="2:7" x14ac:dyDescent="0.2">
      <c r="B27" s="197">
        <v>2</v>
      </c>
      <c r="C27" s="197">
        <v>6</v>
      </c>
      <c r="D27" s="197"/>
      <c r="E27" s="197"/>
      <c r="F27" s="197"/>
      <c r="G27" s="197"/>
    </row>
    <row r="28" spans="2:7" x14ac:dyDescent="0.2">
      <c r="B28" s="197">
        <v>2</v>
      </c>
      <c r="C28" s="197">
        <v>7</v>
      </c>
      <c r="D28" s="197"/>
      <c r="E28" s="197"/>
      <c r="F28" s="197"/>
      <c r="G28" s="197"/>
    </row>
    <row r="29" spans="2:7" x14ac:dyDescent="0.2">
      <c r="B29" s="197">
        <v>2</v>
      </c>
      <c r="C29" s="197">
        <v>8</v>
      </c>
      <c r="D29" s="197"/>
      <c r="E29" s="197"/>
      <c r="F29" s="197"/>
      <c r="G29" s="197"/>
    </row>
    <row r="30" spans="2:7" x14ac:dyDescent="0.2">
      <c r="B30" s="197">
        <v>2</v>
      </c>
      <c r="C30" s="197">
        <v>9</v>
      </c>
      <c r="D30" s="197"/>
      <c r="E30" s="197"/>
      <c r="F30" s="197"/>
      <c r="G30" s="197"/>
    </row>
    <row r="31" spans="2:7" x14ac:dyDescent="0.2">
      <c r="B31" s="197">
        <v>2</v>
      </c>
      <c r="C31" s="197">
        <v>10</v>
      </c>
      <c r="D31" s="197"/>
      <c r="E31" s="197"/>
      <c r="F31" s="197"/>
      <c r="G31" s="197"/>
    </row>
    <row r="32" spans="2:7" x14ac:dyDescent="0.2">
      <c r="B32" s="197">
        <v>2</v>
      </c>
      <c r="C32" s="197">
        <v>11</v>
      </c>
      <c r="D32" s="197"/>
      <c r="E32" s="197"/>
      <c r="F32" s="197"/>
      <c r="G32" s="197"/>
    </row>
    <row r="33" spans="2:7" x14ac:dyDescent="0.2">
      <c r="B33" s="197">
        <v>2</v>
      </c>
      <c r="C33" s="197">
        <v>12</v>
      </c>
      <c r="D33" s="197"/>
      <c r="E33" s="197"/>
      <c r="F33" s="197"/>
      <c r="G33" s="197"/>
    </row>
    <row r="34" spans="2:7" x14ac:dyDescent="0.2">
      <c r="B34" s="197">
        <v>2</v>
      </c>
      <c r="C34" s="197">
        <v>13</v>
      </c>
      <c r="D34" s="197"/>
      <c r="E34" s="197"/>
      <c r="F34" s="197"/>
      <c r="G34" s="197"/>
    </row>
    <row r="35" spans="2:7" x14ac:dyDescent="0.2">
      <c r="B35" s="197">
        <v>2</v>
      </c>
      <c r="C35" s="197">
        <v>14</v>
      </c>
      <c r="D35" s="197"/>
      <c r="E35" s="197"/>
      <c r="F35" s="197"/>
      <c r="G35" s="197"/>
    </row>
    <row r="36" spans="2:7" x14ac:dyDescent="0.2">
      <c r="B36" s="197">
        <v>2</v>
      </c>
      <c r="C36" s="197">
        <v>15</v>
      </c>
      <c r="D36" s="197"/>
      <c r="E36" s="197"/>
      <c r="F36" s="197"/>
      <c r="G36" s="197"/>
    </row>
    <row r="37" spans="2:7" x14ac:dyDescent="0.2">
      <c r="B37" s="197">
        <v>2</v>
      </c>
      <c r="C37" s="197">
        <v>16</v>
      </c>
      <c r="D37" s="197"/>
      <c r="E37" s="197"/>
      <c r="F37" s="197"/>
      <c r="G37" s="197"/>
    </row>
    <row r="38" spans="2:7" x14ac:dyDescent="0.2">
      <c r="B38" s="197">
        <v>3</v>
      </c>
      <c r="C38" s="197">
        <v>1</v>
      </c>
      <c r="D38" s="197"/>
      <c r="E38" s="197"/>
      <c r="F38" s="197"/>
      <c r="G38" s="197"/>
    </row>
    <row r="39" spans="2:7" x14ac:dyDescent="0.2">
      <c r="B39" s="197">
        <v>4</v>
      </c>
      <c r="C39" s="197">
        <v>1</v>
      </c>
      <c r="D39" s="197"/>
      <c r="E39" s="197"/>
      <c r="F39" s="197"/>
      <c r="G39" s="197"/>
    </row>
    <row r="40" spans="2:7" x14ac:dyDescent="0.2">
      <c r="B40" s="197">
        <v>5</v>
      </c>
      <c r="C40" s="197">
        <v>1</v>
      </c>
      <c r="D40" s="197"/>
      <c r="E40" s="197"/>
      <c r="F40" s="197"/>
      <c r="G40" s="19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Original</vt:lpstr>
      <vt:lpstr>Previous2023</vt:lpstr>
      <vt:lpstr>early2023</vt:lpstr>
      <vt:lpstr>current2023</vt:lpstr>
      <vt:lpstr>future2023</vt:lpstr>
      <vt:lpstr>Current ICD</vt:lpstr>
      <vt:lpstr>Log Data</vt:lpstr>
      <vt:lpstr>AlarmTable</vt:lpstr>
      <vt:lpstr>TestStruct</vt:lpstr>
      <vt:lpstr>Cal Data</vt:lpstr>
      <vt:lpstr>Calculations</vt:lpstr>
      <vt:lpstr>Sheet2</vt:lpstr>
      <vt:lpstr>FlowCalc</vt:lpstr>
      <vt:lpstr>PressCalc</vt:lpstr>
      <vt:lpstr>PSI</vt:lpstr>
      <vt:lpstr>LogGui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White</dc:creator>
  <cp:lastModifiedBy>Seminarians</cp:lastModifiedBy>
  <dcterms:created xsi:type="dcterms:W3CDTF">2021-12-16T16:48:53Z</dcterms:created>
  <dcterms:modified xsi:type="dcterms:W3CDTF">2025-01-06T19:04:50Z</dcterms:modified>
</cp:coreProperties>
</file>