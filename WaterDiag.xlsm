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0E209213-AEF5-B740-B6B5-C91824846F57}" xr6:coauthVersionLast="47" xr6:coauthVersionMax="47" xr10:uidLastSave="{00000000-0000-0000-0000-000000000000}"/>
  <bookViews>
    <workbookView xWindow="6060" yWindow="500" windowWidth="39300" windowHeight="19020" activeTab="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armTable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  <sheet name="PSI" sheetId="19" r:id="rId16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9" l="1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I4" i="19" l="1"/>
  <c r="E2" i="19" s="1"/>
  <c r="O27" i="8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E4" i="19" l="1"/>
  <c r="E3" i="19"/>
  <c r="Q58" i="8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<sst xmlns="http://schemas.openxmlformats.org/spreadsheetml/2006/main" count="8602" uniqueCount="1229">
  <si>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</si>
  <si>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</si>
  <si>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</si>
  <si>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</si>
  <si>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</si>
  <si>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</si>
  <si>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</si>
  <si>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</si>
  <si>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</si>
  <si>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</si>
  <si>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</si>
  <si>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</si>
  <si>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</si>
  <si>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</si>
  <si>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</si>
  <si>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</si>
  <si>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</si>
  <si>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</si>
  <si>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</si>
  <si>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</si>
  <si>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</si>
  <si>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</si>
  <si>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</si>
  <si>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</si>
  <si>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</si>
  <si>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</si>
  <si>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</si>
  <si>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</si>
  <si>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</si>
  <si>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</si>
  <si>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</si>
  <si>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</si>
  <si>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</si>
  <si>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</si>
  <si>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</si>
  <si>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</si>
  <si>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</si>
  <si>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</si>
  <si>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</si>
  <si>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</si>
  <si>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</si>
  <si>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</si>
  <si>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</si>
  <si>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</si>
  <si>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</si>
  <si>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</si>
  <si>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</si>
  <si>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</si>
  <si>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</si>
  <si>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</si>
  <si>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</si>
  <si>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</si>
  <si>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</si>
  <si>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</si>
  <si>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</si>
  <si>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</si>
  <si>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</si>
  <si>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</si>
  <si>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</si>
  <si>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</si>
  <si>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</si>
  <si>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</si>
  <si>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</si>
  <si>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</si>
  <si>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</si>
  <si>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</si>
  <si>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</si>
  <si>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</si>
  <si>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</si>
  <si>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</si>
  <si>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</si>
  <si>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</si>
  <si>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</si>
  <si>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</si>
  <si>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</si>
  <si>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</si>
  <si>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</si>
  <si>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</si>
  <si>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</si>
  <si>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</si>
  <si>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</si>
  <si>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</si>
  <si>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</si>
  <si>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</si>
  <si>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</si>
  <si>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</si>
  <si>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</si>
  <si>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</si>
  <si>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</si>
  <si>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</si>
  <si>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</si>
  <si>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</si>
  <si>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</si>
  <si>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</si>
  <si>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</si>
  <si>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</si>
  <si>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</si>
  <si>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</si>
  <si>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</si>
  <si>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</si>
  <si>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</si>
  <si>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</si>
  <si>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</si>
  <si>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</si>
  <si>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</si>
  <si>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</si>
  <si>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</si>
  <si>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</si>
  <si>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</si>
  <si>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</si>
  <si>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</si>
  <si>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</si>
  <si>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</si>
  <si>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</si>
  <si>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</si>
  <si>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</si>
  <si>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</si>
  <si>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</si>
  <si>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</si>
  <si>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</si>
  <si>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</si>
  <si>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</si>
  <si>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</si>
  <si>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</si>
  <si>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</si>
  <si>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</si>
  <si>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</si>
  <si>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</si>
  <si>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</si>
  <si>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</si>
  <si>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</si>
  <si>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</si>
  <si>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</si>
  <si>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</si>
  <si>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</si>
  <si>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</si>
  <si>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</si>
  <si>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</si>
  <si>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</si>
  <si>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</si>
  <si>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</si>
  <si>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</si>
  <si>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</si>
  <si>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</si>
  <si>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</si>
  <si>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</si>
  <si>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</si>
  <si>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</si>
  <si>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</si>
  <si>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</si>
  <si>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</si>
  <si>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</si>
  <si>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</si>
  <si>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</si>
  <si>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</si>
  <si>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</si>
  <si>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</si>
  <si>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</si>
  <si>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</si>
  <si>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</si>
  <si>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</si>
  <si>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</si>
  <si>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</si>
  <si>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</si>
  <si>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</si>
  <si>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</si>
  <si>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</si>
  <si>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</si>
  <si>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</si>
  <si>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</si>
  <si>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</si>
  <si>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</si>
  <si>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</si>
  <si>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</si>
  <si>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</si>
  <si>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</si>
  <si>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</si>
  <si>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</si>
  <si>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</si>
  <si>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</si>
  <si>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</si>
  <si>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</si>
  <si>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</si>
  <si>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</si>
  <si>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</si>
  <si>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</si>
  <si>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</si>
  <si>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</si>
  <si>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</si>
  <si>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</si>
  <si>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</si>
  <si>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</si>
  <si>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</si>
  <si>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</si>
  <si>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</si>
  <si>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</si>
  <si>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</si>
  <si>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</si>
  <si>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</si>
  <si>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</si>
  <si>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</si>
  <si>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</si>
  <si>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</si>
  <si>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</si>
  <si>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</si>
  <si>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</si>
  <si>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</si>
  <si>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</si>
  <si>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</si>
  <si>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</si>
  <si>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</si>
  <si>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</si>
  <si>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</si>
  <si>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</si>
  <si>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</si>
  <si>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</si>
  <si>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</si>
  <si>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</si>
  <si>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</si>
  <si>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</si>
  <si>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</si>
  <si>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</si>
  <si>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</si>
  <si>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</si>
  <si>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</si>
  <si>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</si>
  <si>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</si>
  <si>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</si>
  <si>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</si>
  <si>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</si>
  <si>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</si>
  <si>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</si>
  <si>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</si>
  <si>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Water Well Pumps Failed to Start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</si>
  <si>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</si>
  <si>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</si>
  <si>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</si>
  <si>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</si>
  <si>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</si>
  <si>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</si>
  <si>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</si>
  <si>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Well 3 Pump Running with No Flow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</si>
  <si>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</si>
  <si>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</si>
  <si>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</si>
  <si>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</si>
  <si>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</si>
  <si>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</si>
  <si>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</si>
  <si>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</si>
  <si>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</si>
  <si>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</si>
  <si>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</si>
  <si>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</si>
  <si>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</si>
  <si>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</si>
  <si>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</si>
  <si>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</si>
  <si>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</si>
  <si>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</si>
  <si>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</si>
  <si>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</si>
  <si>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</si>
  <si>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</si>
  <si>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</si>
  <si>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</si>
  <si>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</si>
  <si>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</si>
  <si>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</si>
  <si>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</si>
  <si>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</si>
  <si>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</si>
  <si>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</si>
  <si>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</si>
  <si>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</si>
  <si>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</si>
  <si>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</si>
  <si>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</si>
  <si>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</si>
  <si>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</si>
  <si>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</si>
  <si>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</si>
  <si>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</si>
  <si>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</si>
  <si>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</si>
  <si>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</si>
  <si>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</si>
  <si>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</si>
  <si>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</si>
  <si>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</si>
  <si>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</si>
  <si>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</si>
  <si>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</si>
  <si>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</si>
  <si>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</si>
  <si>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</si>
  <si>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</si>
  <si>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</si>
  <si>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</si>
  <si>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</si>
  <si>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</si>
  <si>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</si>
  <si>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</si>
  <si>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</si>
  <si>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</si>
  <si>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</si>
  <si>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</si>
  <si>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</si>
  <si>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</si>
  <si>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</si>
  <si>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</si>
  <si>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</si>
  <si>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</si>
  <si>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</si>
  <si>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</si>
  <si>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</si>
  <si>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</si>
  <si>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</si>
  <si>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</si>
  <si>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</si>
  <si>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</si>
  <si>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</si>
  <si>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</si>
  <si>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</si>
  <si>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</si>
  <si>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</si>
  <si>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</si>
  <si>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</si>
  <si>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</si>
  <si>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</si>
  <si>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</si>
  <si>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</si>
  <si>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</si>
  <si>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</si>
  <si>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</si>
  <si>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</si>
  <si>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</si>
  <si>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</si>
  <si>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</si>
  <si>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</si>
  <si>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</si>
  <si>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</si>
  <si>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</si>
  <si>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</si>
  <si>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</si>
  <si>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</si>
  <si>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</si>
  <si>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</si>
  <si>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</si>
  <si>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</si>
  <si>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</si>
  <si>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</si>
  <si>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</si>
  <si>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</si>
  <si>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</si>
  <si>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</si>
  <si>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</si>
  <si>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</si>
  <si>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</si>
  <si>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</si>
  <si>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</si>
  <si>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</si>
  <si>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</si>
  <si>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</si>
  <si>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</si>
  <si>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</si>
  <si>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</si>
  <si>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</si>
  <si>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</si>
  <si>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</si>
  <si>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</si>
  <si>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</si>
  <si>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</si>
  <si>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</si>
  <si>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</si>
  <si>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</si>
  <si>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</si>
  <si>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</si>
  <si>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</si>
  <si>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</si>
  <si>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</si>
  <si>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</si>
  <si>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</si>
  <si>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</si>
  <si>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</si>
  <si>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</si>
  <si>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</si>
  <si>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</si>
  <si>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</si>
  <si>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</si>
  <si>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</si>
  <si>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</si>
  <si>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</si>
  <si>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</si>
  <si>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</si>
  <si>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</si>
  <si>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</si>
  <si>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</si>
  <si>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</si>
  <si>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</si>
  <si>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</si>
  <si>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</si>
  <si>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</si>
  <si>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</si>
  <si>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</si>
  <si>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</si>
  <si>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</si>
  <si>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</si>
  <si>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</si>
  <si>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</si>
  <si>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</si>
  <si>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</si>
  <si>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</si>
  <si>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</si>
  <si>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</si>
  <si>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</si>
  <si>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</si>
  <si>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</si>
  <si>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</si>
  <si>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</si>
  <si>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</si>
  <si>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</si>
  <si>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</si>
  <si>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</si>
  <si>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</si>
  <si>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</si>
  <si>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</si>
  <si>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</si>
  <si>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</si>
  <si>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</si>
  <si>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</si>
  <si>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</si>
  <si>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</si>
  <si>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</si>
  <si>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</si>
  <si>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</si>
  <si>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</si>
  <si>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</si>
  <si>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</si>
  <si>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</si>
  <si>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</si>
  <si>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</si>
  <si>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</si>
  <si>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</si>
  <si>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</si>
  <si>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</si>
  <si>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</si>
  <si>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</si>
  <si>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</si>
  <si>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</si>
  <si>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</si>
  <si>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</si>
  <si>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</si>
  <si>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</si>
  <si>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</si>
  <si>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</si>
  <si>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</si>
  <si>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</si>
  <si>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</si>
  <si>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</si>
  <si>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</si>
  <si>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</si>
  <si>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</si>
  <si>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</si>
  <si>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</si>
  <si>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</si>
  <si>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</si>
  <si>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</si>
  <si>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</si>
  <si>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</si>
  <si>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</si>
  <si>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</si>
  <si>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</si>
  <si>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</si>
  <si>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</si>
  <si>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</si>
  <si>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</si>
  <si>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</si>
  <si>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</si>
  <si>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</si>
  <si>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</si>
  <si>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</si>
  <si>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</si>
  <si>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</si>
  <si>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</si>
  <si>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</si>
  <si>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</si>
  <si>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</si>
  <si>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</si>
  <si>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</si>
  <si>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</si>
  <si>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</si>
  <si>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</si>
  <si>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</si>
  <si>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</si>
  <si>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</si>
  <si>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</si>
  <si>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</si>
  <si>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</si>
  <si>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</si>
  <si>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</si>
  <si>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</si>
  <si>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</si>
  <si>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</si>
  <si>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</si>
  <si>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</si>
  <si>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</si>
  <si>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</si>
  <si>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</si>
  <si>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</si>
  <si>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</si>
  <si>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</si>
  <si>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</si>
  <si>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</si>
  <si>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</si>
  <si>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</si>
  <si>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</si>
  <si>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</si>
  <si>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</si>
  <si>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</si>
  <si>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</si>
  <si>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</si>
  <si>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</si>
  <si>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</si>
  <si>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</si>
  <si>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</si>
  <si>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</si>
  <si>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</si>
  <si>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</si>
  <si>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</si>
  <si>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</si>
  <si>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</si>
  <si>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</si>
  <si>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</si>
  <si>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</si>
  <si>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</si>
  <si>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</si>
  <si>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</si>
  <si>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</si>
  <si>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</si>
  <si>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</si>
  <si>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</si>
  <si>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</si>
  <si>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</si>
  <si>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</si>
  <si>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</si>
  <si>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</si>
  <si>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</si>
  <si>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</si>
  <si>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</si>
  <si>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</si>
  <si>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</si>
  <si>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</si>
  <si>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</si>
  <si>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</si>
  <si>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</si>
  <si>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</si>
  <si>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</si>
  <si>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</si>
  <si>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</si>
  <si>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</si>
  <si>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</si>
  <si>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</si>
  <si>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</si>
  <si>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</si>
  <si>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</si>
  <si>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</si>
  <si>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</si>
  <si>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</si>
  <si>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</si>
  <si>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</si>
  <si>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</si>
  <si>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</si>
  <si>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</si>
  <si>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</si>
  <si>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</si>
  <si>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</si>
  <si>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</si>
  <si>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</si>
  <si>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</si>
  <si>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</si>
  <si>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</si>
  <si>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</si>
  <si>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</si>
  <si>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</si>
  <si>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</si>
  <si>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</si>
  <si>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</si>
  <si>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</si>
  <si>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</si>
  <si>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</si>
  <si>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</si>
  <si>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</si>
  <si>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</si>
  <si>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</si>
  <si>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</si>
  <si>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</si>
  <si>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</si>
  <si>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</si>
  <si>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</si>
  <si>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</si>
  <si>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</si>
  <si>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</si>
  <si>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</si>
  <si>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</si>
  <si>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</si>
  <si>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</si>
  <si>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</si>
  <si>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</si>
  <si>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</si>
  <si>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</si>
  <si>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</si>
  <si>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</si>
  <si>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</si>
  <si>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</si>
  <si>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</si>
  <si>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</si>
  <si>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</si>
  <si>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</si>
  <si>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</si>
  <si>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</si>
  <si>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</si>
  <si>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</si>
  <si>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</si>
  <si>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</si>
  <si>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</si>
  <si>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</si>
  <si>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</si>
  <si>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</si>
  <si>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</si>
  <si>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</si>
  <si>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</si>
  <si>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</si>
  <si>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</si>
  <si>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</si>
  <si>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</si>
  <si>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</si>
  <si>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</si>
  <si>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</si>
  <si>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</si>
  <si>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</si>
  <si>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</si>
  <si>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</si>
  <si>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</si>
  <si>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</si>
  <si>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</si>
  <si>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</si>
  <si>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</si>
  <si>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</si>
  <si>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</si>
  <si>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</si>
  <si>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</si>
  <si>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</si>
  <si>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</si>
  <si>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</si>
  <si>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</si>
  <si>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</si>
  <si>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</si>
  <si>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</si>
  <si>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</si>
  <si>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</si>
  <si>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</si>
  <si>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</si>
  <si>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</si>
  <si>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</si>
  <si>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</si>
  <si>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</si>
  <si>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</si>
  <si>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</si>
  <si>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</si>
  <si>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</si>
  <si>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</si>
  <si>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</si>
  <si>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</si>
  <si>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</si>
  <si>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</si>
  <si>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</si>
  <si>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</si>
  <si>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</si>
  <si>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</si>
  <si>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</si>
  <si>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</si>
  <si>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</si>
  <si>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</si>
  <si>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</si>
  <si>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</si>
  <si>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</si>
  <si>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</si>
  <si>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</si>
  <si>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</si>
  <si>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</si>
  <si>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</si>
  <si>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</si>
  <si>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</si>
  <si>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</si>
  <si>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</si>
  <si>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</si>
  <si>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</si>
  <si>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</si>
  <si>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</si>
  <si>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</si>
  <si>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</si>
  <si>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</si>
  <si>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</si>
  <si>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</si>
  <si>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</si>
  <si>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</si>
  <si>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</si>
  <si>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</si>
  <si>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</si>
  <si>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</si>
  <si>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</si>
  <si>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</si>
  <si>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</si>
  <si>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</si>
  <si>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</si>
  <si>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</si>
  <si>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</si>
  <si>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</si>
  <si>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</si>
  <si>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</si>
  <si>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</si>
  <si>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</si>
  <si>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</si>
  <si>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</si>
  <si>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</si>
  <si>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</si>
  <si>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</si>
  <si>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</si>
  <si>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</si>
  <si>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</si>
  <si>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</si>
  <si>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</si>
  <si>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</si>
  <si>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</si>
  <si>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</si>
  <si>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</si>
  <si>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</si>
  <si>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</si>
  <si>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</si>
  <si>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</si>
  <si>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</si>
  <si>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</si>
  <si>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</si>
  <si>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</si>
  <si>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</si>
  <si>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</si>
  <si>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</si>
  <si>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</si>
  <si>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</si>
  <si>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</si>
  <si>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</si>
  <si>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</si>
  <si>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</si>
  <si>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</si>
  <si>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</si>
  <si>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</si>
  <si>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</si>
  <si>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</si>
  <si>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</si>
  <si>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</si>
  <si>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</si>
  <si>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</si>
  <si>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</si>
  <si>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</si>
  <si>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</si>
  <si>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</si>
  <si>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</si>
  <si>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</si>
  <si>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</si>
  <si>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</si>
  <si>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</si>
  <si>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</si>
  <si>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</si>
  <si>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</si>
  <si>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</si>
  <si>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</si>
  <si>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</si>
  <si>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</si>
  <si>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</si>
  <si>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</si>
  <si>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</si>
  <si>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</si>
  <si>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</si>
  <si>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</si>
  <si>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</si>
  <si>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</si>
  <si>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</si>
  <si>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</si>
  <si>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</si>
  <si>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</si>
  <si>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</si>
  <si>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</si>
  <si>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</si>
  <si>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</si>
  <si>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</si>
  <si>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</si>
  <si>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</si>
  <si>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</si>
  <si>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</si>
  <si>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</si>
  <si>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</si>
  <si>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</si>
  <si>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</si>
  <si>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</si>
  <si>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</si>
  <si>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</si>
  <si>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</si>
  <si>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</si>
  <si>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</si>
  <si>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</si>
  <si>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</si>
  <si>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</si>
  <si>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</si>
  <si>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</si>
  <si>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</si>
  <si>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</si>
  <si>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</si>
  <si>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</si>
  <si>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</si>
  <si>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</si>
  <si>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</si>
  <si>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</si>
  <si>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</si>
  <si>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</si>
  <si>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</si>
  <si>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</si>
  <si>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</si>
  <si>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</si>
  <si>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</si>
  <si>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</si>
  <si>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</si>
  <si>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</si>
  <si>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</si>
  <si>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</si>
  <si>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</si>
  <si>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</si>
  <si>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</si>
  <si>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</si>
  <si>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</si>
  <si>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</si>
  <si>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</si>
  <si>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</si>
  <si>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</si>
  <si>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</si>
  <si>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</si>
  <si>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</si>
  <si>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</si>
  <si>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</si>
  <si>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</si>
  <si>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</si>
  <si>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</si>
  <si>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</si>
  <si>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</si>
  <si>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</si>
  <si>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</si>
  <si>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</si>
  <si>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</si>
  <si>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</si>
  <si>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</si>
  <si>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</si>
  <si>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</si>
  <si>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</si>
  <si>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</si>
  <si>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</si>
  <si>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</si>
  <si>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</si>
  <si>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</si>
  <si>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</si>
  <si>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</si>
  <si>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</si>
  <si>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</si>
  <si>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</si>
  <si>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</si>
  <si>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</si>
  <si>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</si>
  <si>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</si>
  <si>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</si>
  <si>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</si>
  <si>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</si>
  <si>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</si>
  <si>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</si>
  <si>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</si>
  <si>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</si>
  <si>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</si>
  <si>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</si>
  <si>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</si>
  <si>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</si>
  <si>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</si>
  <si>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</si>
  <si>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</si>
  <si>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</si>
  <si>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</si>
  <si>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</si>
  <si>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</si>
  <si>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</si>
  <si>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</si>
  <si>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</si>
  <si>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</si>
  <si>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</si>
  <si>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</si>
  <si>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</si>
  <si>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</si>
  <si>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</si>
  <si>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</si>
  <si>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</si>
  <si>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</si>
  <si>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</si>
  <si>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</si>
  <si>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</si>
  <si>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</si>
  <si>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</si>
  <si>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</si>
  <si>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</si>
  <si>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</si>
  <si>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</si>
  <si>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</si>
  <si>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</si>
  <si>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</si>
  <si>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</si>
  <si>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</si>
  <si>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</si>
  <si>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</si>
  <si>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</si>
  <si>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</si>
  <si>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</si>
  <si>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</si>
  <si>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</si>
  <si>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</si>
  <si>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</si>
  <si>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</si>
  <si>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</si>
  <si>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</si>
  <si>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</si>
  <si>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</si>
  <si>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</si>
  <si>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</si>
  <si>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</si>
  <si>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</si>
  <si>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</si>
  <si>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</si>
  <si>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</si>
  <si>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</si>
  <si>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</si>
  <si>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</si>
  <si>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</si>
  <si>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</si>
  <si>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</si>
  <si>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</si>
  <si>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</si>
  <si>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</si>
  <si>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</si>
  <si>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</si>
  <si>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</si>
  <si>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</si>
  <si>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</si>
  <si>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</si>
  <si>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</si>
  <si>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</si>
  <si>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</si>
  <si>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</si>
  <si>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</si>
  <si>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</si>
  <si>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</si>
  <si>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</si>
  <si>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</si>
  <si>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</si>
  <si>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</si>
  <si>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</si>
  <si>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</si>
  <si>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</si>
  <si>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</si>
  <si>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</si>
  <si>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</si>
  <si>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</si>
  <si>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</si>
  <si>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</si>
  <si>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</si>
  <si>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</si>
  <si>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</si>
  <si>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</si>
  <si>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</si>
  <si>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</si>
  <si>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</si>
  <si>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</si>
  <si>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</si>
  <si>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</si>
  <si>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</si>
  <si>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</si>
  <si>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</si>
  <si>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</si>
  <si>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</si>
  <si>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</si>
  <si>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</si>
  <si>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</si>
  <si>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</si>
  <si>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</si>
  <si>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</si>
  <si>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</si>
  <si>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</si>
  <si>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</si>
  <si>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</si>
  <si>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</si>
  <si>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</si>
  <si>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irrigationMon_.irrigation.PumpTemp</t>
  </si>
  <si>
    <t>House Supply Temp Low</t>
  </si>
  <si>
    <t>Irrigation Water Pressure Low</t>
  </si>
  <si>
    <t>tankMon_.tank.tank_gallons</t>
  </si>
  <si>
    <t>CONDITION_GREATER_THAN</t>
  </si>
  <si>
    <t>tankMon_.tank.tank_gallons_per_minute</t>
  </si>
  <si>
    <t>Water Well #3 Pump ON but Flow is Less Than 2 Gal per Minute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</si>
  <si>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</si>
  <si>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</si>
  <si>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</si>
  <si>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</si>
  <si>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monitor_.monitor.pump_run_time_2</t>
  </si>
  <si>
    <t>monitor_.monitor.pump_run_time_3</t>
  </si>
  <si>
    <t>monitor_.monitor.pump_run_time_4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</si>
  <si>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</si>
  <si>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</si>
  <si>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</si>
  <si>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</si>
  <si>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</si>
  <si>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</si>
  <si>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</si>
  <si>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</si>
  <si>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</si>
  <si>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</si>
  <si>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</si>
  <si>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</si>
  <si>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</si>
  <si>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</si>
  <si>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</si>
  <si>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</si>
  <si>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</si>
  <si>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</si>
  <si>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</si>
  <si>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</si>
  <si>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</si>
  <si>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</si>
  <si>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</si>
  <si>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</si>
  <si>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</si>
  <si>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</si>
  <si>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</si>
  <si>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</si>
  <si>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</si>
  <si>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</si>
  <si>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</si>
  <si>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</si>
  <si>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</si>
  <si>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</si>
  <si>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</si>
  <si>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</si>
  <si>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</si>
  <si>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</si>
  <si>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</si>
  <si>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</si>
  <si>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</si>
  <si>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</si>
  <si>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</si>
  <si>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</si>
  <si>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</si>
  <si>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</si>
  <si>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</si>
  <si>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</si>
  <si>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</si>
  <si>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</si>
  <si>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</si>
  <si>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</si>
  <si>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</si>
  <si>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</si>
  <si>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</si>
  <si>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</si>
  <si>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</si>
  <si>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</si>
  <si>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</si>
  <si>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</si>
  <si>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</si>
  <si>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</si>
  <si>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</si>
  <si>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</si>
  <si>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</si>
  <si>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</si>
  <si>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</si>
  <si>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</si>
  <si>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</si>
  <si>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</si>
  <si>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</si>
  <si>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</si>
  <si>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</si>
  <si>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</si>
  <si>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</si>
  <si>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</si>
  <si>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</si>
  <si>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</si>
  <si>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</si>
  <si>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</si>
  <si>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</si>
  <si>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</si>
  <si>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</si>
  <si>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</si>
  <si>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</si>
  <si>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</si>
  <si>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</si>
  <si>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</si>
  <si>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</si>
  <si>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</si>
  <si>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</si>
  <si>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</si>
  <si>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</si>
  <si>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</si>
  <si>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</si>
  <si>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</si>
  <si>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</si>
  <si>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</si>
  <si>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</si>
  <si>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</si>
  <si>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</si>
  <si>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</si>
  <si>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houseMon_.house .housePressure</t>
  </si>
  <si>
    <t>irrigationMon_.irrigation.Pressure</t>
  </si>
  <si>
    <t>irrigationMon_.irrigation.FlowPerMin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</si>
  <si>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</si>
  <si>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</si>
  <si>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</si>
  <si>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</si>
  <si>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</si>
  <si>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</si>
  <si>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</si>
  <si>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</si>
  <si>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</si>
  <si>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Alert1</t>
  </si>
  <si>
    <t xml:space="preserve">Alert2 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</si>
  <si>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</si>
  <si>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</si>
  <si>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</si>
  <si>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</si>
  <si>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</si>
  <si>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</si>
  <si>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</si>
  <si>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</si>
  <si>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</si>
  <si>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</si>
  <si>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</si>
  <si>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</si>
  <si>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</si>
  <si>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</si>
  <si>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</si>
  <si>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</si>
  <si>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</si>
  <si>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</si>
  <si>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</si>
  <si>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</si>
  <si>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</si>
  <si>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</si>
  <si>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</si>
  <si>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</si>
  <si>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</si>
  <si>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</si>
  <si>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</si>
  <si>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</si>
  <si>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</si>
  <si>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</si>
  <si>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</si>
  <si>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</si>
  <si>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</si>
  <si>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</si>
  <si>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</si>
  <si>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</si>
  <si>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</si>
  <si>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Alert40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</si>
  <si>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</si>
  <si>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</si>
  <si>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</si>
  <si>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</si>
  <si>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</si>
  <si>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</si>
  <si>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</si>
  <si>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</si>
  <si>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</si>
  <si>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</si>
  <si>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</si>
  <si>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</si>
  <si>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</si>
  <si>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</si>
  <si>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</si>
  <si>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</si>
  <si>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</si>
  <si>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</si>
  <si>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</si>
  <si>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Alert 40</t>
  </si>
  <si>
    <t>Label</t>
  </si>
  <si>
    <t>Event Message</t>
  </si>
  <si>
    <t>Well 1 Not Starting</t>
  </si>
  <si>
    <t>Well 2 Not Starting</t>
  </si>
  <si>
    <t>Well 3 Not Starting</t>
  </si>
  <si>
    <t>Well 1 Runtime Exceeded</t>
  </si>
  <si>
    <t>Well 1 Cycles Excessive</t>
  </si>
  <si>
    <t>Well 2 Runtime Exceeded</t>
  </si>
  <si>
    <t>Well 2 Cycles Excessive</t>
  </si>
  <si>
    <t>Well 3 Runtime Exceeded</t>
  </si>
  <si>
    <t>Well 3 Cycles Excessive</t>
  </si>
  <si>
    <t>Irrigation Runtime Exceeded</t>
  </si>
  <si>
    <t>Irrigation Cycles Excessive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</si>
  <si>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</si>
  <si>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</si>
  <si>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</si>
  <si>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</si>
  <si>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</si>
  <si>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</si>
  <si>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</si>
  <si>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</si>
  <si>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</si>
  <si>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</si>
  <si>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</si>
  <si>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</si>
  <si>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</si>
  <si>
    <t>adc</t>
  </si>
  <si>
    <t>psi</t>
  </si>
  <si>
    <t>voltage</t>
  </si>
  <si>
    <t>pressurePSI</t>
  </si>
  <si>
    <t>temperatureF</t>
  </si>
  <si>
    <t>gallonsMinute</t>
  </si>
  <si>
    <t>gallonsDay</t>
  </si>
  <si>
    <t>controller</t>
  </si>
  <si>
    <t>zone</t>
  </si>
  <si>
    <t>cycleCount</t>
  </si>
  <si>
    <t>fwVersion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</si>
</sst>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5" borderId="0" xfId="0" applyFont="1" applyFill="1" applyAlignment="1">
      <alignment horizont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18" fillId="0" borderId="0" xfId="0" applyFont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8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PSI!$B$12</c:f>
              <c:strCache>
                <c:ptCount val="1"/>
                <c:pt idx="0">
                  <c:v>pressure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PSI!$A$13:$A$17</c:f>
              <c:numCache>
                <c:formatCode>General</c:formatCode>
                <c:ptCount val="5"/>
                <c:pt idx="0">
                  <c:v>505</c:v>
                </c:pt>
                <c:pt idx="1">
                  <c:v>482</c:v>
                </c:pt>
                <c:pt idx="2">
                  <c:v>460</c:v>
                </c:pt>
                <c:pt idx="3">
                  <c:v>454</c:v>
                </c:pt>
                <c:pt idx="4">
                  <c:v>422</c:v>
                </c:pt>
              </c:numCache>
            </c:numRef>
          </c:xVal>
          <c:yVal>
            <c:numRef>
              <c:f>PSI!$B$13:$B$17</c:f>
              <c:numCache>
                <c:formatCode>General</c:formatCode>
                <c:ptCount val="5"/>
                <c:pt idx="0">
                  <c:v>63</c:v>
                </c:pt>
                <c:pt idx="1">
                  <c:v>59</c:v>
                </c:pt>
                <c:pt idx="2">
                  <c:v>56</c:v>
                </c:pt>
                <c:pt idx="3">
                  <c:v>55</c:v>
                </c:pt>
                <c:pt idx="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5-4146-A2B0-301D2963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470768"/>
        <c:axId val="428446640"/>
      </c:scatterChart>
      <c:valAx>
        <c:axId val="779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46640"/>
        <c:crosses val="autoZero"/>
        <c:crossBetween val="midCat"/>
      </c:valAx>
      <c:valAx>
        <c:axId val="4284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336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4</xdr:row>
      <xdr:rowOff>190500</xdr:rowOff>
    </xdr:from>
    <xdr:to>
      <xdr:col>17</xdr:col>
      <xdr:colOff>241300</xdr:colOff>
      <xdr:row>27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3A441-C430-7D4D-B261-74271B433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429</v>
      </c>
      <c r="D99" s="20" t="s">
        <v>304</v>
      </c>
      <c r="J99" s="20" t="s">
        <v>300</v>
      </c>
      <c r="N99" s="26" t="s">
        <v>424</v>
      </c>
    </row>
    <row r="100" spans="1:15" x14ac:dyDescent="0.2">
      <c r="A100" t="s">
        <v>344</v>
      </c>
      <c r="D100" s="25" t="s">
        <v>384</v>
      </c>
      <c r="E100" s="25" t="s">
        <v>437</v>
      </c>
      <c r="J100" s="25" t="s">
        <v>443</v>
      </c>
      <c r="K100" s="25" t="s">
        <v>394</v>
      </c>
      <c r="M100" t="s">
        <v>416</v>
      </c>
    </row>
    <row r="101" spans="1:15" x14ac:dyDescent="0.2">
      <c r="A101" t="s">
        <v>208</v>
      </c>
      <c r="B101" t="s">
        <v>326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A102" t="s">
        <v>208</v>
      </c>
      <c r="B102" t="s">
        <v>327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A103" t="s">
        <v>208</v>
      </c>
      <c r="B103" t="s">
        <v>328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A104" t="s">
        <v>208</v>
      </c>
      <c r="B104" t="s">
        <v>329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208</v>
      </c>
      <c r="B105" t="s">
        <v>296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297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317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318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319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332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333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334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290</v>
      </c>
      <c r="C113" t="s">
        <v>206</v>
      </c>
      <c r="D113" s="3" t="s">
        <v>58</v>
      </c>
      <c r="E113" s="6" t="s">
        <v>445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335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336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337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338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330</v>
      </c>
      <c r="C118" t="s">
        <v>206</v>
      </c>
      <c r="D118" s="3" t="s">
        <v>63</v>
      </c>
      <c r="E118" s="6" t="s">
        <v>345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331</v>
      </c>
      <c r="C119" t="s">
        <v>206</v>
      </c>
      <c r="D119" s="3" t="s">
        <v>64</v>
      </c>
      <c r="E119" s="6" t="s">
        <v>346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339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289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325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304</v>
      </c>
      <c r="J99" s="20" t="s">
        <v>300</v>
      </c>
      <c r="N99" s="26" t="s">
        <v>424</v>
      </c>
    </row>
    <row r="100" spans="1:15" x14ac:dyDescent="0.2">
      <c r="D100" s="25" t="s">
        <v>712</v>
      </c>
      <c r="E100" s="25" t="s">
        <v>717</v>
      </c>
      <c r="J100" s="25" t="s">
        <v>443</v>
      </c>
      <c r="K100" s="25" t="s">
        <v>394</v>
      </c>
      <c r="M100" t="s">
        <v>416</v>
      </c>
    </row>
    <row r="101" spans="1:15" x14ac:dyDescent="0.2">
      <c r="D101" s="25" t="s">
        <v>347</v>
      </c>
      <c r="E101" s="25" t="s">
        <v>718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D102" s="25" t="s">
        <v>710</v>
      </c>
      <c r="E102" s="25" t="s">
        <v>719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D103" s="25" t="s">
        <v>711</v>
      </c>
      <c r="E103" s="25" t="s">
        <v>720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B104" s="26" t="s">
        <v>429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344</v>
      </c>
      <c r="D105" s="3" t="s">
        <v>47</v>
      </c>
      <c r="E105" s="6" t="s">
        <v>108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326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327</v>
      </c>
      <c r="C107" t="s">
        <v>206</v>
      </c>
      <c r="D107" s="3" t="s">
        <v>49</v>
      </c>
      <c r="E107" s="6" t="s">
        <v>713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328</v>
      </c>
      <c r="C108" t="s">
        <v>206</v>
      </c>
      <c r="D108" s="3" t="s">
        <v>50</v>
      </c>
      <c r="E108" s="6" t="s">
        <v>716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714</v>
      </c>
      <c r="C109" t="s">
        <v>206</v>
      </c>
      <c r="D109" s="3" t="s">
        <v>51</v>
      </c>
      <c r="E109" s="6" t="s">
        <v>706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715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709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707</v>
      </c>
      <c r="C112" t="s">
        <v>206</v>
      </c>
      <c r="D112" s="3" t="s">
        <v>54</v>
      </c>
      <c r="E112" s="6" t="s">
        <v>445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708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290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289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325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777</v>
      </c>
      <c r="H1">
        <v>0</v>
      </c>
      <c r="I1" t="s">
        <v>712</v>
      </c>
      <c r="L1" t="s">
        <v>717</v>
      </c>
    </row>
    <row r="2" spans="1:12" x14ac:dyDescent="0.2">
      <c r="A2" t="s">
        <v>774</v>
      </c>
      <c r="B2" t="s">
        <v>780</v>
      </c>
      <c r="C2" t="s">
        <v>326</v>
      </c>
      <c r="D2" t="s">
        <v>775</v>
      </c>
      <c r="H2">
        <v>1</v>
      </c>
      <c r="I2" t="s">
        <v>347</v>
      </c>
      <c r="L2" t="s">
        <v>718</v>
      </c>
    </row>
    <row r="3" spans="1:12" x14ac:dyDescent="0.2">
      <c r="A3" t="s">
        <v>774</v>
      </c>
      <c r="B3" t="s">
        <v>780</v>
      </c>
      <c r="C3" t="s">
        <v>327</v>
      </c>
      <c r="D3" t="s">
        <v>775</v>
      </c>
      <c r="H3">
        <v>2</v>
      </c>
      <c r="I3" t="s">
        <v>710</v>
      </c>
      <c r="L3" t="s">
        <v>719</v>
      </c>
    </row>
    <row r="4" spans="1:12" x14ac:dyDescent="0.2">
      <c r="A4" t="s">
        <v>774</v>
      </c>
      <c r="B4" t="s">
        <v>780</v>
      </c>
      <c r="C4" t="s">
        <v>328</v>
      </c>
      <c r="D4" t="s">
        <v>775</v>
      </c>
      <c r="H4">
        <v>3</v>
      </c>
      <c r="I4" t="s">
        <v>711</v>
      </c>
      <c r="L4" t="s">
        <v>720</v>
      </c>
    </row>
    <row r="5" spans="1:12" x14ac:dyDescent="0.2">
      <c r="A5" t="s">
        <v>774</v>
      </c>
      <c r="B5" t="s">
        <v>780</v>
      </c>
      <c r="C5" t="s">
        <v>714</v>
      </c>
      <c r="D5" t="s">
        <v>775</v>
      </c>
      <c r="H5">
        <v>4</v>
      </c>
      <c r="I5" t="s">
        <v>348</v>
      </c>
      <c r="L5" t="s">
        <v>436</v>
      </c>
    </row>
    <row r="6" spans="1:12" x14ac:dyDescent="0.2">
      <c r="A6" t="s">
        <v>774</v>
      </c>
      <c r="B6" t="s">
        <v>780</v>
      </c>
      <c r="C6" t="s">
        <v>715</v>
      </c>
      <c r="D6" t="s">
        <v>775</v>
      </c>
      <c r="H6">
        <v>5</v>
      </c>
      <c r="I6" t="s">
        <v>386</v>
      </c>
      <c r="L6" t="s">
        <v>392</v>
      </c>
    </row>
    <row r="7" spans="1:12" x14ac:dyDescent="0.2">
      <c r="A7" t="s">
        <v>774</v>
      </c>
      <c r="B7" t="s">
        <v>780</v>
      </c>
      <c r="C7" t="s">
        <v>709</v>
      </c>
      <c r="D7" t="s">
        <v>775</v>
      </c>
      <c r="H7">
        <v>6</v>
      </c>
      <c r="I7" t="s">
        <v>385</v>
      </c>
      <c r="L7" t="s">
        <v>393</v>
      </c>
    </row>
    <row r="8" spans="1:12" x14ac:dyDescent="0.2">
      <c r="A8" t="s">
        <v>774</v>
      </c>
      <c r="B8" t="s">
        <v>780</v>
      </c>
      <c r="C8" t="s">
        <v>707</v>
      </c>
      <c r="D8" t="s">
        <v>775</v>
      </c>
      <c r="H8">
        <v>7</v>
      </c>
      <c r="I8" t="s">
        <v>444</v>
      </c>
      <c r="L8" t="s">
        <v>394</v>
      </c>
    </row>
    <row r="9" spans="1:12" x14ac:dyDescent="0.2">
      <c r="A9" t="s">
        <v>774</v>
      </c>
      <c r="B9" t="s">
        <v>780</v>
      </c>
      <c r="C9" t="s">
        <v>708</v>
      </c>
      <c r="D9" t="s">
        <v>775</v>
      </c>
      <c r="H9">
        <v>8</v>
      </c>
      <c r="I9" t="s">
        <v>388</v>
      </c>
      <c r="L9" t="s">
        <v>395</v>
      </c>
    </row>
    <row r="10" spans="1:12" x14ac:dyDescent="0.2">
      <c r="A10" t="s">
        <v>774</v>
      </c>
      <c r="B10" t="s">
        <v>780</v>
      </c>
      <c r="C10" t="s">
        <v>290</v>
      </c>
      <c r="D10" t="s">
        <v>775</v>
      </c>
      <c r="H10">
        <v>9</v>
      </c>
      <c r="I10" t="s">
        <v>387</v>
      </c>
      <c r="L10" t="s">
        <v>396</v>
      </c>
    </row>
    <row r="11" spans="1:12" x14ac:dyDescent="0.2">
      <c r="A11" t="s">
        <v>774</v>
      </c>
      <c r="B11" t="s">
        <v>780</v>
      </c>
      <c r="C11" t="s">
        <v>289</v>
      </c>
      <c r="D11" t="s">
        <v>781</v>
      </c>
      <c r="H11">
        <v>10</v>
      </c>
      <c r="I11" t="s">
        <v>728</v>
      </c>
      <c r="L11" t="s">
        <v>729</v>
      </c>
    </row>
    <row r="12" spans="1:12" x14ac:dyDescent="0.2">
      <c r="C12" s="26" t="s">
        <v>427</v>
      </c>
    </row>
    <row r="13" spans="1:12" x14ac:dyDescent="0.2">
      <c r="A13" t="s">
        <v>774</v>
      </c>
      <c r="B13" t="s">
        <v>776</v>
      </c>
      <c r="C13" t="s">
        <v>326</v>
      </c>
      <c r="D13" t="s">
        <v>775</v>
      </c>
    </row>
    <row r="14" spans="1:12" x14ac:dyDescent="0.2">
      <c r="A14" t="s">
        <v>774</v>
      </c>
      <c r="B14" t="s">
        <v>776</v>
      </c>
      <c r="C14" t="s">
        <v>327</v>
      </c>
      <c r="D14" t="s">
        <v>775</v>
      </c>
    </row>
    <row r="15" spans="1:12" x14ac:dyDescent="0.2">
      <c r="A15" t="s">
        <v>774</v>
      </c>
      <c r="B15" t="s">
        <v>776</v>
      </c>
      <c r="C15" t="s">
        <v>328</v>
      </c>
      <c r="D15" t="s">
        <v>775</v>
      </c>
    </row>
    <row r="16" spans="1:1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16" x14ac:dyDescent="0.2">
      <c r="A33" t="s">
        <v>774</v>
      </c>
      <c r="B33" t="s">
        <v>778</v>
      </c>
      <c r="C33" t="s">
        <v>289</v>
      </c>
      <c r="D33" t="s">
        <v>781</v>
      </c>
    </row>
    <row r="35" spans="1:16" ht="19" x14ac:dyDescent="0.25">
      <c r="E35" s="41" t="s">
        <v>304</v>
      </c>
    </row>
    <row r="36" spans="1:16" x14ac:dyDescent="0.2">
      <c r="E36" s="42" t="s">
        <v>712</v>
      </c>
      <c r="F36" s="42" t="s">
        <v>717</v>
      </c>
    </row>
    <row r="37" spans="1:16" ht="19" x14ac:dyDescent="0.25">
      <c r="E37" s="43" t="s">
        <v>347</v>
      </c>
      <c r="F37" s="43" t="s">
        <v>718</v>
      </c>
      <c r="K37" s="19" t="s">
        <v>298</v>
      </c>
      <c r="O37" t="s">
        <v>422</v>
      </c>
    </row>
    <row r="38" spans="1:16" x14ac:dyDescent="0.2">
      <c r="E38" s="43" t="s">
        <v>710</v>
      </c>
      <c r="F38" s="43" t="s">
        <v>719</v>
      </c>
      <c r="K38" s="25" t="s">
        <v>386</v>
      </c>
      <c r="L38" s="25" t="s">
        <v>392</v>
      </c>
      <c r="N38" t="s">
        <v>397</v>
      </c>
    </row>
    <row r="39" spans="1:16" x14ac:dyDescent="0.2">
      <c r="E39" s="43" t="s">
        <v>711</v>
      </c>
      <c r="F39" s="43" t="s">
        <v>720</v>
      </c>
      <c r="K39" s="3" t="s">
        <v>86</v>
      </c>
      <c r="L39" s="6" t="s">
        <v>370</v>
      </c>
      <c r="N39" t="s">
        <v>87</v>
      </c>
      <c r="O39" t="s">
        <v>373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286</v>
      </c>
      <c r="P40" t="s">
        <v>206</v>
      </c>
    </row>
    <row r="41" spans="1:16" x14ac:dyDescent="0.2">
      <c r="B41" t="s">
        <v>344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287</v>
      </c>
      <c r="P41" t="s">
        <v>206</v>
      </c>
    </row>
    <row r="42" spans="1:16" x14ac:dyDescent="0.2">
      <c r="B42" t="s">
        <v>208</v>
      </c>
      <c r="C42" t="s">
        <v>326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288</v>
      </c>
      <c r="P42" t="s">
        <v>206</v>
      </c>
    </row>
    <row r="43" spans="1:16" x14ac:dyDescent="0.2">
      <c r="B43" t="s">
        <v>208</v>
      </c>
      <c r="C43" t="s">
        <v>327</v>
      </c>
      <c r="D43" t="s">
        <v>206</v>
      </c>
      <c r="E43" s="44" t="s">
        <v>49</v>
      </c>
      <c r="F43" s="47" t="s">
        <v>713</v>
      </c>
      <c r="K43" s="3" t="s">
        <v>69</v>
      </c>
      <c r="L43" s="6" t="s">
        <v>372</v>
      </c>
      <c r="N43" t="s">
        <v>87</v>
      </c>
      <c r="O43" t="s">
        <v>374</v>
      </c>
      <c r="P43" t="s">
        <v>206</v>
      </c>
    </row>
    <row r="44" spans="1:16" x14ac:dyDescent="0.2">
      <c r="B44" t="s">
        <v>208</v>
      </c>
      <c r="C44" t="s">
        <v>328</v>
      </c>
      <c r="D44" t="s">
        <v>206</v>
      </c>
      <c r="E44" s="44" t="s">
        <v>50</v>
      </c>
      <c r="F44" s="47" t="s">
        <v>716</v>
      </c>
      <c r="K44" s="3" t="s">
        <v>70</v>
      </c>
      <c r="L44" s="6" t="s">
        <v>691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714</v>
      </c>
      <c r="D45" t="s">
        <v>206</v>
      </c>
      <c r="E45" s="44" t="s">
        <v>51</v>
      </c>
      <c r="F45" s="47" t="s">
        <v>706</v>
      </c>
      <c r="K45" s="3" t="s">
        <v>71</v>
      </c>
      <c r="L45" s="6" t="s">
        <v>692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715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693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709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694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707</v>
      </c>
      <c r="D48" t="s">
        <v>206</v>
      </c>
      <c r="E48" s="44" t="s">
        <v>54</v>
      </c>
      <c r="F48" s="47" t="s">
        <v>445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708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290</v>
      </c>
      <c r="P49" t="s">
        <v>206</v>
      </c>
    </row>
    <row r="50" spans="2:16" x14ac:dyDescent="0.2">
      <c r="B50" t="s">
        <v>208</v>
      </c>
      <c r="C50" t="s">
        <v>290</v>
      </c>
      <c r="D50" t="s">
        <v>206</v>
      </c>
      <c r="E50" s="44" t="s">
        <v>1</v>
      </c>
      <c r="F50" s="47"/>
      <c r="K50" s="3" t="s">
        <v>76</v>
      </c>
      <c r="L50" s="6" t="s">
        <v>371</v>
      </c>
      <c r="N50" t="s">
        <v>87</v>
      </c>
      <c r="O50" t="s">
        <v>375</v>
      </c>
      <c r="P50" t="s">
        <v>206</v>
      </c>
    </row>
    <row r="51" spans="2:16" x14ac:dyDescent="0.2">
      <c r="B51" t="s">
        <v>208</v>
      </c>
      <c r="C51" t="s">
        <v>289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291</v>
      </c>
      <c r="P51" t="s">
        <v>206</v>
      </c>
    </row>
    <row r="52" spans="2:16" x14ac:dyDescent="0.2">
      <c r="C52" t="s">
        <v>325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292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293</v>
      </c>
      <c r="P53" t="s">
        <v>206</v>
      </c>
    </row>
    <row r="54" spans="2:16" x14ac:dyDescent="0.2">
      <c r="E54" s="45" t="s">
        <v>208</v>
      </c>
      <c r="F54" s="47" t="s">
        <v>414</v>
      </c>
      <c r="K54" s="3" t="s">
        <v>80</v>
      </c>
      <c r="L54" s="6" t="s">
        <v>34</v>
      </c>
      <c r="N54" t="s">
        <v>87</v>
      </c>
      <c r="O54" t="s">
        <v>294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325</v>
      </c>
    </row>
    <row r="62" spans="2:16" ht="35" customHeight="1" x14ac:dyDescent="0.2">
      <c r="E62"/>
      <c r="K62" s="8" t="s">
        <v>87</v>
      </c>
      <c r="L62" s="3" t="s">
        <v>411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428</v>
      </c>
      <c r="E65" s="49" t="s">
        <v>303</v>
      </c>
    </row>
    <row r="66" spans="2:16" x14ac:dyDescent="0.2">
      <c r="B66" t="s">
        <v>305</v>
      </c>
      <c r="E66" s="43" t="s">
        <v>348</v>
      </c>
      <c r="F66" s="38" t="s">
        <v>436</v>
      </c>
    </row>
    <row r="67" spans="2:16" ht="19" x14ac:dyDescent="0.25">
      <c r="B67" t="s">
        <v>208</v>
      </c>
      <c r="C67" t="s">
        <v>439</v>
      </c>
      <c r="D67" t="s">
        <v>206</v>
      </c>
      <c r="E67" s="50" t="s">
        <v>189</v>
      </c>
      <c r="F67" s="39" t="s">
        <v>359</v>
      </c>
      <c r="K67" s="20" t="s">
        <v>299</v>
      </c>
      <c r="O67" t="s">
        <v>423</v>
      </c>
    </row>
    <row r="68" spans="2:16" x14ac:dyDescent="0.2">
      <c r="B68" t="s">
        <v>208</v>
      </c>
      <c r="C68" t="s">
        <v>440</v>
      </c>
      <c r="D68" t="s">
        <v>206</v>
      </c>
      <c r="E68" s="50" t="s">
        <v>47</v>
      </c>
      <c r="F68" s="39" t="s">
        <v>360</v>
      </c>
      <c r="K68" s="25" t="s">
        <v>385</v>
      </c>
      <c r="L68" s="25" t="s">
        <v>393</v>
      </c>
      <c r="N68" t="s">
        <v>415</v>
      </c>
    </row>
    <row r="69" spans="2:16" x14ac:dyDescent="0.2">
      <c r="B69" t="s">
        <v>208</v>
      </c>
      <c r="C69" t="s">
        <v>441</v>
      </c>
      <c r="D69" t="s">
        <v>206</v>
      </c>
      <c r="E69" s="50" t="s">
        <v>48</v>
      </c>
      <c r="F69" s="39" t="s">
        <v>361</v>
      </c>
      <c r="K69" s="3" t="s">
        <v>86</v>
      </c>
      <c r="L69" s="6" t="s">
        <v>376</v>
      </c>
      <c r="N69" t="s">
        <v>87</v>
      </c>
      <c r="O69" t="s">
        <v>398</v>
      </c>
      <c r="P69" t="s">
        <v>206</v>
      </c>
    </row>
    <row r="70" spans="2:16" x14ac:dyDescent="0.2">
      <c r="B70" t="s">
        <v>208</v>
      </c>
      <c r="C70" t="s">
        <v>442</v>
      </c>
      <c r="D70" t="s">
        <v>206</v>
      </c>
      <c r="E70" s="50" t="s">
        <v>49</v>
      </c>
      <c r="F70" s="39" t="s">
        <v>362</v>
      </c>
      <c r="K70" s="3" t="s">
        <v>88</v>
      </c>
      <c r="L70" s="6" t="s">
        <v>377</v>
      </c>
      <c r="N70" t="s">
        <v>87</v>
      </c>
      <c r="O70" t="s">
        <v>399</v>
      </c>
      <c r="P70" t="s">
        <v>206</v>
      </c>
    </row>
    <row r="71" spans="2:16" x14ac:dyDescent="0.2">
      <c r="B71" t="s">
        <v>208</v>
      </c>
      <c r="C71" t="s">
        <v>295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378</v>
      </c>
      <c r="N71" t="s">
        <v>87</v>
      </c>
      <c r="O71" t="s">
        <v>400</v>
      </c>
      <c r="P71" t="s">
        <v>206</v>
      </c>
    </row>
    <row r="72" spans="2:16" x14ac:dyDescent="0.2">
      <c r="B72" t="s">
        <v>208</v>
      </c>
      <c r="C72" t="s">
        <v>438</v>
      </c>
      <c r="D72" t="s">
        <v>206</v>
      </c>
      <c r="E72" s="50" t="s">
        <v>51</v>
      </c>
      <c r="F72" s="39" t="s">
        <v>364</v>
      </c>
      <c r="K72" s="3" t="s">
        <v>68</v>
      </c>
      <c r="L72" s="6" t="s">
        <v>379</v>
      </c>
      <c r="N72" t="s">
        <v>87</v>
      </c>
      <c r="O72" t="s">
        <v>401</v>
      </c>
      <c r="P72" t="s">
        <v>206</v>
      </c>
    </row>
    <row r="73" spans="2:16" x14ac:dyDescent="0.2">
      <c r="B73" t="s">
        <v>208</v>
      </c>
      <c r="C73" t="s">
        <v>403</v>
      </c>
      <c r="D73" t="s">
        <v>206</v>
      </c>
      <c r="E73" s="50" t="s">
        <v>52</v>
      </c>
      <c r="F73" s="39" t="s">
        <v>365</v>
      </c>
      <c r="K73" s="3" t="s">
        <v>69</v>
      </c>
      <c r="L73" s="6" t="s">
        <v>380</v>
      </c>
      <c r="N73" t="s">
        <v>87</v>
      </c>
      <c r="O73" t="s">
        <v>295</v>
      </c>
      <c r="P73" t="s">
        <v>206</v>
      </c>
    </row>
    <row r="74" spans="2:16" x14ac:dyDescent="0.2">
      <c r="B74" t="s">
        <v>208</v>
      </c>
      <c r="C74" t="s">
        <v>296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381</v>
      </c>
      <c r="N74" t="s">
        <v>87</v>
      </c>
      <c r="O74" t="s">
        <v>402</v>
      </c>
      <c r="P74" t="s">
        <v>206</v>
      </c>
    </row>
    <row r="75" spans="2:16" x14ac:dyDescent="0.2">
      <c r="B75" t="s">
        <v>208</v>
      </c>
      <c r="C75" t="s">
        <v>297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382</v>
      </c>
      <c r="N75" t="s">
        <v>87</v>
      </c>
      <c r="O75" t="s">
        <v>403</v>
      </c>
      <c r="P75" t="s">
        <v>206</v>
      </c>
    </row>
    <row r="76" spans="2:16" x14ac:dyDescent="0.2">
      <c r="B76" t="s">
        <v>208</v>
      </c>
      <c r="C76" t="s">
        <v>317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314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290</v>
      </c>
      <c r="D79" t="s">
        <v>206</v>
      </c>
      <c r="E79" s="50" t="s">
        <v>58</v>
      </c>
      <c r="F79" s="39" t="s">
        <v>445</v>
      </c>
      <c r="K79" s="3" t="s">
        <v>75</v>
      </c>
      <c r="L79" s="6" t="s">
        <v>383</v>
      </c>
      <c r="N79" t="s">
        <v>87</v>
      </c>
      <c r="O79" t="s">
        <v>357</v>
      </c>
      <c r="P79" t="s">
        <v>206</v>
      </c>
    </row>
    <row r="80" spans="2:16" x14ac:dyDescent="0.2">
      <c r="B80" t="s">
        <v>208</v>
      </c>
      <c r="C80" t="s">
        <v>318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319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290</v>
      </c>
      <c r="P81" t="s">
        <v>206</v>
      </c>
    </row>
    <row r="82" spans="2:16" x14ac:dyDescent="0.2">
      <c r="B82" t="s">
        <v>208</v>
      </c>
      <c r="C82" t="s">
        <v>332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333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334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335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336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324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325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412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300</v>
      </c>
      <c r="O99" s="26" t="s">
        <v>424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443</v>
      </c>
      <c r="L100" s="25" t="s">
        <v>394</v>
      </c>
      <c r="N100" t="s">
        <v>416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430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431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432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433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671</v>
      </c>
      <c r="N105" t="s">
        <v>87</v>
      </c>
      <c r="O105" t="s">
        <v>673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672</v>
      </c>
      <c r="N106" t="s">
        <v>87</v>
      </c>
      <c r="O106" t="s">
        <v>674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434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413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301</v>
      </c>
      <c r="O132" t="s">
        <v>425</v>
      </c>
    </row>
    <row r="133" spans="5:16" x14ac:dyDescent="0.2">
      <c r="E133"/>
      <c r="K133" s="25" t="s">
        <v>388</v>
      </c>
      <c r="L133" s="25" t="s">
        <v>395</v>
      </c>
      <c r="N133" t="s">
        <v>417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266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267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268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269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270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271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272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273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274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275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276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277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278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279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280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281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282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283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284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285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420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358</v>
      </c>
      <c r="O164" t="s">
        <v>426</v>
      </c>
    </row>
    <row r="165" spans="11:16" x14ac:dyDescent="0.2">
      <c r="K165" s="25" t="s">
        <v>387</v>
      </c>
      <c r="L165" s="25" t="s">
        <v>396</v>
      </c>
      <c r="N165" t="s">
        <v>418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421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777</v>
      </c>
      <c r="R1">
        <v>0</v>
      </c>
      <c r="S1" t="s">
        <v>712</v>
      </c>
      <c r="V1" t="s">
        <v>717</v>
      </c>
    </row>
    <row r="2" spans="1:22" x14ac:dyDescent="0.2">
      <c r="A2" t="s">
        <v>774</v>
      </c>
      <c r="B2" t="s">
        <v>780</v>
      </c>
      <c r="C2" t="s">
        <v>326</v>
      </c>
      <c r="D2" t="s">
        <v>775</v>
      </c>
      <c r="R2">
        <v>1</v>
      </c>
      <c r="S2" t="s">
        <v>347</v>
      </c>
      <c r="V2" t="s">
        <v>718</v>
      </c>
    </row>
    <row r="3" spans="1:22" x14ac:dyDescent="0.2">
      <c r="A3" t="s">
        <v>774</v>
      </c>
      <c r="B3" t="s">
        <v>780</v>
      </c>
      <c r="C3" t="s">
        <v>327</v>
      </c>
      <c r="D3" t="s">
        <v>775</v>
      </c>
      <c r="R3">
        <v>2</v>
      </c>
      <c r="S3" t="s">
        <v>710</v>
      </c>
      <c r="V3" t="s">
        <v>719</v>
      </c>
    </row>
    <row r="4" spans="1:22" x14ac:dyDescent="0.2">
      <c r="A4" t="s">
        <v>774</v>
      </c>
      <c r="B4" t="s">
        <v>780</v>
      </c>
      <c r="C4" t="s">
        <v>328</v>
      </c>
      <c r="D4" t="s">
        <v>775</v>
      </c>
      <c r="R4">
        <v>3</v>
      </c>
      <c r="S4" t="s">
        <v>711</v>
      </c>
      <c r="V4" t="s">
        <v>720</v>
      </c>
    </row>
    <row r="5" spans="1:22" x14ac:dyDescent="0.2">
      <c r="A5" t="s">
        <v>774</v>
      </c>
      <c r="B5" t="s">
        <v>780</v>
      </c>
      <c r="C5" t="s">
        <v>714</v>
      </c>
      <c r="D5" t="s">
        <v>775</v>
      </c>
      <c r="R5">
        <v>4</v>
      </c>
      <c r="S5" t="s">
        <v>348</v>
      </c>
      <c r="V5" t="s">
        <v>436</v>
      </c>
    </row>
    <row r="6" spans="1:22" x14ac:dyDescent="0.2">
      <c r="A6" t="s">
        <v>774</v>
      </c>
      <c r="B6" t="s">
        <v>780</v>
      </c>
      <c r="C6" t="s">
        <v>715</v>
      </c>
      <c r="D6" t="s">
        <v>775</v>
      </c>
      <c r="R6">
        <v>5</v>
      </c>
      <c r="S6" t="s">
        <v>386</v>
      </c>
      <c r="V6" t="s">
        <v>392</v>
      </c>
    </row>
    <row r="7" spans="1:22" x14ac:dyDescent="0.2">
      <c r="A7" t="s">
        <v>774</v>
      </c>
      <c r="B7" t="s">
        <v>780</v>
      </c>
      <c r="C7" t="s">
        <v>709</v>
      </c>
      <c r="D7" t="s">
        <v>775</v>
      </c>
      <c r="R7">
        <v>6</v>
      </c>
      <c r="S7" t="s">
        <v>385</v>
      </c>
      <c r="V7" t="s">
        <v>393</v>
      </c>
    </row>
    <row r="8" spans="1:22" x14ac:dyDescent="0.2">
      <c r="A8" t="s">
        <v>774</v>
      </c>
      <c r="B8" t="s">
        <v>780</v>
      </c>
      <c r="C8" t="s">
        <v>707</v>
      </c>
      <c r="D8" t="s">
        <v>775</v>
      </c>
      <c r="R8">
        <v>7</v>
      </c>
      <c r="S8" t="s">
        <v>444</v>
      </c>
      <c r="V8" t="s">
        <v>394</v>
      </c>
    </row>
    <row r="9" spans="1:22" x14ac:dyDescent="0.2">
      <c r="A9" t="s">
        <v>774</v>
      </c>
      <c r="B9" t="s">
        <v>780</v>
      </c>
      <c r="C9" t="s">
        <v>708</v>
      </c>
      <c r="D9" t="s">
        <v>775</v>
      </c>
      <c r="R9">
        <v>8</v>
      </c>
      <c r="S9" t="s">
        <v>388</v>
      </c>
      <c r="V9" t="s">
        <v>395</v>
      </c>
    </row>
    <row r="10" spans="1:22" x14ac:dyDescent="0.2">
      <c r="A10" t="s">
        <v>774</v>
      </c>
      <c r="B10" t="s">
        <v>780</v>
      </c>
      <c r="C10" t="s">
        <v>290</v>
      </c>
      <c r="D10" t="s">
        <v>775</v>
      </c>
      <c r="R10">
        <v>9</v>
      </c>
      <c r="S10" t="s">
        <v>387</v>
      </c>
      <c r="V10" t="s">
        <v>396</v>
      </c>
    </row>
    <row r="11" spans="1:22" x14ac:dyDescent="0.2">
      <c r="A11" t="s">
        <v>774</v>
      </c>
      <c r="B11" t="s">
        <v>780</v>
      </c>
      <c r="C11" t="s">
        <v>289</v>
      </c>
      <c r="D11" t="s">
        <v>781</v>
      </c>
      <c r="R11">
        <v>10</v>
      </c>
      <c r="S11" t="s">
        <v>728</v>
      </c>
      <c r="V11" t="s">
        <v>729</v>
      </c>
    </row>
    <row r="12" spans="1:22" x14ac:dyDescent="0.2">
      <c r="C12" s="26" t="s">
        <v>427</v>
      </c>
    </row>
    <row r="13" spans="1:22" x14ac:dyDescent="0.2">
      <c r="A13" t="s">
        <v>774</v>
      </c>
      <c r="B13" t="s">
        <v>776</v>
      </c>
      <c r="C13" t="s">
        <v>326</v>
      </c>
      <c r="D13" t="s">
        <v>775</v>
      </c>
    </row>
    <row r="14" spans="1:22" x14ac:dyDescent="0.2">
      <c r="A14" t="s">
        <v>774</v>
      </c>
      <c r="B14" t="s">
        <v>776</v>
      </c>
      <c r="C14" t="s">
        <v>327</v>
      </c>
      <c r="D14" t="s">
        <v>775</v>
      </c>
    </row>
    <row r="15" spans="1:22" x14ac:dyDescent="0.2">
      <c r="A15" t="s">
        <v>774</v>
      </c>
      <c r="B15" t="s">
        <v>776</v>
      </c>
      <c r="C15" t="s">
        <v>328</v>
      </c>
      <c r="D15" t="s">
        <v>775</v>
      </c>
    </row>
    <row r="16" spans="1:2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26" x14ac:dyDescent="0.2">
      <c r="A33" t="s">
        <v>774</v>
      </c>
      <c r="B33" t="s">
        <v>778</v>
      </c>
      <c r="C33" t="s">
        <v>289</v>
      </c>
      <c r="D33" t="s">
        <v>781</v>
      </c>
    </row>
    <row r="35" spans="1:26" ht="17" thickBot="1" x14ac:dyDescent="0.25">
      <c r="I35"/>
      <c r="J35"/>
    </row>
    <row r="36" spans="1:26" ht="17" thickBot="1" x14ac:dyDescent="0.25">
      <c r="E36" s="72"/>
      <c r="F36" s="85" t="s">
        <v>789</v>
      </c>
      <c r="G36" s="85"/>
      <c r="H36" s="85"/>
      <c r="I36" s="85"/>
      <c r="J36" s="73"/>
      <c r="K36" s="86" t="s">
        <v>792</v>
      </c>
      <c r="L36" s="74"/>
      <c r="M36" s="74"/>
      <c r="N36" s="86" t="s">
        <v>793</v>
      </c>
      <c r="O36" s="86"/>
      <c r="P36" s="75"/>
    </row>
    <row r="37" spans="1:26" x14ac:dyDescent="0.2">
      <c r="E37" s="76"/>
      <c r="F37" s="8" t="s">
        <v>712</v>
      </c>
      <c r="G37" s="8"/>
      <c r="H37" s="8"/>
      <c r="I37" s="8" t="s">
        <v>791</v>
      </c>
      <c r="J37" s="8"/>
      <c r="K37" s="25" t="s">
        <v>801</v>
      </c>
      <c r="L37" s="74"/>
      <c r="M37" s="25"/>
      <c r="N37" s="25" t="s">
        <v>794</v>
      </c>
      <c r="O37" s="25"/>
      <c r="P37" s="77"/>
    </row>
    <row r="38" spans="1:26" ht="19" x14ac:dyDescent="0.25">
      <c r="E38" s="76"/>
      <c r="F38" s="8" t="s">
        <v>347</v>
      </c>
      <c r="G38" s="8"/>
      <c r="H38" s="8"/>
      <c r="I38" s="8" t="s">
        <v>797</v>
      </c>
      <c r="J38" s="8"/>
      <c r="K38" s="25" t="s">
        <v>802</v>
      </c>
      <c r="L38" s="25"/>
      <c r="M38" s="25"/>
      <c r="N38" s="25" t="s">
        <v>798</v>
      </c>
      <c r="O38" s="25"/>
      <c r="P38" s="77"/>
      <c r="U38" s="19" t="s">
        <v>298</v>
      </c>
      <c r="Y38" t="s">
        <v>422</v>
      </c>
    </row>
    <row r="39" spans="1:26" x14ac:dyDescent="0.2">
      <c r="E39" s="76"/>
      <c r="F39" s="8" t="s">
        <v>710</v>
      </c>
      <c r="G39" s="8"/>
      <c r="H39" s="8"/>
      <c r="I39" s="8" t="s">
        <v>795</v>
      </c>
      <c r="J39" s="8"/>
      <c r="K39" s="25" t="s">
        <v>803</v>
      </c>
      <c r="L39" s="25"/>
      <c r="M39" s="25"/>
      <c r="N39" s="25" t="s">
        <v>799</v>
      </c>
      <c r="O39" s="25"/>
      <c r="P39" s="77"/>
      <c r="U39" s="25" t="s">
        <v>386</v>
      </c>
      <c r="V39" s="25" t="s">
        <v>392</v>
      </c>
      <c r="X39" t="s">
        <v>397</v>
      </c>
    </row>
    <row r="40" spans="1:26" x14ac:dyDescent="0.2">
      <c r="E40" s="76"/>
      <c r="F40" s="8" t="s">
        <v>711</v>
      </c>
      <c r="G40" s="8"/>
      <c r="H40" s="8"/>
      <c r="I40" s="8" t="s">
        <v>796</v>
      </c>
      <c r="J40" s="8"/>
      <c r="K40" s="25" t="s">
        <v>804</v>
      </c>
      <c r="L40" s="25"/>
      <c r="M40" s="25"/>
      <c r="N40" s="25" t="s">
        <v>800</v>
      </c>
      <c r="O40" s="25"/>
      <c r="P40" s="77"/>
      <c r="U40" s="3" t="s">
        <v>86</v>
      </c>
      <c r="V40" s="6" t="s">
        <v>370</v>
      </c>
      <c r="X40" t="s">
        <v>87</v>
      </c>
      <c r="Y40" t="s">
        <v>373</v>
      </c>
      <c r="Z40" t="s">
        <v>206</v>
      </c>
    </row>
    <row r="41" spans="1:26" x14ac:dyDescent="0.2">
      <c r="E41" s="87"/>
      <c r="F41" s="87" t="s">
        <v>784</v>
      </c>
      <c r="G41" s="87" t="s">
        <v>785</v>
      </c>
      <c r="H41" s="87" t="s">
        <v>786</v>
      </c>
      <c r="I41" s="87" t="s">
        <v>787</v>
      </c>
      <c r="J41" s="87"/>
      <c r="K41" s="87" t="s">
        <v>788</v>
      </c>
      <c r="L41" s="87" t="s">
        <v>807</v>
      </c>
      <c r="M41" s="87" t="s">
        <v>808</v>
      </c>
      <c r="N41" s="87"/>
      <c r="O41" s="87"/>
      <c r="P41" s="87"/>
      <c r="U41" s="3"/>
      <c r="V41" s="6"/>
    </row>
    <row r="42" spans="1:26" x14ac:dyDescent="0.2">
      <c r="E42" s="78" t="s">
        <v>0</v>
      </c>
      <c r="F42" s="69">
        <v>0</v>
      </c>
      <c r="G42" s="69" t="s">
        <v>208</v>
      </c>
      <c r="H42" s="69" t="s">
        <v>783</v>
      </c>
      <c r="I42" s="69" t="s">
        <v>326</v>
      </c>
      <c r="J42" s="69" t="s">
        <v>782</v>
      </c>
      <c r="K42" s="70" t="s">
        <v>109</v>
      </c>
      <c r="L42" s="70">
        <v>0</v>
      </c>
      <c r="M42" s="70">
        <v>5000</v>
      </c>
      <c r="N42" s="70"/>
      <c r="O42" s="70"/>
      <c r="P42" s="79"/>
      <c r="U42" s="3" t="s">
        <v>88</v>
      </c>
      <c r="V42" s="6" t="s">
        <v>20</v>
      </c>
      <c r="X42" t="s">
        <v>87</v>
      </c>
      <c r="Y42" t="s">
        <v>286</v>
      </c>
      <c r="Z42" t="s">
        <v>206</v>
      </c>
    </row>
    <row r="43" spans="1:26" x14ac:dyDescent="0.2">
      <c r="B43" t="s">
        <v>344</v>
      </c>
      <c r="E43" s="78" t="s">
        <v>204</v>
      </c>
      <c r="F43" s="69">
        <v>1</v>
      </c>
      <c r="G43" s="69" t="s">
        <v>208</v>
      </c>
      <c r="H43" s="69" t="s">
        <v>783</v>
      </c>
      <c r="I43" s="69" t="s">
        <v>327</v>
      </c>
      <c r="J43" s="69" t="s">
        <v>782</v>
      </c>
      <c r="K43" s="70" t="s">
        <v>108</v>
      </c>
      <c r="L43" s="70">
        <v>0</v>
      </c>
      <c r="M43" s="70">
        <v>10000</v>
      </c>
      <c r="N43" s="70"/>
      <c r="O43" s="70"/>
      <c r="P43" s="79"/>
      <c r="U43" s="3" t="s">
        <v>67</v>
      </c>
      <c r="V43" s="6" t="s">
        <v>21</v>
      </c>
      <c r="X43" t="s">
        <v>87</v>
      </c>
      <c r="Y43" t="s">
        <v>287</v>
      </c>
      <c r="Z43" t="s">
        <v>206</v>
      </c>
    </row>
    <row r="44" spans="1:26" x14ac:dyDescent="0.2">
      <c r="B44" t="s">
        <v>208</v>
      </c>
      <c r="C44" t="s">
        <v>326</v>
      </c>
      <c r="D44" t="s">
        <v>206</v>
      </c>
      <c r="E44" s="78" t="s">
        <v>204</v>
      </c>
      <c r="F44" s="69">
        <v>2</v>
      </c>
      <c r="G44" s="69" t="s">
        <v>208</v>
      </c>
      <c r="H44" s="69" t="s">
        <v>783</v>
      </c>
      <c r="I44" s="69" t="s">
        <v>328</v>
      </c>
      <c r="J44" s="69" t="s">
        <v>782</v>
      </c>
      <c r="K44" s="70" t="s">
        <v>110</v>
      </c>
      <c r="L44" s="70">
        <v>0</v>
      </c>
      <c r="M44" s="70">
        <v>1</v>
      </c>
      <c r="N44" s="70"/>
      <c r="O44" s="70"/>
      <c r="P44" s="79"/>
      <c r="U44" s="3" t="s">
        <v>68</v>
      </c>
      <c r="V44" s="6" t="s">
        <v>22</v>
      </c>
      <c r="X44" t="s">
        <v>87</v>
      </c>
      <c r="Y44" t="s">
        <v>288</v>
      </c>
      <c r="Z44" t="s">
        <v>206</v>
      </c>
    </row>
    <row r="45" spans="1:26" x14ac:dyDescent="0.2">
      <c r="B45" t="s">
        <v>208</v>
      </c>
      <c r="C45" t="s">
        <v>327</v>
      </c>
      <c r="D45" t="s">
        <v>206</v>
      </c>
      <c r="E45" s="78" t="s">
        <v>204</v>
      </c>
      <c r="F45" s="69">
        <v>3</v>
      </c>
      <c r="G45" s="69" t="s">
        <v>208</v>
      </c>
      <c r="H45" s="69" t="s">
        <v>783</v>
      </c>
      <c r="I45" s="69" t="s">
        <v>714</v>
      </c>
      <c r="J45" s="69" t="s">
        <v>782</v>
      </c>
      <c r="K45" s="70" t="s">
        <v>810</v>
      </c>
      <c r="L45" s="70">
        <v>0</v>
      </c>
      <c r="M45" s="70">
        <v>1023</v>
      </c>
      <c r="N45" s="70"/>
      <c r="O45" s="70"/>
      <c r="P45" s="79"/>
      <c r="U45" s="3" t="s">
        <v>69</v>
      </c>
      <c r="V45" s="6" t="s">
        <v>372</v>
      </c>
      <c r="X45" t="s">
        <v>87</v>
      </c>
      <c r="Y45" t="s">
        <v>374</v>
      </c>
      <c r="Z45" t="s">
        <v>206</v>
      </c>
    </row>
    <row r="46" spans="1:26" x14ac:dyDescent="0.2">
      <c r="B46" t="s">
        <v>208</v>
      </c>
      <c r="C46" t="s">
        <v>328</v>
      </c>
      <c r="D46" t="s">
        <v>206</v>
      </c>
      <c r="E46" s="78" t="s">
        <v>204</v>
      </c>
      <c r="F46" s="69">
        <v>4</v>
      </c>
      <c r="G46" s="69" t="s">
        <v>208</v>
      </c>
      <c r="H46" s="69" t="s">
        <v>783</v>
      </c>
      <c r="I46" s="69" t="s">
        <v>715</v>
      </c>
      <c r="J46" s="69" t="s">
        <v>782</v>
      </c>
      <c r="K46" s="70" t="s">
        <v>809</v>
      </c>
      <c r="L46" s="70">
        <v>0</v>
      </c>
      <c r="M46" s="70">
        <v>3</v>
      </c>
      <c r="N46" s="70"/>
      <c r="O46" s="70"/>
      <c r="P46" s="79"/>
      <c r="U46" s="3" t="s">
        <v>70</v>
      </c>
      <c r="V46" s="6" t="s">
        <v>691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714</v>
      </c>
      <c r="D47" t="s">
        <v>206</v>
      </c>
      <c r="E47" s="78" t="s">
        <v>204</v>
      </c>
      <c r="F47" s="69">
        <v>5</v>
      </c>
      <c r="G47" s="69" t="s">
        <v>208</v>
      </c>
      <c r="H47" s="69" t="s">
        <v>783</v>
      </c>
      <c r="I47" s="69" t="s">
        <v>709</v>
      </c>
      <c r="J47" s="69" t="s">
        <v>782</v>
      </c>
      <c r="K47" s="70" t="s">
        <v>706</v>
      </c>
      <c r="L47" s="70">
        <v>-32</v>
      </c>
      <c r="M47" s="70">
        <v>150</v>
      </c>
      <c r="N47" s="70"/>
      <c r="O47" s="70"/>
      <c r="P47" s="79"/>
      <c r="U47" s="3" t="s">
        <v>71</v>
      </c>
      <c r="V47" s="6" t="s">
        <v>692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715</v>
      </c>
      <c r="D48" t="s">
        <v>206</v>
      </c>
      <c r="E48" s="78" t="s">
        <v>204</v>
      </c>
      <c r="F48" s="69">
        <v>6</v>
      </c>
      <c r="G48" s="69" t="s">
        <v>208</v>
      </c>
      <c r="H48" s="69" t="s">
        <v>783</v>
      </c>
      <c r="I48" s="69" t="s">
        <v>707</v>
      </c>
      <c r="J48" s="69" t="s">
        <v>782</v>
      </c>
      <c r="K48" s="70" t="s">
        <v>120</v>
      </c>
      <c r="L48" s="70"/>
      <c r="M48" s="70"/>
      <c r="N48" s="70"/>
      <c r="O48" s="70"/>
      <c r="P48" s="79"/>
      <c r="U48" s="3" t="s">
        <v>72</v>
      </c>
      <c r="V48" s="6" t="s">
        <v>693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709</v>
      </c>
      <c r="D49" t="s">
        <v>206</v>
      </c>
      <c r="E49" s="78" t="s">
        <v>204</v>
      </c>
      <c r="F49" s="69">
        <v>7</v>
      </c>
      <c r="G49" s="69" t="s">
        <v>208</v>
      </c>
      <c r="H49" s="69" t="s">
        <v>783</v>
      </c>
      <c r="I49" s="69" t="s">
        <v>708</v>
      </c>
      <c r="J49" s="69" t="s">
        <v>782</v>
      </c>
      <c r="K49" s="70" t="s">
        <v>121</v>
      </c>
      <c r="L49" s="70"/>
      <c r="M49" s="70"/>
      <c r="N49" s="70"/>
      <c r="O49" s="70"/>
      <c r="P49" s="79"/>
      <c r="U49" s="3" t="s">
        <v>73</v>
      </c>
      <c r="V49" s="6" t="s">
        <v>694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707</v>
      </c>
      <c r="D50" t="s">
        <v>206</v>
      </c>
      <c r="E50" s="78" t="s">
        <v>204</v>
      </c>
      <c r="F50" s="69">
        <v>8</v>
      </c>
      <c r="G50" s="69" t="s">
        <v>208</v>
      </c>
      <c r="H50" s="69" t="s">
        <v>783</v>
      </c>
      <c r="I50" s="69" t="s">
        <v>290</v>
      </c>
      <c r="J50" s="69" t="s">
        <v>782</v>
      </c>
      <c r="K50" s="70" t="s">
        <v>445</v>
      </c>
      <c r="L50" s="70">
        <v>0</v>
      </c>
      <c r="M50" s="70">
        <v>28800</v>
      </c>
      <c r="N50" s="70"/>
      <c r="O50" s="70"/>
      <c r="P50" s="79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708</v>
      </c>
      <c r="D51" t="s">
        <v>206</v>
      </c>
      <c r="E51" s="78" t="s">
        <v>204</v>
      </c>
      <c r="F51" s="69">
        <v>9</v>
      </c>
      <c r="G51" s="69" t="s">
        <v>208</v>
      </c>
      <c r="H51" s="69" t="s">
        <v>783</v>
      </c>
      <c r="I51" s="69" t="s">
        <v>289</v>
      </c>
      <c r="J51" s="69" t="s">
        <v>782</v>
      </c>
      <c r="K51" s="70" t="s">
        <v>18</v>
      </c>
      <c r="L51" s="70"/>
      <c r="M51" s="70"/>
      <c r="N51" s="70"/>
      <c r="O51" s="70"/>
      <c r="P51" s="79"/>
      <c r="U51" s="3" t="s">
        <v>75</v>
      </c>
      <c r="V51" s="6" t="s">
        <v>29</v>
      </c>
      <c r="X51" t="s">
        <v>87</v>
      </c>
      <c r="Y51" t="s">
        <v>290</v>
      </c>
      <c r="Z51" t="s">
        <v>206</v>
      </c>
    </row>
    <row r="52" spans="2:26" x14ac:dyDescent="0.2">
      <c r="B52" t="s">
        <v>208</v>
      </c>
      <c r="C52" t="s">
        <v>290</v>
      </c>
      <c r="D52" t="s">
        <v>206</v>
      </c>
      <c r="E52" s="78" t="s">
        <v>204</v>
      </c>
      <c r="F52" s="69"/>
      <c r="G52" s="69"/>
      <c r="H52" s="69"/>
      <c r="I52" s="71"/>
      <c r="J52" s="71"/>
      <c r="K52" s="70"/>
      <c r="L52" s="70"/>
      <c r="M52" s="70"/>
      <c r="N52" s="70"/>
      <c r="O52" s="70"/>
      <c r="P52" s="79"/>
      <c r="U52" s="3" t="s">
        <v>76</v>
      </c>
      <c r="V52" s="6" t="s">
        <v>371</v>
      </c>
      <c r="X52" t="s">
        <v>87</v>
      </c>
      <c r="Y52" t="s">
        <v>375</v>
      </c>
      <c r="Z52" t="s">
        <v>206</v>
      </c>
    </row>
    <row r="53" spans="2:26" x14ac:dyDescent="0.2">
      <c r="B53" t="s">
        <v>208</v>
      </c>
      <c r="C53" t="s">
        <v>289</v>
      </c>
      <c r="D53" t="s">
        <v>206</v>
      </c>
      <c r="E53" s="78" t="s">
        <v>204</v>
      </c>
      <c r="F53" s="69"/>
      <c r="G53" s="69"/>
      <c r="H53" s="69"/>
      <c r="I53" s="71"/>
      <c r="J53" s="71"/>
      <c r="K53" s="70"/>
      <c r="L53" s="70"/>
      <c r="M53" s="70"/>
      <c r="N53" s="70"/>
      <c r="O53" s="70"/>
      <c r="P53" s="79"/>
      <c r="U53" s="3" t="s">
        <v>77</v>
      </c>
      <c r="V53" s="6" t="s">
        <v>31</v>
      </c>
      <c r="X53" t="s">
        <v>87</v>
      </c>
      <c r="Y53" t="s">
        <v>291</v>
      </c>
      <c r="Z53" t="s">
        <v>206</v>
      </c>
    </row>
    <row r="54" spans="2:26" x14ac:dyDescent="0.2">
      <c r="C54" t="s">
        <v>325</v>
      </c>
      <c r="E54" s="78" t="s">
        <v>1</v>
      </c>
      <c r="F54" s="69"/>
      <c r="G54" s="69"/>
      <c r="H54" s="69"/>
      <c r="I54" s="71"/>
      <c r="J54" s="71"/>
      <c r="K54" s="70"/>
      <c r="L54" s="70"/>
      <c r="M54" s="70"/>
      <c r="N54" s="70"/>
      <c r="O54" s="70"/>
      <c r="P54" s="79"/>
      <c r="U54" s="3" t="s">
        <v>78</v>
      </c>
      <c r="V54" s="6" t="s">
        <v>32</v>
      </c>
      <c r="X54" t="s">
        <v>87</v>
      </c>
      <c r="Y54" t="s">
        <v>292</v>
      </c>
      <c r="Z54" t="s">
        <v>206</v>
      </c>
    </row>
    <row r="55" spans="2:26" ht="119" x14ac:dyDescent="0.2">
      <c r="E55" s="76"/>
      <c r="F55" s="8"/>
      <c r="G55" s="8"/>
      <c r="H55" s="8"/>
      <c r="I55" s="88" t="s">
        <v>806</v>
      </c>
      <c r="J55" s="44"/>
      <c r="K55" s="88" t="s">
        <v>805</v>
      </c>
      <c r="L55" s="63"/>
      <c r="M55" s="63"/>
      <c r="N55" s="63"/>
      <c r="O55" s="63"/>
      <c r="P55" s="6"/>
      <c r="U55" s="3" t="s">
        <v>79</v>
      </c>
      <c r="V55" s="6" t="s">
        <v>33</v>
      </c>
      <c r="X55" t="s">
        <v>87</v>
      </c>
      <c r="Y55" t="s">
        <v>293</v>
      </c>
      <c r="Z55" t="s">
        <v>206</v>
      </c>
    </row>
    <row r="56" spans="2:26" x14ac:dyDescent="0.2">
      <c r="E56" s="76"/>
      <c r="F56" s="8"/>
      <c r="G56" s="8"/>
      <c r="H56" s="8"/>
      <c r="I56" s="45"/>
      <c r="J56" s="45"/>
      <c r="K56" s="47"/>
      <c r="L56" s="63"/>
      <c r="M56" s="63"/>
      <c r="N56" s="63"/>
      <c r="O56" s="63"/>
      <c r="P56" s="6"/>
      <c r="U56" s="3" t="s">
        <v>80</v>
      </c>
      <c r="V56" s="6" t="s">
        <v>34</v>
      </c>
      <c r="X56" t="s">
        <v>87</v>
      </c>
      <c r="Y56" t="s">
        <v>294</v>
      </c>
      <c r="Z56" t="s">
        <v>206</v>
      </c>
    </row>
    <row r="57" spans="2:26" ht="17" thickBot="1" x14ac:dyDescent="0.25">
      <c r="E57" s="80"/>
      <c r="F57" s="81"/>
      <c r="G57" s="81"/>
      <c r="H57" s="81"/>
      <c r="I57" s="82"/>
      <c r="J57" s="82"/>
      <c r="K57" s="83"/>
      <c r="L57" s="84"/>
      <c r="M57" s="84"/>
      <c r="N57" s="84"/>
      <c r="O57" s="84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325</v>
      </c>
    </row>
    <row r="64" spans="2:26" ht="35" customHeight="1" x14ac:dyDescent="0.2">
      <c r="I64"/>
      <c r="J64"/>
      <c r="U64" s="8" t="s">
        <v>87</v>
      </c>
      <c r="V64" s="3" t="s">
        <v>411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428</v>
      </c>
      <c r="I67" s="49" t="s">
        <v>303</v>
      </c>
      <c r="J67" s="64"/>
    </row>
    <row r="68" spans="2:26" x14ac:dyDescent="0.2">
      <c r="B68" t="s">
        <v>305</v>
      </c>
      <c r="I68" s="43" t="s">
        <v>348</v>
      </c>
      <c r="J68" s="65"/>
      <c r="K68" s="38" t="s">
        <v>436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439</v>
      </c>
      <c r="D69" t="s">
        <v>206</v>
      </c>
      <c r="I69" s="50" t="s">
        <v>189</v>
      </c>
      <c r="J69" s="66"/>
      <c r="K69" s="39" t="s">
        <v>359</v>
      </c>
      <c r="L69" s="63"/>
      <c r="M69" s="63"/>
      <c r="N69" s="63"/>
      <c r="O69" s="63"/>
      <c r="P69" s="63"/>
      <c r="U69" s="20" t="s">
        <v>299</v>
      </c>
      <c r="Y69" t="s">
        <v>423</v>
      </c>
    </row>
    <row r="70" spans="2:26" x14ac:dyDescent="0.2">
      <c r="B70" t="s">
        <v>208</v>
      </c>
      <c r="C70" t="s">
        <v>440</v>
      </c>
      <c r="D70" t="s">
        <v>206</v>
      </c>
      <c r="I70" s="50" t="s">
        <v>47</v>
      </c>
      <c r="J70" s="66"/>
      <c r="K70" s="39" t="s">
        <v>360</v>
      </c>
      <c r="L70" s="63"/>
      <c r="M70" s="63"/>
      <c r="N70" s="63"/>
      <c r="O70" s="63"/>
      <c r="P70" s="63"/>
      <c r="U70" s="25" t="s">
        <v>385</v>
      </c>
      <c r="V70" s="25" t="s">
        <v>393</v>
      </c>
      <c r="X70" t="s">
        <v>415</v>
      </c>
    </row>
    <row r="71" spans="2:26" x14ac:dyDescent="0.2">
      <c r="B71" t="s">
        <v>208</v>
      </c>
      <c r="C71" t="s">
        <v>441</v>
      </c>
      <c r="D71" t="s">
        <v>206</v>
      </c>
      <c r="I71" s="50" t="s">
        <v>48</v>
      </c>
      <c r="J71" s="66"/>
      <c r="K71" s="39" t="s">
        <v>361</v>
      </c>
      <c r="L71" s="63"/>
      <c r="M71" s="63"/>
      <c r="N71" s="63"/>
      <c r="O71" s="63"/>
      <c r="P71" s="63"/>
      <c r="U71" s="3" t="s">
        <v>86</v>
      </c>
      <c r="V71" s="6" t="s">
        <v>376</v>
      </c>
      <c r="X71" t="s">
        <v>87</v>
      </c>
      <c r="Y71" t="s">
        <v>398</v>
      </c>
      <c r="Z71" t="s">
        <v>206</v>
      </c>
    </row>
    <row r="72" spans="2:26" x14ac:dyDescent="0.2">
      <c r="B72" t="s">
        <v>208</v>
      </c>
      <c r="C72" t="s">
        <v>442</v>
      </c>
      <c r="D72" t="s">
        <v>206</v>
      </c>
      <c r="I72" s="50" t="s">
        <v>49</v>
      </c>
      <c r="J72" s="66"/>
      <c r="K72" s="39" t="s">
        <v>362</v>
      </c>
      <c r="L72" s="63"/>
      <c r="M72" s="63"/>
      <c r="N72" s="63"/>
      <c r="O72" s="63"/>
      <c r="P72" s="63"/>
      <c r="U72" s="3" t="s">
        <v>88</v>
      </c>
      <c r="V72" s="6" t="s">
        <v>377</v>
      </c>
      <c r="X72" t="s">
        <v>87</v>
      </c>
      <c r="Y72" t="s">
        <v>399</v>
      </c>
      <c r="Z72" t="s">
        <v>206</v>
      </c>
    </row>
    <row r="73" spans="2:26" x14ac:dyDescent="0.2">
      <c r="B73" t="s">
        <v>208</v>
      </c>
      <c r="C73" t="s">
        <v>295</v>
      </c>
      <c r="D73" t="s">
        <v>206</v>
      </c>
      <c r="I73" s="50" t="s">
        <v>50</v>
      </c>
      <c r="J73" s="66"/>
      <c r="K73" s="39" t="s">
        <v>44</v>
      </c>
      <c r="L73" s="63"/>
      <c r="M73" s="63"/>
      <c r="N73" s="63"/>
      <c r="O73" s="63"/>
      <c r="P73" s="63"/>
      <c r="U73" s="3" t="s">
        <v>67</v>
      </c>
      <c r="V73" s="6" t="s">
        <v>378</v>
      </c>
      <c r="X73" t="s">
        <v>87</v>
      </c>
      <c r="Y73" t="s">
        <v>400</v>
      </c>
      <c r="Z73" t="s">
        <v>206</v>
      </c>
    </row>
    <row r="74" spans="2:26" x14ac:dyDescent="0.2">
      <c r="B74" t="s">
        <v>208</v>
      </c>
      <c r="C74" t="s">
        <v>438</v>
      </c>
      <c r="D74" t="s">
        <v>206</v>
      </c>
      <c r="I74" s="50" t="s">
        <v>51</v>
      </c>
      <c r="J74" s="66"/>
      <c r="K74" s="39" t="s">
        <v>364</v>
      </c>
      <c r="L74" s="63"/>
      <c r="M74" s="63"/>
      <c r="N74" s="63"/>
      <c r="O74" s="63"/>
      <c r="P74" s="63"/>
      <c r="U74" s="3" t="s">
        <v>68</v>
      </c>
      <c r="V74" s="6" t="s">
        <v>379</v>
      </c>
      <c r="X74" t="s">
        <v>87</v>
      </c>
      <c r="Y74" t="s">
        <v>401</v>
      </c>
      <c r="Z74" t="s">
        <v>206</v>
      </c>
    </row>
    <row r="75" spans="2:26" x14ac:dyDescent="0.2">
      <c r="B75" t="s">
        <v>208</v>
      </c>
      <c r="C75" t="s">
        <v>403</v>
      </c>
      <c r="D75" t="s">
        <v>206</v>
      </c>
      <c r="I75" s="50" t="s">
        <v>52</v>
      </c>
      <c r="J75" s="66"/>
      <c r="K75" s="39" t="s">
        <v>365</v>
      </c>
      <c r="L75" s="63"/>
      <c r="M75" s="63"/>
      <c r="N75" s="63"/>
      <c r="O75" s="63"/>
      <c r="P75" s="63"/>
      <c r="U75" s="3" t="s">
        <v>69</v>
      </c>
      <c r="V75" s="6" t="s">
        <v>380</v>
      </c>
      <c r="X75" t="s">
        <v>87</v>
      </c>
      <c r="Y75" t="s">
        <v>295</v>
      </c>
      <c r="Z75" t="s">
        <v>206</v>
      </c>
    </row>
    <row r="76" spans="2:26" x14ac:dyDescent="0.2">
      <c r="B76" t="s">
        <v>208</v>
      </c>
      <c r="C76" t="s">
        <v>296</v>
      </c>
      <c r="D76" t="s">
        <v>206</v>
      </c>
      <c r="I76" s="50" t="s">
        <v>53</v>
      </c>
      <c r="J76" s="66"/>
      <c r="K76" s="39" t="s">
        <v>13</v>
      </c>
      <c r="L76" s="63"/>
      <c r="M76" s="63"/>
      <c r="N76" s="63"/>
      <c r="O76" s="63"/>
      <c r="P76" s="63"/>
      <c r="U76" s="3" t="s">
        <v>70</v>
      </c>
      <c r="V76" s="6" t="s">
        <v>381</v>
      </c>
      <c r="X76" t="s">
        <v>87</v>
      </c>
      <c r="Y76" t="s">
        <v>402</v>
      </c>
      <c r="Z76" t="s">
        <v>206</v>
      </c>
    </row>
    <row r="77" spans="2:26" x14ac:dyDescent="0.2">
      <c r="B77" t="s">
        <v>208</v>
      </c>
      <c r="C77" t="s">
        <v>297</v>
      </c>
      <c r="D77" t="s">
        <v>206</v>
      </c>
      <c r="I77" s="50" t="s">
        <v>54</v>
      </c>
      <c r="J77" s="66"/>
      <c r="K77" s="39" t="s">
        <v>13</v>
      </c>
      <c r="L77" s="63"/>
      <c r="M77" s="63"/>
      <c r="N77" s="63"/>
      <c r="O77" s="63"/>
      <c r="P77" s="63"/>
      <c r="U77" s="3" t="s">
        <v>71</v>
      </c>
      <c r="V77" s="6" t="s">
        <v>382</v>
      </c>
      <c r="X77" t="s">
        <v>87</v>
      </c>
      <c r="Y77" t="s">
        <v>403</v>
      </c>
      <c r="Z77" t="s">
        <v>206</v>
      </c>
    </row>
    <row r="78" spans="2:26" x14ac:dyDescent="0.2">
      <c r="B78" t="s">
        <v>208</v>
      </c>
      <c r="C78" t="s">
        <v>317</v>
      </c>
      <c r="D78" t="s">
        <v>206</v>
      </c>
      <c r="I78" s="50" t="s">
        <v>55</v>
      </c>
      <c r="J78" s="66"/>
      <c r="K78" s="39" t="s">
        <v>13</v>
      </c>
      <c r="L78" s="63"/>
      <c r="M78" s="63"/>
      <c r="N78" s="63"/>
      <c r="O78" s="63"/>
      <c r="P78" s="63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314</v>
      </c>
      <c r="D79" t="s">
        <v>206</v>
      </c>
      <c r="I79" s="50" t="s">
        <v>56</v>
      </c>
      <c r="J79" s="66"/>
      <c r="K79" s="39" t="s">
        <v>7</v>
      </c>
      <c r="L79" s="63"/>
      <c r="M79" s="63"/>
      <c r="N79" s="63"/>
      <c r="O79" s="63"/>
      <c r="P79" s="63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6"/>
      <c r="K80" s="39" t="s">
        <v>13</v>
      </c>
      <c r="L80" s="63"/>
      <c r="M80" s="63"/>
      <c r="N80" s="63"/>
      <c r="O80" s="63"/>
      <c r="P80" s="63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290</v>
      </c>
      <c r="D81" t="s">
        <v>206</v>
      </c>
      <c r="I81" s="50" t="s">
        <v>58</v>
      </c>
      <c r="J81" s="66"/>
      <c r="K81" s="39" t="s">
        <v>445</v>
      </c>
      <c r="L81" s="63"/>
      <c r="M81" s="63"/>
      <c r="N81" s="63"/>
      <c r="O81" s="63"/>
      <c r="P81" s="63"/>
      <c r="U81" s="3" t="s">
        <v>75</v>
      </c>
      <c r="V81" s="6" t="s">
        <v>383</v>
      </c>
      <c r="X81" t="s">
        <v>87</v>
      </c>
      <c r="Y81" t="s">
        <v>357</v>
      </c>
      <c r="Z81" t="s">
        <v>206</v>
      </c>
    </row>
    <row r="82" spans="2:26" x14ac:dyDescent="0.2">
      <c r="B82" t="s">
        <v>208</v>
      </c>
      <c r="C82" t="s">
        <v>318</v>
      </c>
      <c r="D82" t="s">
        <v>206</v>
      </c>
      <c r="I82" s="50" t="s">
        <v>59</v>
      </c>
      <c r="J82" s="66"/>
      <c r="K82" s="39" t="s">
        <v>13</v>
      </c>
      <c r="L82" s="63"/>
      <c r="M82" s="63"/>
      <c r="N82" s="63"/>
      <c r="O82" s="63"/>
      <c r="P82" s="63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319</v>
      </c>
      <c r="D83" t="s">
        <v>206</v>
      </c>
      <c r="I83" s="50" t="s">
        <v>60</v>
      </c>
      <c r="J83" s="66"/>
      <c r="K83" s="39" t="s">
        <v>13</v>
      </c>
      <c r="L83" s="63"/>
      <c r="M83" s="63"/>
      <c r="N83" s="63"/>
      <c r="O83" s="63"/>
      <c r="P83" s="63"/>
      <c r="U83" s="3" t="s">
        <v>77</v>
      </c>
      <c r="V83" s="6" t="s">
        <v>29</v>
      </c>
      <c r="X83" t="s">
        <v>87</v>
      </c>
      <c r="Y83" t="s">
        <v>290</v>
      </c>
      <c r="Z83" t="s">
        <v>206</v>
      </c>
    </row>
    <row r="84" spans="2:26" x14ac:dyDescent="0.2">
      <c r="B84" t="s">
        <v>208</v>
      </c>
      <c r="C84" t="s">
        <v>332</v>
      </c>
      <c r="D84" t="s">
        <v>206</v>
      </c>
      <c r="I84" s="50" t="s">
        <v>61</v>
      </c>
      <c r="J84" s="66"/>
      <c r="K84" s="39" t="s">
        <v>13</v>
      </c>
      <c r="L84" s="63"/>
      <c r="M84" s="63"/>
      <c r="N84" s="63"/>
      <c r="O84" s="63"/>
      <c r="P84" s="63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333</v>
      </c>
      <c r="D85" t="s">
        <v>206</v>
      </c>
      <c r="I85" s="50" t="s">
        <v>62</v>
      </c>
      <c r="J85" s="66"/>
      <c r="K85" s="39" t="s">
        <v>13</v>
      </c>
      <c r="L85" s="63"/>
      <c r="M85" s="63"/>
      <c r="N85" s="63"/>
      <c r="O85" s="63"/>
      <c r="P85" s="63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334</v>
      </c>
      <c r="D86" t="s">
        <v>206</v>
      </c>
      <c r="I86" s="50" t="s">
        <v>63</v>
      </c>
      <c r="J86" s="66"/>
      <c r="K86" s="39" t="s">
        <v>13</v>
      </c>
      <c r="L86" s="63"/>
      <c r="M86" s="63"/>
      <c r="N86" s="63"/>
      <c r="O86" s="63"/>
      <c r="P86" s="63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335</v>
      </c>
      <c r="D87" t="s">
        <v>206</v>
      </c>
      <c r="I87" s="50" t="s">
        <v>64</v>
      </c>
      <c r="J87" s="66"/>
      <c r="K87" s="39" t="s">
        <v>13</v>
      </c>
      <c r="L87" s="63"/>
      <c r="M87" s="63"/>
      <c r="N87" s="63"/>
      <c r="O87" s="63"/>
      <c r="P87" s="63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336</v>
      </c>
      <c r="D88" t="s">
        <v>206</v>
      </c>
      <c r="I88" s="50" t="s">
        <v>65</v>
      </c>
      <c r="J88" s="66"/>
      <c r="K88" s="39" t="s">
        <v>13</v>
      </c>
      <c r="L88" s="63"/>
      <c r="M88" s="63"/>
      <c r="N88" s="63"/>
      <c r="O88" s="63"/>
      <c r="P88" s="63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324</v>
      </c>
      <c r="D89" t="s">
        <v>206</v>
      </c>
      <c r="I89" s="50" t="s">
        <v>66</v>
      </c>
      <c r="J89" s="66"/>
      <c r="K89" s="39" t="s">
        <v>18</v>
      </c>
      <c r="L89" s="63"/>
      <c r="M89" s="63"/>
      <c r="N89" s="63"/>
      <c r="O89" s="63"/>
      <c r="P89" s="63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325</v>
      </c>
      <c r="D90" t="s">
        <v>206</v>
      </c>
      <c r="I90" s="50" t="s">
        <v>1</v>
      </c>
      <c r="J90" s="66"/>
      <c r="K90" s="39"/>
      <c r="L90" s="63"/>
      <c r="M90" s="63"/>
      <c r="N90" s="63"/>
      <c r="O90" s="63"/>
      <c r="P90" s="63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6"/>
      <c r="K91" s="39"/>
      <c r="L91" s="63"/>
      <c r="M91" s="63"/>
      <c r="N91" s="63"/>
      <c r="O91" s="63"/>
      <c r="P91" s="63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7"/>
      <c r="K92" s="39" t="s">
        <v>202</v>
      </c>
      <c r="L92" s="63"/>
      <c r="M92" s="63"/>
      <c r="N92" s="63"/>
      <c r="O92" s="63"/>
      <c r="P92" s="63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8"/>
      <c r="K93" s="40"/>
      <c r="L93" s="63"/>
      <c r="M93" s="63"/>
      <c r="N93" s="63"/>
      <c r="O93" s="63"/>
      <c r="P93" s="63"/>
      <c r="U93" s="3" t="s">
        <v>0</v>
      </c>
      <c r="V93" s="6"/>
    </row>
    <row r="94" spans="2:26" ht="29" customHeight="1" x14ac:dyDescent="0.2">
      <c r="U94" s="8" t="s">
        <v>87</v>
      </c>
      <c r="V94" s="3" t="s">
        <v>412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300</v>
      </c>
      <c r="Y101" s="26" t="s">
        <v>424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443</v>
      </c>
      <c r="V102" s="25" t="s">
        <v>394</v>
      </c>
      <c r="X102" t="s">
        <v>416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430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431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432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433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671</v>
      </c>
      <c r="X107" t="s">
        <v>87</v>
      </c>
      <c r="Y107" t="s">
        <v>673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672</v>
      </c>
      <c r="X108" t="s">
        <v>87</v>
      </c>
      <c r="Y108" t="s">
        <v>674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434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413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301</v>
      </c>
      <c r="Y134" t="s">
        <v>425</v>
      </c>
    </row>
    <row r="135" spans="9:26" x14ac:dyDescent="0.2">
      <c r="I135"/>
      <c r="J135"/>
      <c r="U135" s="25" t="s">
        <v>388</v>
      </c>
      <c r="V135" s="25" t="s">
        <v>395</v>
      </c>
      <c r="X135" t="s">
        <v>417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266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267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268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269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270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271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272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273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274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275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276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277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278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279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280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281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282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283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284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285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420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358</v>
      </c>
      <c r="Y166" t="s">
        <v>426</v>
      </c>
    </row>
    <row r="167" spans="21:26" x14ac:dyDescent="0.2">
      <c r="U167" s="25" t="s">
        <v>387</v>
      </c>
      <c r="V167" s="25" t="s">
        <v>396</v>
      </c>
      <c r="X167" t="s">
        <v>418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421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422"/>
  <sheetViews>
    <sheetView tabSelected="1" topLeftCell="A236" zoomScaleNormal="100" workbookViewId="0">
      <selection activeCell="J248" sqref="J248:J262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2" t="s">
        <v>816</v>
      </c>
      <c r="B1" s="91" t="s">
        <v>924</v>
      </c>
      <c r="C1" s="73"/>
      <c r="D1" s="73"/>
      <c r="E1" s="73"/>
      <c r="F1" s="73"/>
      <c r="G1" s="73"/>
      <c r="H1" s="73"/>
      <c r="I1" s="148" t="s">
        <v>930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6" t="s">
        <v>817</v>
      </c>
      <c r="B2" s="92" t="s">
        <v>925</v>
      </c>
      <c r="C2" s="8"/>
      <c r="D2" s="8"/>
      <c r="E2" s="8"/>
      <c r="F2" s="8"/>
      <c r="G2" s="8"/>
      <c r="H2" s="8"/>
      <c r="I2" s="149" t="s">
        <v>979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6" t="s">
        <v>772</v>
      </c>
      <c r="B3" s="92" t="s">
        <v>926</v>
      </c>
      <c r="C3" s="8"/>
      <c r="D3" s="8"/>
      <c r="E3" s="8"/>
      <c r="F3" s="8"/>
      <c r="G3" s="8"/>
      <c r="H3" s="8"/>
      <c r="I3" s="149" t="s">
        <v>980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6" t="s">
        <v>818</v>
      </c>
      <c r="B4" s="92" t="s">
        <v>927</v>
      </c>
      <c r="C4" s="8"/>
      <c r="D4" s="8"/>
      <c r="E4" s="8"/>
      <c r="F4" s="8"/>
      <c r="G4" s="8"/>
      <c r="H4" s="8"/>
      <c r="I4" s="149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6" t="s">
        <v>985</v>
      </c>
      <c r="B5" s="92" t="s">
        <v>986</v>
      </c>
      <c r="C5" s="8"/>
      <c r="D5" s="8"/>
      <c r="E5" s="8"/>
      <c r="F5" s="8"/>
      <c r="G5" s="8"/>
      <c r="H5" s="8"/>
      <c r="I5" s="149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6" t="s">
        <v>955</v>
      </c>
      <c r="B6" s="92" t="s">
        <v>956</v>
      </c>
      <c r="C6" s="8"/>
      <c r="D6" s="8"/>
      <c r="E6" s="8"/>
      <c r="F6" s="8"/>
      <c r="G6" s="8"/>
      <c r="H6" s="8"/>
      <c r="I6" s="149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6" t="s">
        <v>820</v>
      </c>
      <c r="B7" s="92" t="s">
        <v>929</v>
      </c>
      <c r="C7" s="8"/>
      <c r="D7" s="8"/>
      <c r="E7" s="8"/>
      <c r="F7" s="8"/>
      <c r="G7" s="8"/>
      <c r="H7" s="8"/>
      <c r="I7" s="149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6" t="s">
        <v>821</v>
      </c>
      <c r="B8" s="92"/>
      <c r="C8" s="8" t="s">
        <v>982</v>
      </c>
      <c r="D8" s="8"/>
      <c r="E8" s="8"/>
      <c r="F8" s="8"/>
      <c r="G8" s="8"/>
      <c r="H8" s="8"/>
      <c r="I8" s="149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6" t="s">
        <v>793</v>
      </c>
      <c r="B9" s="93">
        <v>10</v>
      </c>
      <c r="C9" s="81"/>
      <c r="D9" s="81"/>
      <c r="E9" s="81"/>
      <c r="F9" s="81"/>
      <c r="G9" s="81"/>
      <c r="H9" s="81"/>
      <c r="I9" s="150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0" t="s">
        <v>784</v>
      </c>
      <c r="B10" s="89" t="s">
        <v>785</v>
      </c>
      <c r="C10" s="89" t="s">
        <v>787</v>
      </c>
      <c r="D10" s="89"/>
      <c r="E10" s="89" t="s">
        <v>788</v>
      </c>
      <c r="F10" s="89" t="s">
        <v>807</v>
      </c>
      <c r="G10" s="89" t="s">
        <v>808</v>
      </c>
      <c r="H10" s="89" t="s">
        <v>811</v>
      </c>
      <c r="I10" s="151" t="s">
        <v>812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8">
        <v>0</v>
      </c>
      <c r="B11" s="69" t="s">
        <v>208</v>
      </c>
      <c r="C11" s="69" t="s">
        <v>326</v>
      </c>
      <c r="D11" s="69"/>
      <c r="E11" s="70" t="s">
        <v>109</v>
      </c>
      <c r="F11" s="70">
        <v>0</v>
      </c>
      <c r="G11" s="70">
        <v>5000</v>
      </c>
      <c r="H11" s="70">
        <v>20</v>
      </c>
      <c r="I11" s="79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8">
        <v>1</v>
      </c>
      <c r="B12" s="69" t="s">
        <v>208</v>
      </c>
      <c r="C12" s="69" t="s">
        <v>931</v>
      </c>
      <c r="D12" s="69"/>
      <c r="E12" s="70" t="s">
        <v>108</v>
      </c>
      <c r="F12" s="70">
        <v>0</v>
      </c>
      <c r="G12" s="70">
        <v>10000</v>
      </c>
      <c r="H12" s="70">
        <v>2000</v>
      </c>
      <c r="I12" s="79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8">
        <v>2</v>
      </c>
      <c r="B13" s="69" t="s">
        <v>208</v>
      </c>
      <c r="C13" s="69" t="s">
        <v>328</v>
      </c>
      <c r="D13" s="69"/>
      <c r="E13" s="70" t="s">
        <v>110</v>
      </c>
      <c r="F13" s="70">
        <v>0</v>
      </c>
      <c r="G13" s="70">
        <v>1</v>
      </c>
      <c r="H13" s="70">
        <v>1</v>
      </c>
      <c r="I13" s="79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8">
        <v>3</v>
      </c>
      <c r="B14" s="69" t="s">
        <v>208</v>
      </c>
      <c r="C14" s="69" t="s">
        <v>714</v>
      </c>
      <c r="D14" s="69"/>
      <c r="E14" s="70" t="s">
        <v>810</v>
      </c>
      <c r="F14" s="70">
        <v>0</v>
      </c>
      <c r="G14" s="70">
        <v>1023</v>
      </c>
      <c r="H14" s="70">
        <v>512</v>
      </c>
      <c r="I14" s="79" t="s">
        <v>833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8">
        <v>4</v>
      </c>
      <c r="B15" s="69" t="s">
        <v>208</v>
      </c>
      <c r="C15" s="69" t="s">
        <v>715</v>
      </c>
      <c r="D15" s="69"/>
      <c r="E15" s="70" t="s">
        <v>809</v>
      </c>
      <c r="F15" s="70">
        <v>0</v>
      </c>
      <c r="G15" s="70">
        <v>3</v>
      </c>
      <c r="H15" s="70">
        <v>3</v>
      </c>
      <c r="I15" s="79" t="s">
        <v>834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8">
        <v>5</v>
      </c>
      <c r="B16" s="69" t="s">
        <v>208</v>
      </c>
      <c r="C16" s="69" t="s">
        <v>709</v>
      </c>
      <c r="D16" s="69"/>
      <c r="E16" s="70" t="s">
        <v>706</v>
      </c>
      <c r="F16" s="70">
        <v>-32</v>
      </c>
      <c r="G16" s="70">
        <v>150</v>
      </c>
      <c r="H16" s="70">
        <v>80</v>
      </c>
      <c r="I16" s="79" t="s">
        <v>835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8">
        <v>6</v>
      </c>
      <c r="B17" s="69" t="s">
        <v>208</v>
      </c>
      <c r="C17" s="69" t="s">
        <v>707</v>
      </c>
      <c r="D17" s="69"/>
      <c r="E17" s="70" t="s">
        <v>120</v>
      </c>
      <c r="F17" s="70"/>
      <c r="G17" s="70"/>
      <c r="H17" s="70"/>
      <c r="I17" s="79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8">
        <v>7</v>
      </c>
      <c r="B18" s="69" t="s">
        <v>208</v>
      </c>
      <c r="C18" s="69" t="s">
        <v>708</v>
      </c>
      <c r="D18" s="69"/>
      <c r="E18" s="70" t="s">
        <v>121</v>
      </c>
      <c r="F18" s="70"/>
      <c r="G18" s="70"/>
      <c r="H18" s="70"/>
      <c r="I18" s="79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8">
        <v>8</v>
      </c>
      <c r="B19" s="69" t="s">
        <v>208</v>
      </c>
      <c r="C19" s="69" t="s">
        <v>290</v>
      </c>
      <c r="D19" s="69"/>
      <c r="E19" s="70" t="s">
        <v>445</v>
      </c>
      <c r="F19" s="70">
        <v>0</v>
      </c>
      <c r="G19" s="70">
        <v>28800</v>
      </c>
      <c r="H19" s="70"/>
      <c r="I19" s="79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8">
        <v>9</v>
      </c>
      <c r="B20" s="159" t="s">
        <v>208</v>
      </c>
      <c r="C20" s="159" t="s">
        <v>289</v>
      </c>
      <c r="D20" s="159"/>
      <c r="E20" s="160" t="s">
        <v>18</v>
      </c>
      <c r="F20" s="160"/>
      <c r="G20" s="160"/>
      <c r="H20" s="160"/>
      <c r="I20" s="161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7">
        <v>10</v>
      </c>
      <c r="B21" s="171" t="s">
        <v>208</v>
      </c>
      <c r="C21" s="164" t="s">
        <v>958</v>
      </c>
      <c r="D21" s="164"/>
      <c r="E21" s="165" t="s">
        <v>966</v>
      </c>
      <c r="F21" s="165"/>
      <c r="G21" s="165"/>
      <c r="H21" s="165"/>
      <c r="I21" s="166" t="s">
        <v>978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8">
        <v>11</v>
      </c>
      <c r="B22" s="69" t="s">
        <v>208</v>
      </c>
      <c r="C22" s="162" t="s">
        <v>959</v>
      </c>
      <c r="D22" s="162"/>
      <c r="E22" s="163" t="s">
        <v>967</v>
      </c>
      <c r="F22" s="163"/>
      <c r="G22" s="163"/>
      <c r="H22" s="163"/>
      <c r="I22" s="167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8">
        <v>12</v>
      </c>
      <c r="B23" s="69" t="s">
        <v>208</v>
      </c>
      <c r="C23" s="162" t="s">
        <v>960</v>
      </c>
      <c r="D23" s="162"/>
      <c r="E23" s="163" t="s">
        <v>968</v>
      </c>
      <c r="F23" s="163"/>
      <c r="G23" s="163"/>
      <c r="H23" s="163"/>
      <c r="I23" s="167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8">
        <v>13</v>
      </c>
      <c r="B24" s="69" t="s">
        <v>208</v>
      </c>
      <c r="C24" s="162" t="s">
        <v>961</v>
      </c>
      <c r="D24" s="162"/>
      <c r="E24" s="163" t="s">
        <v>969</v>
      </c>
      <c r="F24" s="163"/>
      <c r="G24" s="163"/>
      <c r="H24" s="163"/>
      <c r="I24" s="167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8">
        <v>14</v>
      </c>
      <c r="B25" s="69" t="s">
        <v>208</v>
      </c>
      <c r="C25" s="162" t="s">
        <v>962</v>
      </c>
      <c r="D25" s="162"/>
      <c r="E25" s="163" t="s">
        <v>970</v>
      </c>
      <c r="F25" s="163"/>
      <c r="G25" s="163"/>
      <c r="H25" s="163"/>
      <c r="I25" s="167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8">
        <v>15</v>
      </c>
      <c r="B26" s="69" t="s">
        <v>208</v>
      </c>
      <c r="C26" s="162" t="s">
        <v>963</v>
      </c>
      <c r="D26" s="162"/>
      <c r="E26" s="163" t="s">
        <v>971</v>
      </c>
      <c r="F26" s="163"/>
      <c r="G26" s="163"/>
      <c r="H26" s="163"/>
      <c r="I26" s="167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8">
        <v>16</v>
      </c>
      <c r="B27" s="69" t="s">
        <v>208</v>
      </c>
      <c r="C27" s="162" t="s">
        <v>964</v>
      </c>
      <c r="D27" s="162"/>
      <c r="E27" s="163" t="s">
        <v>972</v>
      </c>
      <c r="F27" s="163"/>
      <c r="G27" s="163"/>
      <c r="H27" s="163"/>
      <c r="I27" s="167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8">
        <v>17</v>
      </c>
      <c r="B28" s="69" t="s">
        <v>208</v>
      </c>
      <c r="C28" s="162" t="s">
        <v>965</v>
      </c>
      <c r="D28" s="162"/>
      <c r="E28" s="163" t="s">
        <v>973</v>
      </c>
      <c r="F28" s="163"/>
      <c r="G28" s="163"/>
      <c r="H28" s="163"/>
      <c r="I28" s="167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8">
        <v>18</v>
      </c>
      <c r="B29" s="69" t="s">
        <v>208</v>
      </c>
      <c r="C29" s="162" t="s">
        <v>974</v>
      </c>
      <c r="D29" s="162"/>
      <c r="E29" s="163" t="s">
        <v>976</v>
      </c>
      <c r="F29" s="163"/>
      <c r="G29" s="163"/>
      <c r="H29" s="163"/>
      <c r="I29" s="167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2">
        <v>19</v>
      </c>
      <c r="B30" s="153" t="s">
        <v>208</v>
      </c>
      <c r="C30" s="168" t="s">
        <v>975</v>
      </c>
      <c r="D30" s="168"/>
      <c r="E30" s="169" t="s">
        <v>977</v>
      </c>
      <c r="F30" s="169"/>
      <c r="G30" s="169"/>
      <c r="H30" s="169"/>
      <c r="I30" s="170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6"/>
      <c r="F31" s="146"/>
      <c r="G31" s="146"/>
      <c r="H31" s="146"/>
      <c r="I31" s="146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2" t="s">
        <v>816</v>
      </c>
      <c r="B32" s="91" t="s">
        <v>813</v>
      </c>
      <c r="C32" s="73"/>
      <c r="D32" s="73"/>
      <c r="E32" s="73"/>
      <c r="F32" s="73"/>
      <c r="G32" s="73"/>
      <c r="H32" s="73"/>
      <c r="I32" s="156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6" t="s">
        <v>817</v>
      </c>
      <c r="B33" s="92" t="s">
        <v>922</v>
      </c>
      <c r="C33" s="8"/>
      <c r="D33" s="8"/>
      <c r="E33" s="8"/>
      <c r="F33" s="8"/>
      <c r="G33" s="8"/>
      <c r="H33" s="8"/>
      <c r="I33" s="149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6" t="s">
        <v>772</v>
      </c>
      <c r="B34" s="92" t="s">
        <v>825</v>
      </c>
      <c r="C34" s="8"/>
      <c r="D34" s="8"/>
      <c r="E34" s="8"/>
      <c r="F34" s="8"/>
      <c r="G34" s="8"/>
      <c r="H34" s="8"/>
      <c r="I34" s="149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6" t="s">
        <v>818</v>
      </c>
      <c r="B35" s="92" t="s">
        <v>824</v>
      </c>
      <c r="C35" s="8"/>
      <c r="D35" s="8"/>
      <c r="E35" s="8"/>
      <c r="F35" s="8"/>
      <c r="G35" s="8"/>
      <c r="H35" s="8"/>
      <c r="I35" s="149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6" t="s">
        <v>985</v>
      </c>
      <c r="B36" s="92" t="s">
        <v>986</v>
      </c>
      <c r="C36" s="8"/>
      <c r="D36" s="8"/>
      <c r="E36" s="8"/>
      <c r="F36" s="8"/>
      <c r="G36" s="8"/>
      <c r="H36" s="8"/>
      <c r="I36" s="149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6" t="s">
        <v>955</v>
      </c>
      <c r="B37" s="92" t="s">
        <v>956</v>
      </c>
      <c r="C37" s="8"/>
      <c r="D37" s="8"/>
      <c r="E37" s="8"/>
      <c r="F37" s="8"/>
      <c r="G37" s="8"/>
      <c r="H37" s="8"/>
      <c r="I37" s="149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6" t="s">
        <v>820</v>
      </c>
      <c r="B38" s="92" t="s">
        <v>790</v>
      </c>
      <c r="C38" s="8"/>
      <c r="D38" s="8"/>
      <c r="E38" s="8"/>
      <c r="F38" s="8"/>
      <c r="G38" s="8"/>
      <c r="H38" s="8"/>
      <c r="I38" s="149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6" t="s">
        <v>821</v>
      </c>
      <c r="B39" s="92"/>
      <c r="C39" s="8" t="s">
        <v>981</v>
      </c>
      <c r="D39" s="8"/>
      <c r="E39" s="8"/>
      <c r="F39" s="8"/>
      <c r="G39" s="8"/>
      <c r="H39" s="8"/>
      <c r="I39" s="149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6" t="s">
        <v>793</v>
      </c>
      <c r="B40" s="93">
        <v>10</v>
      </c>
      <c r="C40" s="81"/>
      <c r="D40" s="81"/>
      <c r="E40" s="81"/>
      <c r="F40" s="81"/>
      <c r="G40" s="81"/>
      <c r="H40" s="81"/>
      <c r="I40" s="150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0" t="s">
        <v>784</v>
      </c>
      <c r="B41" s="89" t="s">
        <v>785</v>
      </c>
      <c r="C41" s="89" t="s">
        <v>787</v>
      </c>
      <c r="D41" s="89"/>
      <c r="E41" s="89" t="s">
        <v>788</v>
      </c>
      <c r="F41" s="89" t="s">
        <v>807</v>
      </c>
      <c r="G41" s="89" t="s">
        <v>808</v>
      </c>
      <c r="H41" s="89" t="s">
        <v>811</v>
      </c>
      <c r="I41" s="151" t="s">
        <v>812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8">
        <v>0</v>
      </c>
      <c r="B42" s="69" t="s">
        <v>208</v>
      </c>
      <c r="C42" s="69" t="s">
        <v>326</v>
      </c>
      <c r="D42" s="69"/>
      <c r="E42" s="70" t="s">
        <v>109</v>
      </c>
      <c r="F42" s="70">
        <v>0</v>
      </c>
      <c r="G42" s="70">
        <v>5000</v>
      </c>
      <c r="H42" s="70">
        <v>20</v>
      </c>
      <c r="I42" s="79"/>
    </row>
    <row r="43" spans="1:30" x14ac:dyDescent="0.2">
      <c r="A43" s="78">
        <v>1</v>
      </c>
      <c r="B43" s="69" t="s">
        <v>208</v>
      </c>
      <c r="C43" s="69" t="s">
        <v>931</v>
      </c>
      <c r="D43" s="69"/>
      <c r="E43" s="70" t="s">
        <v>108</v>
      </c>
      <c r="F43" s="70">
        <v>0</v>
      </c>
      <c r="G43" s="70">
        <v>10000</v>
      </c>
      <c r="H43" s="70">
        <v>2000</v>
      </c>
      <c r="I43" s="79"/>
    </row>
    <row r="44" spans="1:30" x14ac:dyDescent="0.2">
      <c r="A44" s="78">
        <v>2</v>
      </c>
      <c r="B44" s="69" t="s">
        <v>208</v>
      </c>
      <c r="C44" s="69" t="s">
        <v>328</v>
      </c>
      <c r="D44" s="69"/>
      <c r="E44" s="70" t="s">
        <v>110</v>
      </c>
      <c r="F44" s="70">
        <v>0</v>
      </c>
      <c r="G44" s="70">
        <v>1</v>
      </c>
      <c r="H44" s="70">
        <v>1</v>
      </c>
      <c r="I44" s="79"/>
    </row>
    <row r="45" spans="1:30" x14ac:dyDescent="0.2">
      <c r="A45" s="78">
        <v>3</v>
      </c>
      <c r="B45" s="69" t="s">
        <v>208</v>
      </c>
      <c r="C45" s="69" t="s">
        <v>714</v>
      </c>
      <c r="D45" s="69"/>
      <c r="E45" s="70" t="s">
        <v>810</v>
      </c>
      <c r="F45" s="70">
        <v>0</v>
      </c>
      <c r="G45" s="70">
        <v>1023</v>
      </c>
      <c r="H45" s="70">
        <v>512</v>
      </c>
      <c r="I45" s="79" t="s">
        <v>833</v>
      </c>
    </row>
    <row r="46" spans="1:30" x14ac:dyDescent="0.2">
      <c r="A46" s="78">
        <v>4</v>
      </c>
      <c r="B46" s="69" t="s">
        <v>208</v>
      </c>
      <c r="C46" s="69" t="s">
        <v>715</v>
      </c>
      <c r="D46" s="69"/>
      <c r="E46" s="70" t="s">
        <v>809</v>
      </c>
      <c r="F46" s="70">
        <v>0</v>
      </c>
      <c r="G46" s="70">
        <v>3</v>
      </c>
      <c r="H46" s="70">
        <v>3</v>
      </c>
      <c r="I46" s="79" t="s">
        <v>834</v>
      </c>
    </row>
    <row r="47" spans="1:30" x14ac:dyDescent="0.2">
      <c r="A47" s="78">
        <v>5</v>
      </c>
      <c r="B47" s="69" t="s">
        <v>208</v>
      </c>
      <c r="C47" s="69" t="s">
        <v>709</v>
      </c>
      <c r="D47" s="69"/>
      <c r="E47" s="70" t="s">
        <v>706</v>
      </c>
      <c r="F47" s="70">
        <v>-32</v>
      </c>
      <c r="G47" s="70">
        <v>150</v>
      </c>
      <c r="H47" s="70">
        <v>80</v>
      </c>
      <c r="I47" s="79" t="s">
        <v>835</v>
      </c>
    </row>
    <row r="48" spans="1:30" x14ac:dyDescent="0.2">
      <c r="A48" s="78">
        <v>6</v>
      </c>
      <c r="B48" s="69" t="s">
        <v>208</v>
      </c>
      <c r="C48" s="69" t="s">
        <v>707</v>
      </c>
      <c r="D48" s="69"/>
      <c r="E48" s="70" t="s">
        <v>120</v>
      </c>
      <c r="F48" s="70"/>
      <c r="G48" s="70"/>
      <c r="H48" s="70"/>
      <c r="I48" s="79"/>
    </row>
    <row r="49" spans="1:9" x14ac:dyDescent="0.2">
      <c r="A49" s="78">
        <v>7</v>
      </c>
      <c r="B49" s="69" t="s">
        <v>208</v>
      </c>
      <c r="C49" s="69" t="s">
        <v>708</v>
      </c>
      <c r="D49" s="69"/>
      <c r="E49" s="70" t="s">
        <v>121</v>
      </c>
      <c r="F49" s="70"/>
      <c r="G49" s="70"/>
      <c r="H49" s="70"/>
      <c r="I49" s="79"/>
    </row>
    <row r="50" spans="1:9" x14ac:dyDescent="0.2">
      <c r="A50" s="78">
        <v>8</v>
      </c>
      <c r="B50" s="69" t="s">
        <v>208</v>
      </c>
      <c r="C50" s="69" t="s">
        <v>290</v>
      </c>
      <c r="D50" s="69"/>
      <c r="E50" s="70" t="s">
        <v>445</v>
      </c>
      <c r="F50" s="70">
        <v>0</v>
      </c>
      <c r="G50" s="70">
        <v>28800</v>
      </c>
      <c r="H50" s="70"/>
      <c r="I50" s="79"/>
    </row>
    <row r="51" spans="1:9" ht="17" thickBot="1" x14ac:dyDescent="0.25">
      <c r="A51" s="152">
        <v>9</v>
      </c>
      <c r="B51" s="153" t="s">
        <v>208</v>
      </c>
      <c r="C51" s="153" t="s">
        <v>289</v>
      </c>
      <c r="D51" s="153"/>
      <c r="E51" s="154" t="s">
        <v>18</v>
      </c>
      <c r="F51" s="154"/>
      <c r="G51" s="154"/>
      <c r="H51" s="154"/>
      <c r="I51" s="155"/>
    </row>
    <row r="52" spans="1:9" ht="17" thickBot="1" x14ac:dyDescent="0.25">
      <c r="A52" s="147"/>
      <c r="E52" s="146"/>
      <c r="F52" s="146"/>
      <c r="G52" s="146"/>
      <c r="H52" s="146"/>
      <c r="I52" s="146"/>
    </row>
    <row r="53" spans="1:9" x14ac:dyDescent="0.2">
      <c r="A53" s="72" t="s">
        <v>816</v>
      </c>
      <c r="B53" s="91" t="s">
        <v>822</v>
      </c>
      <c r="C53" s="73"/>
      <c r="D53" s="73"/>
      <c r="E53" s="73"/>
      <c r="F53" s="73"/>
      <c r="G53" s="73"/>
      <c r="H53" s="73"/>
      <c r="I53" s="156"/>
    </row>
    <row r="54" spans="1:9" x14ac:dyDescent="0.2">
      <c r="A54" s="76" t="s">
        <v>817</v>
      </c>
      <c r="B54" s="92" t="s">
        <v>917</v>
      </c>
      <c r="C54" s="8"/>
      <c r="D54" s="8"/>
      <c r="E54" s="8"/>
      <c r="F54" s="8"/>
      <c r="G54" s="8"/>
      <c r="H54" s="8"/>
      <c r="I54" s="149"/>
    </row>
    <row r="55" spans="1:9" x14ac:dyDescent="0.2">
      <c r="A55" s="76" t="s">
        <v>772</v>
      </c>
      <c r="B55" s="92" t="s">
        <v>827</v>
      </c>
      <c r="C55" s="8"/>
      <c r="D55" s="8"/>
      <c r="E55" s="8"/>
      <c r="F55" s="8"/>
      <c r="G55" s="8"/>
      <c r="H55" s="8"/>
      <c r="I55" s="149"/>
    </row>
    <row r="56" spans="1:9" x14ac:dyDescent="0.2">
      <c r="A56" s="76" t="s">
        <v>818</v>
      </c>
      <c r="B56" s="92" t="s">
        <v>826</v>
      </c>
      <c r="C56" s="8"/>
      <c r="D56" s="8"/>
      <c r="E56" s="8"/>
      <c r="F56" s="8"/>
      <c r="G56" s="8"/>
      <c r="H56" s="8"/>
      <c r="I56" s="149"/>
    </row>
    <row r="57" spans="1:9" x14ac:dyDescent="0.2">
      <c r="A57" s="76" t="s">
        <v>985</v>
      </c>
      <c r="B57" s="92" t="s">
        <v>986</v>
      </c>
      <c r="C57" s="8"/>
      <c r="D57" s="8"/>
      <c r="E57" s="8"/>
      <c r="F57" s="8"/>
      <c r="G57" s="8"/>
      <c r="H57" s="8"/>
      <c r="I57" s="149"/>
    </row>
    <row r="58" spans="1:9" x14ac:dyDescent="0.2">
      <c r="A58" s="76" t="s">
        <v>955</v>
      </c>
      <c r="B58" s="92" t="s">
        <v>956</v>
      </c>
      <c r="C58" s="8"/>
      <c r="D58" s="8"/>
      <c r="E58" s="8"/>
      <c r="F58" s="8"/>
      <c r="G58" s="8"/>
      <c r="H58" s="8"/>
      <c r="I58" s="149"/>
    </row>
    <row r="59" spans="1:9" x14ac:dyDescent="0.2">
      <c r="A59" s="76" t="s">
        <v>820</v>
      </c>
      <c r="B59" s="92" t="s">
        <v>823</v>
      </c>
      <c r="C59" s="8"/>
      <c r="D59" s="8"/>
      <c r="E59" s="8"/>
      <c r="F59" s="8"/>
      <c r="G59" s="8"/>
      <c r="H59" s="8"/>
      <c r="I59" s="149"/>
    </row>
    <row r="60" spans="1:9" x14ac:dyDescent="0.2">
      <c r="A60" s="76" t="s">
        <v>821</v>
      </c>
      <c r="B60" s="92"/>
      <c r="C60" s="8" t="s">
        <v>981</v>
      </c>
      <c r="D60" s="8"/>
      <c r="E60" s="8"/>
      <c r="F60" s="8"/>
      <c r="G60" s="8"/>
      <c r="H60" s="8"/>
      <c r="I60" s="149"/>
    </row>
    <row r="61" spans="1:9" ht="17" thickBot="1" x14ac:dyDescent="0.25">
      <c r="A61" s="76" t="s">
        <v>793</v>
      </c>
      <c r="B61" s="93">
        <v>10</v>
      </c>
      <c r="C61" s="81"/>
      <c r="D61" s="81"/>
      <c r="E61" s="81"/>
      <c r="F61" s="81"/>
      <c r="G61" s="81"/>
      <c r="H61" s="81"/>
      <c r="I61" s="150"/>
    </row>
    <row r="62" spans="1:9" x14ac:dyDescent="0.2">
      <c r="A62" s="90" t="s">
        <v>784</v>
      </c>
      <c r="B62" s="89" t="s">
        <v>785</v>
      </c>
      <c r="C62" s="89" t="s">
        <v>787</v>
      </c>
      <c r="D62" s="89"/>
      <c r="E62" s="89" t="s">
        <v>788</v>
      </c>
      <c r="F62" s="89" t="s">
        <v>807</v>
      </c>
      <c r="G62" s="89" t="s">
        <v>808</v>
      </c>
      <c r="H62" s="89" t="s">
        <v>811</v>
      </c>
      <c r="I62" s="151" t="s">
        <v>812</v>
      </c>
    </row>
    <row r="63" spans="1:9" x14ac:dyDescent="0.2">
      <c r="A63" s="78">
        <v>0</v>
      </c>
      <c r="B63" s="69" t="s">
        <v>208</v>
      </c>
      <c r="C63" s="69" t="s">
        <v>326</v>
      </c>
      <c r="D63" s="69"/>
      <c r="E63" s="70" t="s">
        <v>109</v>
      </c>
      <c r="F63" s="70">
        <v>0</v>
      </c>
      <c r="G63" s="70">
        <v>5000</v>
      </c>
      <c r="H63" s="70">
        <v>20</v>
      </c>
      <c r="I63" s="79"/>
    </row>
    <row r="64" spans="1:9" x14ac:dyDescent="0.2">
      <c r="A64" s="78">
        <v>1</v>
      </c>
      <c r="B64" s="69" t="s">
        <v>208</v>
      </c>
      <c r="C64" s="69" t="s">
        <v>931</v>
      </c>
      <c r="D64" s="69"/>
      <c r="E64" s="70" t="s">
        <v>108</v>
      </c>
      <c r="F64" s="70">
        <v>0</v>
      </c>
      <c r="G64" s="70">
        <v>10000</v>
      </c>
      <c r="H64" s="70">
        <v>2000</v>
      </c>
      <c r="I64" s="79"/>
    </row>
    <row r="65" spans="1:9" x14ac:dyDescent="0.2">
      <c r="A65" s="78">
        <v>2</v>
      </c>
      <c r="B65" s="69" t="s">
        <v>208</v>
      </c>
      <c r="C65" s="69" t="s">
        <v>328</v>
      </c>
      <c r="D65" s="69"/>
      <c r="E65" s="70" t="s">
        <v>110</v>
      </c>
      <c r="F65" s="70">
        <v>0</v>
      </c>
      <c r="G65" s="70">
        <v>1</v>
      </c>
      <c r="H65" s="70">
        <v>1</v>
      </c>
      <c r="I65" s="79"/>
    </row>
    <row r="66" spans="1:9" x14ac:dyDescent="0.2">
      <c r="A66" s="78">
        <v>3</v>
      </c>
      <c r="B66" s="69" t="s">
        <v>208</v>
      </c>
      <c r="C66" s="69" t="s">
        <v>714</v>
      </c>
      <c r="D66" s="69"/>
      <c r="E66" s="70" t="s">
        <v>810</v>
      </c>
      <c r="F66" s="70">
        <v>0</v>
      </c>
      <c r="G66" s="70">
        <v>1023</v>
      </c>
      <c r="H66" s="70">
        <v>512</v>
      </c>
      <c r="I66" s="79" t="s">
        <v>832</v>
      </c>
    </row>
    <row r="67" spans="1:9" x14ac:dyDescent="0.2">
      <c r="A67" s="78">
        <v>4</v>
      </c>
      <c r="B67" s="69" t="s">
        <v>208</v>
      </c>
      <c r="C67" s="69" t="s">
        <v>715</v>
      </c>
      <c r="D67" s="69"/>
      <c r="E67" s="70" t="s">
        <v>809</v>
      </c>
      <c r="F67" s="70">
        <v>0</v>
      </c>
      <c r="G67" s="70">
        <v>3</v>
      </c>
      <c r="H67" s="70">
        <v>3</v>
      </c>
      <c r="I67" s="79" t="s">
        <v>815</v>
      </c>
    </row>
    <row r="68" spans="1:9" x14ac:dyDescent="0.2">
      <c r="A68" s="78">
        <v>5</v>
      </c>
      <c r="B68" s="69" t="s">
        <v>208</v>
      </c>
      <c r="C68" s="69" t="s">
        <v>709</v>
      </c>
      <c r="D68" s="69"/>
      <c r="E68" s="70" t="s">
        <v>706</v>
      </c>
      <c r="F68" s="70">
        <v>-32</v>
      </c>
      <c r="G68" s="70">
        <v>150</v>
      </c>
      <c r="H68" s="70">
        <v>80</v>
      </c>
      <c r="I68" s="79" t="s">
        <v>836</v>
      </c>
    </row>
    <row r="69" spans="1:9" x14ac:dyDescent="0.2">
      <c r="A69" s="78">
        <v>6</v>
      </c>
      <c r="B69" s="69" t="s">
        <v>208</v>
      </c>
      <c r="C69" s="69" t="s">
        <v>707</v>
      </c>
      <c r="D69" s="69"/>
      <c r="E69" s="70" t="s">
        <v>120</v>
      </c>
      <c r="F69" s="70"/>
      <c r="G69" s="70"/>
      <c r="H69" s="70"/>
      <c r="I69" s="79"/>
    </row>
    <row r="70" spans="1:9" x14ac:dyDescent="0.2">
      <c r="A70" s="78">
        <v>7</v>
      </c>
      <c r="B70" s="69" t="s">
        <v>208</v>
      </c>
      <c r="C70" s="69" t="s">
        <v>708</v>
      </c>
      <c r="D70" s="69"/>
      <c r="E70" s="70" t="s">
        <v>121</v>
      </c>
      <c r="F70" s="70"/>
      <c r="G70" s="70"/>
      <c r="H70" s="70"/>
      <c r="I70" s="79"/>
    </row>
    <row r="71" spans="1:9" x14ac:dyDescent="0.2">
      <c r="A71" s="78">
        <v>8</v>
      </c>
      <c r="B71" s="69" t="s">
        <v>208</v>
      </c>
      <c r="C71" s="69" t="s">
        <v>290</v>
      </c>
      <c r="D71" s="69"/>
      <c r="E71" s="70" t="s">
        <v>445</v>
      </c>
      <c r="F71" s="70">
        <v>0</v>
      </c>
      <c r="G71" s="70">
        <v>28800</v>
      </c>
      <c r="H71" s="70"/>
      <c r="I71" s="79"/>
    </row>
    <row r="72" spans="1:9" ht="17" thickBot="1" x14ac:dyDescent="0.25">
      <c r="A72" s="152">
        <v>9</v>
      </c>
      <c r="B72" s="153" t="s">
        <v>208</v>
      </c>
      <c r="C72" s="153" t="s">
        <v>289</v>
      </c>
      <c r="D72" s="153"/>
      <c r="E72" s="154" t="s">
        <v>18</v>
      </c>
      <c r="F72" s="154"/>
      <c r="G72" s="154"/>
      <c r="H72" s="154"/>
      <c r="I72" s="155"/>
    </row>
    <row r="73" spans="1:9" ht="17" thickBot="1" x14ac:dyDescent="0.25"/>
    <row r="74" spans="1:9" x14ac:dyDescent="0.2">
      <c r="A74" s="72" t="s">
        <v>816</v>
      </c>
      <c r="B74" s="91" t="s">
        <v>828</v>
      </c>
      <c r="C74" s="73"/>
      <c r="D74" s="73"/>
      <c r="E74" s="73"/>
      <c r="F74" s="73"/>
      <c r="G74" s="73"/>
      <c r="H74" s="73"/>
      <c r="I74" s="73"/>
    </row>
    <row r="75" spans="1:9" x14ac:dyDescent="0.2">
      <c r="A75" s="76" t="s">
        <v>817</v>
      </c>
      <c r="B75" s="92" t="s">
        <v>920</v>
      </c>
      <c r="C75" s="8"/>
      <c r="D75" s="8"/>
      <c r="E75" s="8"/>
      <c r="F75" s="8"/>
      <c r="G75" s="8"/>
      <c r="H75" s="8"/>
      <c r="I75" s="8"/>
    </row>
    <row r="76" spans="1:9" x14ac:dyDescent="0.2">
      <c r="A76" s="76" t="s">
        <v>772</v>
      </c>
      <c r="B76" s="92" t="s">
        <v>830</v>
      </c>
      <c r="C76" s="8"/>
      <c r="D76" s="8"/>
      <c r="E76" s="8"/>
      <c r="F76" s="8"/>
      <c r="G76" s="8"/>
      <c r="H76" s="8"/>
      <c r="I76" s="8"/>
    </row>
    <row r="77" spans="1:9" x14ac:dyDescent="0.2">
      <c r="A77" s="76" t="s">
        <v>818</v>
      </c>
      <c r="B77" s="92" t="s">
        <v>829</v>
      </c>
      <c r="C77" s="8"/>
      <c r="D77" s="8"/>
      <c r="E77" s="8"/>
      <c r="F77" s="8"/>
      <c r="G77" s="8"/>
      <c r="H77" s="8"/>
      <c r="I77" s="8"/>
    </row>
    <row r="78" spans="1:9" x14ac:dyDescent="0.2">
      <c r="A78" s="76" t="s">
        <v>985</v>
      </c>
      <c r="B78" s="92" t="s">
        <v>986</v>
      </c>
      <c r="C78" s="8"/>
      <c r="D78" s="8"/>
      <c r="E78" s="8"/>
      <c r="F78" s="8"/>
      <c r="G78" s="8"/>
      <c r="H78" s="8"/>
      <c r="I78" s="8"/>
    </row>
    <row r="79" spans="1:9" x14ac:dyDescent="0.2">
      <c r="A79" s="76" t="s">
        <v>955</v>
      </c>
      <c r="B79" s="92" t="s">
        <v>956</v>
      </c>
      <c r="C79" s="8"/>
      <c r="D79" s="8"/>
      <c r="E79" s="8"/>
      <c r="F79" s="8"/>
      <c r="G79" s="8"/>
      <c r="H79" s="8"/>
      <c r="I79" s="8"/>
    </row>
    <row r="80" spans="1:9" x14ac:dyDescent="0.2">
      <c r="A80" s="76" t="s">
        <v>820</v>
      </c>
      <c r="B80" s="92" t="s">
        <v>850</v>
      </c>
      <c r="C80" s="8"/>
      <c r="D80" s="8"/>
      <c r="E80" s="8"/>
      <c r="F80" s="8"/>
      <c r="G80" s="8"/>
      <c r="H80" s="8"/>
      <c r="I80" s="8"/>
    </row>
    <row r="81" spans="1:9" x14ac:dyDescent="0.2">
      <c r="A81" s="76" t="s">
        <v>821</v>
      </c>
      <c r="B81" s="92"/>
      <c r="C81" s="8" t="s">
        <v>981</v>
      </c>
      <c r="D81" s="8"/>
      <c r="E81" s="8"/>
      <c r="F81" s="8"/>
      <c r="G81" s="8"/>
      <c r="H81" s="8"/>
      <c r="I81" s="8"/>
    </row>
    <row r="82" spans="1:9" ht="17" thickBot="1" x14ac:dyDescent="0.25">
      <c r="A82" s="76" t="s">
        <v>793</v>
      </c>
      <c r="B82" s="93">
        <v>10</v>
      </c>
      <c r="C82" s="81"/>
      <c r="D82" s="81"/>
      <c r="E82" s="81"/>
      <c r="F82" s="81"/>
      <c r="G82" s="81"/>
      <c r="H82" s="81"/>
      <c r="I82" s="81"/>
    </row>
    <row r="83" spans="1:9" x14ac:dyDescent="0.2">
      <c r="A83" s="90" t="s">
        <v>784</v>
      </c>
      <c r="B83" s="89" t="s">
        <v>785</v>
      </c>
      <c r="C83" s="89" t="s">
        <v>787</v>
      </c>
      <c r="D83" s="89"/>
      <c r="E83" s="89" t="s">
        <v>788</v>
      </c>
      <c r="F83" s="89" t="s">
        <v>807</v>
      </c>
      <c r="G83" s="89" t="s">
        <v>808</v>
      </c>
      <c r="H83" s="89" t="s">
        <v>811</v>
      </c>
      <c r="I83" s="89" t="s">
        <v>812</v>
      </c>
    </row>
    <row r="84" spans="1:9" x14ac:dyDescent="0.2">
      <c r="A84" s="78">
        <v>0</v>
      </c>
      <c r="B84" s="69" t="s">
        <v>208</v>
      </c>
      <c r="C84" s="69" t="s">
        <v>326</v>
      </c>
      <c r="D84" s="69"/>
      <c r="E84" s="70" t="s">
        <v>109</v>
      </c>
      <c r="F84" s="70">
        <v>0</v>
      </c>
      <c r="G84" s="70">
        <v>5000</v>
      </c>
      <c r="H84" s="70">
        <v>20</v>
      </c>
      <c r="I84" s="70"/>
    </row>
    <row r="85" spans="1:9" x14ac:dyDescent="0.2">
      <c r="A85" s="78">
        <v>1</v>
      </c>
      <c r="B85" s="69" t="s">
        <v>208</v>
      </c>
      <c r="C85" s="69" t="s">
        <v>931</v>
      </c>
      <c r="D85" s="69"/>
      <c r="E85" s="70" t="s">
        <v>108</v>
      </c>
      <c r="F85" s="70">
        <v>0</v>
      </c>
      <c r="G85" s="70">
        <v>10000</v>
      </c>
      <c r="H85" s="70">
        <v>2000</v>
      </c>
      <c r="I85" s="70"/>
    </row>
    <row r="86" spans="1:9" x14ac:dyDescent="0.2">
      <c r="A86" s="78">
        <v>2</v>
      </c>
      <c r="B86" s="69" t="s">
        <v>208</v>
      </c>
      <c r="C86" s="69" t="s">
        <v>328</v>
      </c>
      <c r="D86" s="69"/>
      <c r="E86" s="70" t="s">
        <v>110</v>
      </c>
      <c r="F86" s="70">
        <v>0</v>
      </c>
      <c r="G86" s="70">
        <v>1</v>
      </c>
      <c r="H86" s="70">
        <v>1</v>
      </c>
      <c r="I86" s="70"/>
    </row>
    <row r="87" spans="1:9" x14ac:dyDescent="0.2">
      <c r="A87" s="78">
        <v>3</v>
      </c>
      <c r="B87" s="69" t="s">
        <v>208</v>
      </c>
      <c r="C87" s="69" t="s">
        <v>714</v>
      </c>
      <c r="D87" s="69"/>
      <c r="E87" s="70" t="s">
        <v>810</v>
      </c>
      <c r="F87" s="70">
        <v>0</v>
      </c>
      <c r="G87" s="70">
        <v>1023</v>
      </c>
      <c r="H87" s="70">
        <v>512</v>
      </c>
      <c r="I87" s="70" t="s">
        <v>831</v>
      </c>
    </row>
    <row r="88" spans="1:9" ht="14" customHeight="1" x14ac:dyDescent="0.2">
      <c r="A88" s="78">
        <v>4</v>
      </c>
      <c r="B88" s="69" t="s">
        <v>208</v>
      </c>
      <c r="C88" s="69" t="s">
        <v>715</v>
      </c>
      <c r="D88" s="69"/>
      <c r="E88" s="70" t="s">
        <v>809</v>
      </c>
      <c r="F88" s="70">
        <v>0</v>
      </c>
      <c r="G88" s="70">
        <v>3</v>
      </c>
      <c r="H88" s="70">
        <v>3</v>
      </c>
      <c r="I88" s="70" t="s">
        <v>815</v>
      </c>
    </row>
    <row r="89" spans="1:9" x14ac:dyDescent="0.2">
      <c r="A89" s="78">
        <v>5</v>
      </c>
      <c r="B89" s="69" t="s">
        <v>208</v>
      </c>
      <c r="C89" s="69" t="s">
        <v>709</v>
      </c>
      <c r="D89" s="69"/>
      <c r="E89" s="70" t="s">
        <v>706</v>
      </c>
      <c r="F89" s="70">
        <v>-32</v>
      </c>
      <c r="G89" s="70">
        <v>150</v>
      </c>
      <c r="H89" s="70">
        <v>80</v>
      </c>
      <c r="I89" s="70" t="s">
        <v>837</v>
      </c>
    </row>
    <row r="90" spans="1:9" x14ac:dyDescent="0.2">
      <c r="A90" s="78">
        <v>6</v>
      </c>
      <c r="B90" s="69" t="s">
        <v>208</v>
      </c>
      <c r="C90" s="69" t="s">
        <v>707</v>
      </c>
      <c r="D90" s="69"/>
      <c r="E90" s="70" t="s">
        <v>120</v>
      </c>
      <c r="F90" s="70"/>
      <c r="G90" s="70"/>
      <c r="H90" s="70"/>
      <c r="I90" s="70"/>
    </row>
    <row r="91" spans="1:9" x14ac:dyDescent="0.2">
      <c r="A91" s="78">
        <v>7</v>
      </c>
      <c r="B91" s="69" t="s">
        <v>208</v>
      </c>
      <c r="C91" s="69" t="s">
        <v>708</v>
      </c>
      <c r="D91" s="69"/>
      <c r="E91" s="70" t="s">
        <v>121</v>
      </c>
      <c r="F91" s="70"/>
      <c r="G91" s="70"/>
      <c r="H91" s="70"/>
      <c r="I91" s="70"/>
    </row>
    <row r="92" spans="1:9" x14ac:dyDescent="0.2">
      <c r="A92" s="78">
        <v>8</v>
      </c>
      <c r="B92" s="69" t="s">
        <v>208</v>
      </c>
      <c r="C92" s="69" t="s">
        <v>290</v>
      </c>
      <c r="D92" s="69"/>
      <c r="E92" s="70" t="s">
        <v>445</v>
      </c>
      <c r="F92" s="70">
        <v>0</v>
      </c>
      <c r="G92" s="70">
        <v>28800</v>
      </c>
      <c r="H92" s="70"/>
      <c r="I92" s="70"/>
    </row>
    <row r="93" spans="1:9" x14ac:dyDescent="0.2">
      <c r="A93" s="78">
        <v>9</v>
      </c>
      <c r="B93" s="69" t="s">
        <v>208</v>
      </c>
      <c r="C93" s="69" t="s">
        <v>289</v>
      </c>
      <c r="D93" s="69"/>
      <c r="E93" s="70" t="s">
        <v>18</v>
      </c>
      <c r="F93" s="70"/>
      <c r="G93" s="70"/>
      <c r="H93" s="70"/>
      <c r="I93" s="70"/>
    </row>
    <row r="94" spans="1:9" ht="17" thickBot="1" x14ac:dyDescent="0.25">
      <c r="I94"/>
    </row>
    <row r="95" spans="1:9" x14ac:dyDescent="0.2">
      <c r="A95" s="72" t="s">
        <v>816</v>
      </c>
      <c r="B95" s="91" t="s">
        <v>838</v>
      </c>
      <c r="C95" s="73"/>
      <c r="D95" s="73"/>
      <c r="E95" s="73"/>
      <c r="F95" s="73"/>
      <c r="G95" s="73"/>
      <c r="H95" s="73"/>
      <c r="I95" s="73"/>
    </row>
    <row r="96" spans="1:9" x14ac:dyDescent="0.2">
      <c r="A96" s="76" t="s">
        <v>817</v>
      </c>
      <c r="B96" s="92" t="s">
        <v>923</v>
      </c>
      <c r="C96" s="8"/>
      <c r="D96" s="8"/>
      <c r="E96" s="8"/>
      <c r="F96" s="8"/>
      <c r="G96" s="8"/>
      <c r="H96" s="8"/>
      <c r="I96" s="8"/>
    </row>
    <row r="97" spans="1:9" x14ac:dyDescent="0.2">
      <c r="A97" s="76" t="s">
        <v>772</v>
      </c>
      <c r="B97" s="92" t="s">
        <v>848</v>
      </c>
      <c r="C97" s="8"/>
      <c r="D97" s="8"/>
      <c r="E97" s="8"/>
      <c r="F97" s="8"/>
      <c r="G97" s="8"/>
      <c r="H97" s="8"/>
      <c r="I97" s="8"/>
    </row>
    <row r="98" spans="1:9" x14ac:dyDescent="0.2">
      <c r="A98" s="76" t="s">
        <v>818</v>
      </c>
      <c r="B98" s="92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6" t="s">
        <v>985</v>
      </c>
      <c r="B99" s="92" t="s">
        <v>986</v>
      </c>
      <c r="C99" s="8"/>
      <c r="D99" s="8"/>
      <c r="E99" s="8"/>
      <c r="F99" s="8"/>
      <c r="G99" s="8"/>
      <c r="H99" s="8"/>
      <c r="I99" s="8"/>
    </row>
    <row r="100" spans="1:9" x14ac:dyDescent="0.2">
      <c r="A100" s="76" t="s">
        <v>955</v>
      </c>
      <c r="B100" s="92" t="s">
        <v>956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6" t="s">
        <v>820</v>
      </c>
      <c r="B101" s="92" t="s">
        <v>849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6" t="s">
        <v>821</v>
      </c>
      <c r="B102" s="92"/>
      <c r="C102" s="8" t="s">
        <v>981</v>
      </c>
      <c r="D102" s="8"/>
      <c r="E102" s="8"/>
      <c r="F102" s="8"/>
      <c r="G102" s="8"/>
      <c r="H102" s="8"/>
      <c r="I102" s="8"/>
    </row>
    <row r="103" spans="1:9" ht="17" thickBot="1" x14ac:dyDescent="0.25">
      <c r="A103" s="76" t="s">
        <v>793</v>
      </c>
      <c r="B103" s="93">
        <v>10</v>
      </c>
      <c r="C103" s="81"/>
      <c r="D103" s="81"/>
      <c r="E103" s="81"/>
      <c r="F103" s="81"/>
      <c r="G103" s="81"/>
      <c r="H103" s="81"/>
      <c r="I103" s="81"/>
    </row>
    <row r="104" spans="1:9" x14ac:dyDescent="0.2">
      <c r="A104" s="90" t="s">
        <v>784</v>
      </c>
      <c r="B104" s="89" t="s">
        <v>785</v>
      </c>
      <c r="C104" s="89" t="s">
        <v>787</v>
      </c>
      <c r="D104" s="89"/>
      <c r="E104" s="89" t="s">
        <v>788</v>
      </c>
      <c r="F104" s="89" t="s">
        <v>807</v>
      </c>
      <c r="G104" s="89" t="s">
        <v>808</v>
      </c>
      <c r="H104" s="89" t="s">
        <v>811</v>
      </c>
      <c r="I104" s="89" t="s">
        <v>812</v>
      </c>
    </row>
    <row r="105" spans="1:9" x14ac:dyDescent="0.2">
      <c r="A105" s="78">
        <v>0</v>
      </c>
      <c r="B105" s="69" t="s">
        <v>208</v>
      </c>
      <c r="C105" s="69" t="s">
        <v>326</v>
      </c>
      <c r="D105" s="69"/>
      <c r="E105" s="70" t="s">
        <v>109</v>
      </c>
      <c r="F105" s="70">
        <v>0</v>
      </c>
      <c r="G105" s="70">
        <v>5000</v>
      </c>
      <c r="H105" s="70">
        <v>20</v>
      </c>
      <c r="I105" s="70"/>
    </row>
    <row r="106" spans="1:9" x14ac:dyDescent="0.2">
      <c r="A106" s="78">
        <v>1</v>
      </c>
      <c r="B106" s="69" t="s">
        <v>208</v>
      </c>
      <c r="C106" s="69" t="s">
        <v>931</v>
      </c>
      <c r="D106" s="69"/>
      <c r="E106" s="70" t="s">
        <v>108</v>
      </c>
      <c r="F106" s="70">
        <v>0</v>
      </c>
      <c r="G106" s="70">
        <v>10000</v>
      </c>
      <c r="H106" s="70">
        <v>2000</v>
      </c>
      <c r="I106" s="70"/>
    </row>
    <row r="107" spans="1:9" x14ac:dyDescent="0.2">
      <c r="A107" s="78">
        <v>2</v>
      </c>
      <c r="B107" s="69" t="s">
        <v>208</v>
      </c>
      <c r="C107" s="69" t="s">
        <v>328</v>
      </c>
      <c r="D107" s="69"/>
      <c r="E107" s="70" t="s">
        <v>110</v>
      </c>
      <c r="F107" s="70">
        <v>0</v>
      </c>
      <c r="G107" s="70">
        <v>1</v>
      </c>
      <c r="H107" s="70">
        <v>1</v>
      </c>
      <c r="I107" s="70"/>
    </row>
    <row r="108" spans="1:9" x14ac:dyDescent="0.2">
      <c r="A108" s="78">
        <v>3</v>
      </c>
      <c r="B108" s="69" t="s">
        <v>208</v>
      </c>
      <c r="C108" s="69" t="s">
        <v>714</v>
      </c>
      <c r="D108" s="69"/>
      <c r="E108" s="70" t="s">
        <v>810</v>
      </c>
      <c r="F108" s="70">
        <v>0</v>
      </c>
      <c r="G108" s="70">
        <v>1023</v>
      </c>
      <c r="H108" s="70">
        <v>512</v>
      </c>
      <c r="I108" s="70"/>
    </row>
    <row r="109" spans="1:9" x14ac:dyDescent="0.2">
      <c r="A109" s="78">
        <v>4</v>
      </c>
      <c r="B109" s="69" t="s">
        <v>208</v>
      </c>
      <c r="C109" s="69" t="s">
        <v>715</v>
      </c>
      <c r="D109" s="69"/>
      <c r="E109" s="70" t="s">
        <v>809</v>
      </c>
      <c r="F109" s="70">
        <v>0</v>
      </c>
      <c r="G109" s="70">
        <v>3</v>
      </c>
      <c r="H109" s="70">
        <v>3</v>
      </c>
      <c r="I109" s="70" t="s">
        <v>815</v>
      </c>
    </row>
    <row r="110" spans="1:9" x14ac:dyDescent="0.2">
      <c r="A110" s="78">
        <v>5</v>
      </c>
      <c r="B110" s="69" t="s">
        <v>208</v>
      </c>
      <c r="C110" s="69" t="s">
        <v>709</v>
      </c>
      <c r="D110" s="69"/>
      <c r="E110" s="70" t="s">
        <v>706</v>
      </c>
      <c r="F110" s="70">
        <v>-32</v>
      </c>
      <c r="G110" s="70">
        <v>150</v>
      </c>
      <c r="H110" s="70">
        <v>80</v>
      </c>
      <c r="I110" s="70"/>
    </row>
    <row r="111" spans="1:9" x14ac:dyDescent="0.2">
      <c r="A111" s="78">
        <v>6</v>
      </c>
      <c r="B111" s="69" t="s">
        <v>208</v>
      </c>
      <c r="C111" s="69" t="s">
        <v>707</v>
      </c>
      <c r="D111" s="69"/>
      <c r="E111" s="70" t="s">
        <v>120</v>
      </c>
      <c r="F111" s="70"/>
      <c r="G111" s="70"/>
      <c r="H111" s="70"/>
      <c r="I111" s="70"/>
    </row>
    <row r="112" spans="1:9" x14ac:dyDescent="0.2">
      <c r="A112" s="78">
        <v>7</v>
      </c>
      <c r="B112" s="69" t="s">
        <v>208</v>
      </c>
      <c r="C112" s="69" t="s">
        <v>708</v>
      </c>
      <c r="D112" s="69"/>
      <c r="E112" s="70" t="s">
        <v>121</v>
      </c>
      <c r="F112" s="70"/>
      <c r="G112" s="70"/>
      <c r="H112" s="70"/>
      <c r="I112" s="70"/>
    </row>
    <row r="113" spans="1:9" x14ac:dyDescent="0.2">
      <c r="A113" s="78">
        <v>8</v>
      </c>
      <c r="B113" s="69" t="s">
        <v>208</v>
      </c>
      <c r="C113" s="69" t="s">
        <v>290</v>
      </c>
      <c r="D113" s="69"/>
      <c r="E113" s="70" t="s">
        <v>445</v>
      </c>
      <c r="F113" s="70">
        <v>0</v>
      </c>
      <c r="G113" s="70">
        <v>28800</v>
      </c>
      <c r="H113" s="70"/>
      <c r="I113" s="70"/>
    </row>
    <row r="114" spans="1:9" x14ac:dyDescent="0.2">
      <c r="A114" s="78">
        <v>9</v>
      </c>
      <c r="B114" s="69" t="s">
        <v>208</v>
      </c>
      <c r="C114" s="69" t="s">
        <v>289</v>
      </c>
      <c r="D114" s="69"/>
      <c r="E114" s="70" t="s">
        <v>18</v>
      </c>
      <c r="F114" s="70"/>
      <c r="G114" s="70"/>
      <c r="H114" s="70"/>
      <c r="I114" s="70"/>
    </row>
    <row r="115" spans="1:9" ht="17" thickBot="1" x14ac:dyDescent="0.25">
      <c r="I115"/>
    </row>
    <row r="116" spans="1:9" x14ac:dyDescent="0.2">
      <c r="A116" s="72" t="s">
        <v>816</v>
      </c>
      <c r="B116" s="91" t="s">
        <v>847</v>
      </c>
      <c r="C116" s="73"/>
      <c r="D116" s="73"/>
      <c r="E116" s="73"/>
      <c r="F116" s="73"/>
      <c r="G116" s="73"/>
      <c r="H116" s="73"/>
      <c r="I116" s="73"/>
    </row>
    <row r="117" spans="1:9" x14ac:dyDescent="0.2">
      <c r="A117" s="76" t="s">
        <v>817</v>
      </c>
      <c r="B117" s="92" t="s">
        <v>921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6" t="s">
        <v>772</v>
      </c>
      <c r="B118" s="92" t="s">
        <v>840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6" t="s">
        <v>818</v>
      </c>
      <c r="B119" s="92" t="s">
        <v>839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6" t="s">
        <v>985</v>
      </c>
      <c r="B120" s="92" t="s">
        <v>986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6" t="s">
        <v>955</v>
      </c>
      <c r="B121" s="92" t="s">
        <v>956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6" t="s">
        <v>820</v>
      </c>
      <c r="B122" s="92" t="s">
        <v>841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6" t="s">
        <v>821</v>
      </c>
      <c r="B123" s="92"/>
      <c r="C123" s="8" t="s">
        <v>981</v>
      </c>
      <c r="D123" s="8"/>
      <c r="E123" s="8"/>
      <c r="F123" s="8"/>
      <c r="G123" s="8"/>
      <c r="H123" s="8"/>
      <c r="I123" s="8"/>
    </row>
    <row r="124" spans="1:9" ht="17" thickBot="1" x14ac:dyDescent="0.25">
      <c r="A124" s="76" t="s">
        <v>793</v>
      </c>
      <c r="B124" s="93">
        <v>20</v>
      </c>
      <c r="C124" s="81"/>
      <c r="D124" s="81"/>
      <c r="E124" s="81"/>
      <c r="F124" s="81"/>
      <c r="G124" s="81"/>
      <c r="H124" s="81"/>
      <c r="I124" s="81"/>
    </row>
    <row r="125" spans="1:9" x14ac:dyDescent="0.2">
      <c r="A125" s="90" t="s">
        <v>784</v>
      </c>
      <c r="B125" s="89" t="s">
        <v>785</v>
      </c>
      <c r="C125" s="89" t="s">
        <v>787</v>
      </c>
      <c r="D125" s="89"/>
      <c r="E125" s="89" t="s">
        <v>788</v>
      </c>
      <c r="F125" s="89" t="s">
        <v>807</v>
      </c>
      <c r="G125" s="89" t="s">
        <v>808</v>
      </c>
      <c r="H125" s="89" t="s">
        <v>811</v>
      </c>
      <c r="I125" s="89" t="s">
        <v>812</v>
      </c>
    </row>
    <row r="126" spans="1:9" x14ac:dyDescent="0.2">
      <c r="A126" s="78">
        <v>0</v>
      </c>
      <c r="B126" s="69" t="s">
        <v>208</v>
      </c>
      <c r="C126" s="69" t="s">
        <v>326</v>
      </c>
      <c r="D126" s="69"/>
      <c r="E126" s="70" t="s">
        <v>109</v>
      </c>
      <c r="F126" s="70">
        <v>0</v>
      </c>
      <c r="G126" s="70">
        <v>5000</v>
      </c>
      <c r="H126" s="70">
        <v>20</v>
      </c>
      <c r="I126" s="70"/>
    </row>
    <row r="127" spans="1:9" x14ac:dyDescent="0.2">
      <c r="A127" s="78">
        <v>1</v>
      </c>
      <c r="B127" s="69" t="s">
        <v>208</v>
      </c>
      <c r="C127" s="69" t="s">
        <v>931</v>
      </c>
      <c r="D127" s="69"/>
      <c r="E127" s="70" t="s">
        <v>108</v>
      </c>
      <c r="F127" s="70">
        <v>0</v>
      </c>
      <c r="G127" s="70">
        <v>10000</v>
      </c>
      <c r="H127" s="70">
        <v>2000</v>
      </c>
      <c r="I127" s="70"/>
    </row>
    <row r="128" spans="1:9" x14ac:dyDescent="0.2">
      <c r="A128" s="78">
        <v>2</v>
      </c>
      <c r="B128" s="69" t="s">
        <v>208</v>
      </c>
      <c r="C128" s="69" t="s">
        <v>328</v>
      </c>
      <c r="D128" s="69"/>
      <c r="E128" s="70" t="s">
        <v>110</v>
      </c>
      <c r="F128" s="70">
        <v>0</v>
      </c>
      <c r="G128" s="70">
        <v>1</v>
      </c>
      <c r="H128" s="70">
        <v>1</v>
      </c>
      <c r="I128" s="70"/>
    </row>
    <row r="129" spans="1:9" x14ac:dyDescent="0.2">
      <c r="A129" s="78">
        <v>3</v>
      </c>
      <c r="B129" s="69" t="s">
        <v>208</v>
      </c>
      <c r="C129" s="69" t="s">
        <v>714</v>
      </c>
      <c r="D129" s="69"/>
      <c r="E129" s="70" t="s">
        <v>810</v>
      </c>
      <c r="F129" s="70">
        <v>0</v>
      </c>
      <c r="G129" s="70">
        <v>1023</v>
      </c>
      <c r="H129" s="70">
        <v>512</v>
      </c>
      <c r="I129" s="70"/>
    </row>
    <row r="130" spans="1:9" x14ac:dyDescent="0.2">
      <c r="A130" s="78">
        <v>4</v>
      </c>
      <c r="B130" s="69" t="s">
        <v>208</v>
      </c>
      <c r="C130" s="69" t="s">
        <v>715</v>
      </c>
      <c r="D130" s="69"/>
      <c r="E130" s="70" t="s">
        <v>809</v>
      </c>
      <c r="F130" s="70">
        <v>0</v>
      </c>
      <c r="G130" s="70">
        <v>3</v>
      </c>
      <c r="H130" s="70">
        <v>3</v>
      </c>
      <c r="I130" s="70"/>
    </row>
    <row r="131" spans="1:9" x14ac:dyDescent="0.2">
      <c r="A131" s="78">
        <v>5</v>
      </c>
      <c r="B131" s="69" t="s">
        <v>208</v>
      </c>
      <c r="C131" s="69" t="s">
        <v>709</v>
      </c>
      <c r="D131" s="69"/>
      <c r="E131" s="70" t="s">
        <v>706</v>
      </c>
      <c r="F131" s="70">
        <v>-32</v>
      </c>
      <c r="G131" s="70">
        <v>150</v>
      </c>
      <c r="H131" s="70">
        <v>80</v>
      </c>
      <c r="I131" s="70" t="s">
        <v>846</v>
      </c>
    </row>
    <row r="132" spans="1:9" x14ac:dyDescent="0.2">
      <c r="A132" s="78">
        <v>6</v>
      </c>
      <c r="B132" s="69" t="s">
        <v>208</v>
      </c>
      <c r="C132" s="69" t="s">
        <v>707</v>
      </c>
      <c r="D132" s="69"/>
      <c r="E132" s="70" t="s">
        <v>120</v>
      </c>
      <c r="F132" s="70"/>
      <c r="G132" s="70"/>
      <c r="H132" s="70"/>
      <c r="I132" s="70"/>
    </row>
    <row r="133" spans="1:9" x14ac:dyDescent="0.2">
      <c r="A133" s="78">
        <v>7</v>
      </c>
      <c r="B133" s="69" t="s">
        <v>208</v>
      </c>
      <c r="C133" s="69" t="s">
        <v>708</v>
      </c>
      <c r="D133" s="69"/>
      <c r="E133" s="70" t="s">
        <v>121</v>
      </c>
      <c r="F133" s="70"/>
      <c r="G133" s="70"/>
      <c r="H133" s="70"/>
      <c r="I133" s="172"/>
    </row>
    <row r="134" spans="1:9" x14ac:dyDescent="0.2">
      <c r="A134" s="78">
        <v>8</v>
      </c>
      <c r="B134" s="69" t="s">
        <v>208</v>
      </c>
      <c r="C134" s="69" t="s">
        <v>290</v>
      </c>
      <c r="D134" s="69"/>
      <c r="E134" s="70" t="s">
        <v>445</v>
      </c>
      <c r="F134" s="70">
        <v>0</v>
      </c>
      <c r="G134" s="70">
        <v>28800</v>
      </c>
      <c r="H134" s="70"/>
      <c r="I134" s="70"/>
    </row>
    <row r="135" spans="1:9" ht="17" thickBot="1" x14ac:dyDescent="0.25">
      <c r="A135" s="78">
        <v>9</v>
      </c>
      <c r="B135" s="69" t="s">
        <v>208</v>
      </c>
      <c r="C135" s="69" t="s">
        <v>289</v>
      </c>
      <c r="D135" s="69"/>
      <c r="E135" s="70" t="s">
        <v>18</v>
      </c>
      <c r="F135" s="70"/>
      <c r="G135" s="70"/>
      <c r="H135" s="70"/>
      <c r="I135" s="70"/>
    </row>
    <row r="136" spans="1:9" x14ac:dyDescent="0.2">
      <c r="A136" s="157">
        <v>10</v>
      </c>
      <c r="B136" s="171" t="s">
        <v>208</v>
      </c>
      <c r="C136" s="164" t="s">
        <v>958</v>
      </c>
      <c r="D136" s="164"/>
      <c r="E136" s="163" t="s">
        <v>842</v>
      </c>
      <c r="F136" s="165"/>
      <c r="G136" s="165"/>
      <c r="H136" s="165"/>
      <c r="I136" s="166" t="s">
        <v>978</v>
      </c>
    </row>
    <row r="137" spans="1:9" x14ac:dyDescent="0.2">
      <c r="A137" s="78">
        <v>11</v>
      </c>
      <c r="B137" s="69" t="s">
        <v>208</v>
      </c>
      <c r="C137" s="162" t="s">
        <v>959</v>
      </c>
      <c r="D137" s="162"/>
      <c r="E137" s="163" t="s">
        <v>843</v>
      </c>
      <c r="F137" s="163"/>
      <c r="G137" s="163"/>
      <c r="H137" s="163"/>
      <c r="I137" s="167"/>
    </row>
    <row r="138" spans="1:9" x14ac:dyDescent="0.2">
      <c r="A138" s="78">
        <v>12</v>
      </c>
      <c r="B138" s="69" t="s">
        <v>208</v>
      </c>
      <c r="C138" s="162" t="s">
        <v>960</v>
      </c>
      <c r="D138" s="162"/>
      <c r="E138" s="163" t="s">
        <v>844</v>
      </c>
      <c r="F138" s="163"/>
      <c r="G138" s="163"/>
      <c r="H138" s="163"/>
      <c r="I138" s="167"/>
    </row>
    <row r="139" spans="1:9" x14ac:dyDescent="0.2">
      <c r="A139" s="78">
        <v>13</v>
      </c>
      <c r="B139" s="69" t="s">
        <v>208</v>
      </c>
      <c r="C139" s="162" t="s">
        <v>961</v>
      </c>
      <c r="D139" s="162"/>
      <c r="E139" s="163" t="s">
        <v>845</v>
      </c>
      <c r="F139" s="163"/>
      <c r="G139" s="163"/>
      <c r="H139" s="163"/>
      <c r="I139" s="167"/>
    </row>
    <row r="140" spans="1:9" x14ac:dyDescent="0.2">
      <c r="A140" s="78">
        <v>14</v>
      </c>
      <c r="B140" s="69" t="s">
        <v>208</v>
      </c>
      <c r="C140" s="162" t="s">
        <v>962</v>
      </c>
      <c r="D140" s="162"/>
      <c r="E140" s="163" t="s">
        <v>970</v>
      </c>
      <c r="F140" s="163"/>
      <c r="G140" s="163"/>
      <c r="H140" s="163"/>
      <c r="I140" s="167"/>
    </row>
    <row r="141" spans="1:9" x14ac:dyDescent="0.2">
      <c r="A141" s="78">
        <v>15</v>
      </c>
      <c r="B141" s="69" t="s">
        <v>208</v>
      </c>
      <c r="C141" s="162" t="s">
        <v>963</v>
      </c>
      <c r="D141" s="162"/>
      <c r="E141" s="163" t="s">
        <v>971</v>
      </c>
      <c r="F141" s="163"/>
      <c r="G141" s="163"/>
      <c r="H141" s="163"/>
      <c r="I141" s="167"/>
    </row>
    <row r="142" spans="1:9" x14ac:dyDescent="0.2">
      <c r="A142" s="78">
        <v>16</v>
      </c>
      <c r="B142" s="69" t="s">
        <v>208</v>
      </c>
      <c r="C142" s="162" t="s">
        <v>964</v>
      </c>
      <c r="D142" s="162"/>
      <c r="E142" s="163" t="s">
        <v>972</v>
      </c>
      <c r="F142" s="163"/>
      <c r="G142" s="163"/>
      <c r="H142" s="163"/>
      <c r="I142" s="167"/>
    </row>
    <row r="143" spans="1:9" x14ac:dyDescent="0.2">
      <c r="A143" s="78">
        <v>17</v>
      </c>
      <c r="B143" s="69" t="s">
        <v>208</v>
      </c>
      <c r="C143" s="162" t="s">
        <v>965</v>
      </c>
      <c r="D143" s="162"/>
      <c r="E143" s="163" t="s">
        <v>973</v>
      </c>
      <c r="F143" s="163"/>
      <c r="G143" s="163"/>
      <c r="H143" s="163"/>
      <c r="I143" s="167"/>
    </row>
    <row r="144" spans="1:9" x14ac:dyDescent="0.2">
      <c r="A144" s="78">
        <v>18</v>
      </c>
      <c r="B144" s="69" t="s">
        <v>208</v>
      </c>
      <c r="C144" s="162" t="s">
        <v>974</v>
      </c>
      <c r="D144" s="162"/>
      <c r="E144" s="163" t="s">
        <v>976</v>
      </c>
      <c r="F144" s="163"/>
      <c r="G144" s="163"/>
      <c r="H144" s="163"/>
      <c r="I144" s="167" t="s">
        <v>997</v>
      </c>
    </row>
    <row r="145" spans="1:24" ht="17" thickBot="1" x14ac:dyDescent="0.25">
      <c r="A145" s="152">
        <v>19</v>
      </c>
      <c r="B145" s="153" t="s">
        <v>208</v>
      </c>
      <c r="C145" s="168" t="s">
        <v>975</v>
      </c>
      <c r="D145" s="168"/>
      <c r="E145" s="169" t="s">
        <v>977</v>
      </c>
      <c r="F145" s="169"/>
      <c r="G145" s="169"/>
      <c r="H145" s="169"/>
      <c r="I145" s="170"/>
    </row>
    <row r="146" spans="1:24" ht="17" thickBot="1" x14ac:dyDescent="0.25">
      <c r="I146"/>
    </row>
    <row r="147" spans="1:24" x14ac:dyDescent="0.2">
      <c r="A147" s="106" t="s">
        <v>816</v>
      </c>
      <c r="B147" s="107" t="s">
        <v>851</v>
      </c>
      <c r="C147" s="108"/>
      <c r="D147" s="108"/>
      <c r="E147" s="108"/>
      <c r="F147" s="108"/>
      <c r="G147" s="108"/>
      <c r="H147" s="108"/>
      <c r="I147" s="108"/>
    </row>
    <row r="148" spans="1:24" x14ac:dyDescent="0.2">
      <c r="A148" s="109" t="s">
        <v>817</v>
      </c>
      <c r="B148" s="110" t="s">
        <v>852</v>
      </c>
      <c r="C148" s="111"/>
      <c r="D148" s="111"/>
      <c r="E148" s="111"/>
      <c r="F148" s="111"/>
      <c r="G148" s="111"/>
      <c r="H148" s="111"/>
      <c r="I148" s="111"/>
    </row>
    <row r="149" spans="1:24" x14ac:dyDescent="0.2">
      <c r="A149" s="109" t="s">
        <v>772</v>
      </c>
      <c r="B149" s="110" t="s">
        <v>853</v>
      </c>
      <c r="C149" s="111"/>
      <c r="D149" s="111"/>
      <c r="E149" s="111"/>
      <c r="F149" s="111"/>
      <c r="G149" s="111"/>
      <c r="H149" s="111"/>
      <c r="I149" s="111"/>
    </row>
    <row r="150" spans="1:24" x14ac:dyDescent="0.2">
      <c r="A150" s="109" t="s">
        <v>818</v>
      </c>
      <c r="B150" s="110" t="s">
        <v>814</v>
      </c>
      <c r="C150" s="111"/>
      <c r="D150" s="111"/>
      <c r="E150" s="111"/>
      <c r="F150" s="111"/>
      <c r="G150" s="111"/>
      <c r="H150" s="111"/>
      <c r="I150" s="111"/>
    </row>
    <row r="151" spans="1:24" x14ac:dyDescent="0.2">
      <c r="A151" s="109" t="s">
        <v>985</v>
      </c>
      <c r="B151" s="110" t="s">
        <v>986</v>
      </c>
      <c r="C151" s="111"/>
      <c r="D151" s="111"/>
      <c r="E151" s="111"/>
      <c r="F151" s="111"/>
      <c r="G151" s="111"/>
      <c r="H151" s="111"/>
      <c r="I151" s="111"/>
    </row>
    <row r="152" spans="1:24" x14ac:dyDescent="0.2">
      <c r="A152" s="109" t="s">
        <v>955</v>
      </c>
      <c r="B152" s="110" t="s">
        <v>854</v>
      </c>
      <c r="C152" s="111"/>
      <c r="D152" s="111"/>
      <c r="E152" s="111"/>
      <c r="F152" s="111"/>
      <c r="G152" s="111"/>
      <c r="H152" s="111"/>
      <c r="I152" s="111"/>
    </row>
    <row r="153" spans="1:24" x14ac:dyDescent="0.2">
      <c r="A153" s="109" t="s">
        <v>820</v>
      </c>
      <c r="B153" s="110" t="s">
        <v>790</v>
      </c>
      <c r="C153" s="111"/>
      <c r="D153" s="111"/>
      <c r="E153" s="111"/>
      <c r="F153" s="111"/>
      <c r="G153" s="111"/>
      <c r="H153" s="111"/>
      <c r="I153" s="111"/>
    </row>
    <row r="154" spans="1:24" x14ac:dyDescent="0.2">
      <c r="A154" s="109" t="s">
        <v>821</v>
      </c>
      <c r="B154" s="110"/>
      <c r="C154" s="111"/>
      <c r="D154" s="111"/>
      <c r="E154" s="111"/>
      <c r="F154" s="111"/>
      <c r="G154" s="111"/>
      <c r="H154" s="111"/>
      <c r="I154" s="111"/>
    </row>
    <row r="155" spans="1:24" ht="17" thickBot="1" x14ac:dyDescent="0.25">
      <c r="A155" s="109" t="s">
        <v>793</v>
      </c>
      <c r="B155" s="112">
        <v>2</v>
      </c>
      <c r="C155" s="113"/>
      <c r="D155" s="113"/>
      <c r="E155" s="113"/>
      <c r="F155" s="113"/>
      <c r="G155" s="113"/>
      <c r="H155" s="113"/>
      <c r="I155" s="113"/>
    </row>
    <row r="156" spans="1:24" x14ac:dyDescent="0.2">
      <c r="A156" s="114" t="s">
        <v>784</v>
      </c>
      <c r="B156" s="115" t="s">
        <v>785</v>
      </c>
      <c r="C156" s="115" t="s">
        <v>787</v>
      </c>
      <c r="D156" s="115"/>
      <c r="E156" s="115" t="s">
        <v>788</v>
      </c>
      <c r="F156" s="115" t="s">
        <v>807</v>
      </c>
      <c r="G156" s="115" t="s">
        <v>808</v>
      </c>
      <c r="H156" s="115" t="s">
        <v>811</v>
      </c>
      <c r="I156" s="115" t="s">
        <v>812</v>
      </c>
    </row>
    <row r="157" spans="1:24" x14ac:dyDescent="0.2">
      <c r="A157" s="116">
        <v>0</v>
      </c>
      <c r="B157" s="117" t="s">
        <v>208</v>
      </c>
      <c r="C157" s="117" t="s">
        <v>854</v>
      </c>
      <c r="D157" s="117"/>
      <c r="E157" s="118" t="s">
        <v>855</v>
      </c>
      <c r="F157" s="118">
        <v>0</v>
      </c>
      <c r="G157" s="118">
        <v>4</v>
      </c>
      <c r="H157" s="118">
        <v>1</v>
      </c>
      <c r="I157" s="118"/>
    </row>
    <row r="158" spans="1:24" x14ac:dyDescent="0.2">
      <c r="A158" s="116">
        <v>1</v>
      </c>
      <c r="B158" s="117" t="s">
        <v>208</v>
      </c>
      <c r="C158" s="117" t="s">
        <v>856</v>
      </c>
      <c r="D158" s="117"/>
      <c r="E158" s="118" t="s">
        <v>916</v>
      </c>
      <c r="F158" s="118">
        <v>0</v>
      </c>
      <c r="G158" s="118">
        <v>8</v>
      </c>
      <c r="H158" s="118">
        <v>4</v>
      </c>
      <c r="I158" s="118"/>
    </row>
    <row r="159" spans="1:24" ht="17" thickBot="1" x14ac:dyDescent="0.25">
      <c r="I159"/>
    </row>
    <row r="160" spans="1:24" x14ac:dyDescent="0.2">
      <c r="A160" s="94" t="s">
        <v>816</v>
      </c>
      <c r="B160" s="95" t="s">
        <v>857</v>
      </c>
      <c r="C160" s="96"/>
      <c r="D160" s="96"/>
      <c r="E160" s="96"/>
      <c r="F160" s="96"/>
      <c r="G160" s="96"/>
      <c r="H160" s="96"/>
      <c r="I160" s="96"/>
      <c r="X160" t="s">
        <v>422</v>
      </c>
    </row>
    <row r="161" spans="1:25" ht="19" x14ac:dyDescent="0.25">
      <c r="A161" s="97" t="s">
        <v>817</v>
      </c>
      <c r="B161" s="98" t="s">
        <v>861</v>
      </c>
      <c r="C161" s="57"/>
      <c r="D161" s="57"/>
      <c r="E161" s="57"/>
      <c r="F161" s="57"/>
      <c r="G161" s="57"/>
      <c r="H161" s="57"/>
      <c r="I161" s="57"/>
      <c r="T161" s="19" t="s">
        <v>298</v>
      </c>
      <c r="W161" t="s">
        <v>397</v>
      </c>
    </row>
    <row r="162" spans="1:25" x14ac:dyDescent="0.2">
      <c r="A162" s="97" t="s">
        <v>772</v>
      </c>
      <c r="B162" s="98" t="s">
        <v>862</v>
      </c>
      <c r="C162" s="57"/>
      <c r="D162" s="57"/>
      <c r="E162" s="57"/>
      <c r="F162" s="57"/>
      <c r="G162" s="57"/>
      <c r="H162" s="57"/>
      <c r="I162" s="57"/>
      <c r="T162" s="25" t="s">
        <v>386</v>
      </c>
      <c r="U162" s="25" t="s">
        <v>392</v>
      </c>
      <c r="W162" t="s">
        <v>87</v>
      </c>
      <c r="X162" t="s">
        <v>373</v>
      </c>
      <c r="Y162" t="s">
        <v>206</v>
      </c>
    </row>
    <row r="163" spans="1:25" x14ac:dyDescent="0.2">
      <c r="A163" s="97" t="s">
        <v>818</v>
      </c>
      <c r="B163" s="98" t="s">
        <v>814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370</v>
      </c>
    </row>
    <row r="164" spans="1:25" x14ac:dyDescent="0.2">
      <c r="A164" s="97" t="s">
        <v>985</v>
      </c>
      <c r="B164" s="98" t="s">
        <v>986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286</v>
      </c>
      <c r="Y164" t="s">
        <v>206</v>
      </c>
    </row>
    <row r="165" spans="1:25" x14ac:dyDescent="0.2">
      <c r="A165" s="97" t="s">
        <v>955</v>
      </c>
      <c r="B165" s="98" t="s">
        <v>957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287</v>
      </c>
      <c r="Y165" t="s">
        <v>206</v>
      </c>
    </row>
    <row r="166" spans="1:25" x14ac:dyDescent="0.2">
      <c r="A166" s="97" t="s">
        <v>820</v>
      </c>
      <c r="B166" s="98" t="s">
        <v>790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288</v>
      </c>
      <c r="Y166" t="s">
        <v>206</v>
      </c>
    </row>
    <row r="167" spans="1:25" x14ac:dyDescent="0.2">
      <c r="A167" s="97" t="s">
        <v>821</v>
      </c>
      <c r="B167" s="98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374</v>
      </c>
      <c r="Y167" t="s">
        <v>206</v>
      </c>
    </row>
    <row r="168" spans="1:25" ht="17" thickBot="1" x14ac:dyDescent="0.25">
      <c r="A168" s="97" t="s">
        <v>793</v>
      </c>
      <c r="B168" s="99">
        <v>2</v>
      </c>
      <c r="C168" s="100"/>
      <c r="D168" s="100"/>
      <c r="E168" s="100"/>
      <c r="F168" s="100"/>
      <c r="G168" s="100"/>
      <c r="H168" s="100"/>
      <c r="I168" s="100"/>
      <c r="T168" s="3" t="s">
        <v>69</v>
      </c>
      <c r="U168" s="6" t="s">
        <v>372</v>
      </c>
      <c r="W168" t="s">
        <v>87</v>
      </c>
      <c r="X168" t="s">
        <v>44</v>
      </c>
      <c r="Y168" t="s">
        <v>206</v>
      </c>
    </row>
    <row r="169" spans="1:25" x14ac:dyDescent="0.2">
      <c r="A169" s="101" t="s">
        <v>784</v>
      </c>
      <c r="B169" s="102" t="s">
        <v>785</v>
      </c>
      <c r="C169" s="102" t="s">
        <v>787</v>
      </c>
      <c r="D169" s="102"/>
      <c r="E169" s="102" t="s">
        <v>788</v>
      </c>
      <c r="F169" s="102" t="s">
        <v>807</v>
      </c>
      <c r="G169" s="102" t="s">
        <v>808</v>
      </c>
      <c r="H169" s="102" t="s">
        <v>811</v>
      </c>
      <c r="I169" s="102" t="s">
        <v>812</v>
      </c>
      <c r="T169" s="3" t="s">
        <v>70</v>
      </c>
      <c r="U169" s="6" t="s">
        <v>691</v>
      </c>
      <c r="W169" t="s">
        <v>87</v>
      </c>
      <c r="X169" t="s">
        <v>44</v>
      </c>
      <c r="Y169" t="s">
        <v>206</v>
      </c>
    </row>
    <row r="170" spans="1:25" x14ac:dyDescent="0.2">
      <c r="A170" s="103">
        <v>0</v>
      </c>
      <c r="B170" s="104" t="s">
        <v>208</v>
      </c>
      <c r="C170" s="104" t="s">
        <v>858</v>
      </c>
      <c r="D170" s="104"/>
      <c r="E170" s="105" t="s">
        <v>859</v>
      </c>
      <c r="F170" s="105">
        <v>0</v>
      </c>
      <c r="G170" s="105">
        <v>4</v>
      </c>
      <c r="H170" s="105">
        <v>1</v>
      </c>
      <c r="I170" s="105"/>
      <c r="T170" s="3" t="s">
        <v>71</v>
      </c>
      <c r="U170" s="6" t="s">
        <v>692</v>
      </c>
      <c r="W170" t="s">
        <v>87</v>
      </c>
      <c r="X170" t="s">
        <v>44</v>
      </c>
      <c r="Y170" t="s">
        <v>206</v>
      </c>
    </row>
    <row r="171" spans="1:25" x14ac:dyDescent="0.2">
      <c r="A171" s="103">
        <v>1</v>
      </c>
      <c r="B171" s="104" t="s">
        <v>208</v>
      </c>
      <c r="C171" s="104" t="s">
        <v>915</v>
      </c>
      <c r="D171" s="104"/>
      <c r="E171" s="105" t="s">
        <v>860</v>
      </c>
      <c r="F171" s="105">
        <v>0</v>
      </c>
      <c r="G171" s="105">
        <v>8</v>
      </c>
      <c r="H171" s="105">
        <v>4</v>
      </c>
      <c r="I171" s="105"/>
      <c r="T171" s="3" t="s">
        <v>72</v>
      </c>
      <c r="U171" s="6" t="s">
        <v>693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694</v>
      </c>
      <c r="W172" t="s">
        <v>87</v>
      </c>
      <c r="X172" t="s">
        <v>44</v>
      </c>
      <c r="Y172" t="s">
        <v>206</v>
      </c>
    </row>
    <row r="173" spans="1:25" x14ac:dyDescent="0.2">
      <c r="A173" s="119" t="s">
        <v>816</v>
      </c>
      <c r="B173" s="120" t="s">
        <v>863</v>
      </c>
      <c r="C173" s="121"/>
      <c r="D173" s="121"/>
      <c r="E173" s="121"/>
      <c r="F173" s="121"/>
      <c r="G173" s="121"/>
      <c r="H173" s="121"/>
      <c r="I173" s="121"/>
      <c r="T173" s="3" t="s">
        <v>74</v>
      </c>
      <c r="U173" s="6" t="s">
        <v>13</v>
      </c>
      <c r="W173" t="s">
        <v>87</v>
      </c>
      <c r="X173" t="s">
        <v>290</v>
      </c>
      <c r="Y173" t="s">
        <v>206</v>
      </c>
    </row>
    <row r="174" spans="1:25" x14ac:dyDescent="0.2">
      <c r="A174" s="122" t="s">
        <v>817</v>
      </c>
      <c r="B174" s="123" t="s">
        <v>864</v>
      </c>
      <c r="C174" s="124"/>
      <c r="D174" s="124"/>
      <c r="E174" s="124"/>
      <c r="F174" s="124"/>
      <c r="G174" s="124"/>
      <c r="H174" s="124"/>
      <c r="I174" s="124"/>
      <c r="T174" s="3" t="s">
        <v>75</v>
      </c>
      <c r="U174" s="6" t="s">
        <v>29</v>
      </c>
      <c r="W174" t="s">
        <v>87</v>
      </c>
      <c r="X174" t="s">
        <v>375</v>
      </c>
      <c r="Y174" t="s">
        <v>206</v>
      </c>
    </row>
    <row r="175" spans="1:25" x14ac:dyDescent="0.2">
      <c r="A175" s="122" t="s">
        <v>772</v>
      </c>
      <c r="B175" s="123" t="s">
        <v>865</v>
      </c>
      <c r="C175" s="124"/>
      <c r="D175" s="124"/>
      <c r="E175" s="124"/>
      <c r="F175" s="124"/>
      <c r="G175" s="124"/>
      <c r="H175" s="124"/>
      <c r="I175" s="124"/>
      <c r="T175" s="3" t="s">
        <v>76</v>
      </c>
      <c r="U175" s="6" t="s">
        <v>371</v>
      </c>
      <c r="W175" t="s">
        <v>87</v>
      </c>
      <c r="X175" t="s">
        <v>291</v>
      </c>
      <c r="Y175" t="s">
        <v>206</v>
      </c>
    </row>
    <row r="176" spans="1:25" x14ac:dyDescent="0.2">
      <c r="A176" s="122" t="s">
        <v>818</v>
      </c>
      <c r="B176" s="123" t="s">
        <v>814</v>
      </c>
      <c r="C176" s="124"/>
      <c r="D176" s="124"/>
      <c r="E176" s="124"/>
      <c r="F176" s="124"/>
      <c r="G176" s="124"/>
      <c r="H176" s="124"/>
      <c r="I176" s="124"/>
      <c r="T176" s="3" t="s">
        <v>77</v>
      </c>
      <c r="U176" s="6" t="s">
        <v>31</v>
      </c>
      <c r="W176" t="s">
        <v>87</v>
      </c>
      <c r="X176" t="s">
        <v>292</v>
      </c>
      <c r="Y176" t="s">
        <v>206</v>
      </c>
    </row>
    <row r="177" spans="1:25" x14ac:dyDescent="0.2">
      <c r="A177" s="122" t="s">
        <v>985</v>
      </c>
      <c r="B177" s="123" t="s">
        <v>918</v>
      </c>
      <c r="C177" s="124"/>
      <c r="D177" s="124"/>
      <c r="E177" s="124"/>
      <c r="F177" s="124"/>
      <c r="G177" s="124"/>
      <c r="H177" s="124"/>
      <c r="I177" s="124"/>
      <c r="T177" s="3" t="s">
        <v>78</v>
      </c>
      <c r="U177" s="6" t="s">
        <v>32</v>
      </c>
      <c r="W177" t="s">
        <v>87</v>
      </c>
      <c r="X177" t="s">
        <v>293</v>
      </c>
      <c r="Y177" t="s">
        <v>206</v>
      </c>
    </row>
    <row r="178" spans="1:25" x14ac:dyDescent="0.2">
      <c r="A178" s="122" t="s">
        <v>955</v>
      </c>
      <c r="B178" s="123" t="s">
        <v>956</v>
      </c>
      <c r="C178" s="124"/>
      <c r="D178" s="124"/>
      <c r="E178" s="124"/>
      <c r="F178" s="124"/>
      <c r="G178" s="124"/>
      <c r="H178" s="124"/>
      <c r="I178" s="124"/>
      <c r="T178" s="3" t="s">
        <v>79</v>
      </c>
      <c r="U178" s="6" t="s">
        <v>33</v>
      </c>
      <c r="W178" t="s">
        <v>87</v>
      </c>
      <c r="X178" t="s">
        <v>294</v>
      </c>
      <c r="Y178" t="s">
        <v>206</v>
      </c>
    </row>
    <row r="179" spans="1:25" x14ac:dyDescent="0.2">
      <c r="A179" s="122" t="s">
        <v>820</v>
      </c>
      <c r="B179" s="123" t="s">
        <v>866</v>
      </c>
      <c r="C179" s="124"/>
      <c r="D179" s="124"/>
      <c r="E179" s="124"/>
      <c r="F179" s="124"/>
      <c r="G179" s="124"/>
      <c r="H179" s="124"/>
      <c r="I179" s="124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2" t="s">
        <v>821</v>
      </c>
      <c r="B180" s="123"/>
      <c r="C180" s="124"/>
      <c r="D180" s="124"/>
      <c r="E180" s="124"/>
      <c r="F180" s="124"/>
      <c r="G180" s="124"/>
      <c r="H180" s="124"/>
      <c r="I180" s="124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2" t="s">
        <v>793</v>
      </c>
      <c r="B181" s="125">
        <v>10</v>
      </c>
      <c r="C181" s="126"/>
      <c r="D181" s="126"/>
      <c r="E181" s="126"/>
      <c r="F181" s="126"/>
      <c r="G181" s="126"/>
      <c r="H181" s="126"/>
      <c r="I181" s="126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7" t="s">
        <v>784</v>
      </c>
      <c r="B182" s="128" t="s">
        <v>785</v>
      </c>
      <c r="C182" s="128" t="s">
        <v>787</v>
      </c>
      <c r="D182" s="128"/>
      <c r="E182" s="130" t="s">
        <v>788</v>
      </c>
      <c r="F182" s="128" t="s">
        <v>807</v>
      </c>
      <c r="G182" s="128" t="s">
        <v>808</v>
      </c>
      <c r="H182" s="128" t="s">
        <v>811</v>
      </c>
      <c r="I182" s="128" t="s">
        <v>812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29">
        <v>0</v>
      </c>
      <c r="B183" s="130" t="s">
        <v>87</v>
      </c>
      <c r="C183" s="130" t="s">
        <v>867</v>
      </c>
      <c r="D183" s="130"/>
      <c r="E183" s="131" t="s">
        <v>113</v>
      </c>
      <c r="F183" s="131">
        <v>0</v>
      </c>
      <c r="G183" s="131">
        <v>50</v>
      </c>
      <c r="H183" s="131">
        <v>10</v>
      </c>
      <c r="I183" s="131" t="s">
        <v>871</v>
      </c>
      <c r="J183" t="s">
        <v>1221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29">
        <v>1</v>
      </c>
      <c r="B184" s="130" t="s">
        <v>87</v>
      </c>
      <c r="C184" s="130" t="s">
        <v>868</v>
      </c>
      <c r="D184" s="130"/>
      <c r="E184" s="131" t="s">
        <v>114</v>
      </c>
      <c r="F184" s="131">
        <v>0</v>
      </c>
      <c r="G184" s="131">
        <v>5000</v>
      </c>
      <c r="H184" s="131">
        <v>2000</v>
      </c>
      <c r="I184" s="131" t="s">
        <v>872</v>
      </c>
      <c r="J184" t="s">
        <v>1222</v>
      </c>
      <c r="T184" s="3" t="s">
        <v>85</v>
      </c>
      <c r="U184" s="6" t="s">
        <v>13</v>
      </c>
      <c r="W184" t="s">
        <v>207</v>
      </c>
    </row>
    <row r="185" spans="1:25" x14ac:dyDescent="0.2">
      <c r="A185" s="129">
        <v>2</v>
      </c>
      <c r="B185" s="130" t="s">
        <v>87</v>
      </c>
      <c r="C185" s="130" t="s">
        <v>869</v>
      </c>
      <c r="D185" s="130"/>
      <c r="E185" s="131" t="s">
        <v>115</v>
      </c>
      <c r="F185" s="131">
        <v>0</v>
      </c>
      <c r="G185" s="131">
        <v>100</v>
      </c>
      <c r="H185" s="131">
        <v>50</v>
      </c>
      <c r="I185" s="131" t="s">
        <v>115</v>
      </c>
      <c r="J185" t="s">
        <v>1068</v>
      </c>
      <c r="T185" s="3" t="s">
        <v>1</v>
      </c>
      <c r="U185" s="6"/>
      <c r="X185" t="s">
        <v>325</v>
      </c>
    </row>
    <row r="186" spans="1:25" x14ac:dyDescent="0.2">
      <c r="A186" s="129">
        <v>3</v>
      </c>
      <c r="B186" s="130" t="s">
        <v>87</v>
      </c>
      <c r="C186" s="130" t="s">
        <v>870</v>
      </c>
      <c r="D186" s="130"/>
      <c r="E186" s="131" t="s">
        <v>116</v>
      </c>
      <c r="F186" s="131">
        <v>-5</v>
      </c>
      <c r="G186" s="131">
        <v>125</v>
      </c>
      <c r="H186" s="131">
        <v>80</v>
      </c>
      <c r="I186" s="131" t="s">
        <v>831</v>
      </c>
      <c r="J186" t="s">
        <v>1070</v>
      </c>
      <c r="T186" s="3" t="s">
        <v>0</v>
      </c>
      <c r="U186" s="6"/>
    </row>
    <row r="187" spans="1:25" ht="15" customHeight="1" x14ac:dyDescent="0.2">
      <c r="A187" s="129">
        <v>4</v>
      </c>
      <c r="B187" s="130" t="s">
        <v>87</v>
      </c>
      <c r="C187" s="130" t="s">
        <v>932</v>
      </c>
      <c r="D187" s="130"/>
      <c r="E187" s="131" t="s">
        <v>936</v>
      </c>
      <c r="F187" s="131">
        <v>0</v>
      </c>
      <c r="G187" s="131">
        <v>1</v>
      </c>
      <c r="H187" s="131">
        <v>1</v>
      </c>
      <c r="I187" s="131" t="s">
        <v>873</v>
      </c>
      <c r="J187" t="s">
        <v>1223</v>
      </c>
      <c r="T187" s="8" t="s">
        <v>87</v>
      </c>
      <c r="U187" s="3" t="s">
        <v>411</v>
      </c>
    </row>
    <row r="188" spans="1:25" ht="17" thickBot="1" x14ac:dyDescent="0.25">
      <c r="A188" s="129">
        <v>5</v>
      </c>
      <c r="B188" s="130" t="s">
        <v>87</v>
      </c>
      <c r="C188" s="130" t="s">
        <v>935</v>
      </c>
      <c r="D188" s="130"/>
      <c r="E188" s="131" t="s">
        <v>937</v>
      </c>
      <c r="F188" s="131">
        <v>1</v>
      </c>
      <c r="G188" s="131">
        <v>22</v>
      </c>
      <c r="H188" s="131">
        <v>1</v>
      </c>
      <c r="I188" s="131" t="s">
        <v>874</v>
      </c>
      <c r="J188" t="s">
        <v>1224</v>
      </c>
      <c r="T188" s="4" t="s">
        <v>1</v>
      </c>
      <c r="U188" s="7"/>
    </row>
    <row r="189" spans="1:25" x14ac:dyDescent="0.2">
      <c r="A189" s="129">
        <v>6</v>
      </c>
      <c r="B189" s="130" t="s">
        <v>87</v>
      </c>
      <c r="C189" s="130" t="s">
        <v>933</v>
      </c>
      <c r="D189" s="130"/>
      <c r="E189" s="131" t="s">
        <v>938</v>
      </c>
      <c r="F189" s="131">
        <v>0</v>
      </c>
      <c r="G189" s="131">
        <v>1</v>
      </c>
      <c r="H189" s="131">
        <v>1</v>
      </c>
      <c r="I189" s="131"/>
      <c r="J189" t="s">
        <v>1225</v>
      </c>
    </row>
    <row r="190" spans="1:25" x14ac:dyDescent="0.2">
      <c r="A190" s="129">
        <v>7</v>
      </c>
      <c r="B190" s="130" t="s">
        <v>87</v>
      </c>
      <c r="C190" s="130" t="s">
        <v>934</v>
      </c>
      <c r="D190" s="130"/>
      <c r="E190" s="131" t="s">
        <v>939</v>
      </c>
      <c r="F190" s="131">
        <v>1</v>
      </c>
      <c r="G190" s="131">
        <v>22</v>
      </c>
      <c r="H190" s="131">
        <v>1</v>
      </c>
      <c r="I190" s="131"/>
      <c r="J190" t="s">
        <v>1226</v>
      </c>
    </row>
    <row r="191" spans="1:25" x14ac:dyDescent="0.2">
      <c r="A191" s="129">
        <v>8</v>
      </c>
      <c r="B191" s="130" t="s">
        <v>87</v>
      </c>
      <c r="C191" s="124" t="s">
        <v>290</v>
      </c>
      <c r="D191" s="130"/>
      <c r="E191" s="131" t="s">
        <v>445</v>
      </c>
      <c r="F191" s="131">
        <v>0</v>
      </c>
      <c r="G191" s="131">
        <v>28800</v>
      </c>
      <c r="H191" s="131"/>
      <c r="I191" s="131"/>
      <c r="J191" t="s">
        <v>209</v>
      </c>
      <c r="X191" t="s">
        <v>423</v>
      </c>
    </row>
    <row r="192" spans="1:25" ht="19" x14ac:dyDescent="0.25">
      <c r="A192" s="129">
        <v>9</v>
      </c>
      <c r="B192" s="130" t="s">
        <v>87</v>
      </c>
      <c r="C192" s="130" t="s">
        <v>289</v>
      </c>
      <c r="D192" s="130"/>
      <c r="E192" s="131" t="s">
        <v>18</v>
      </c>
      <c r="F192" s="131"/>
      <c r="G192" s="131"/>
      <c r="H192" s="131"/>
      <c r="I192" s="131"/>
      <c r="J192" t="s">
        <v>210</v>
      </c>
      <c r="T192" s="20" t="s">
        <v>299</v>
      </c>
      <c r="W192" t="s">
        <v>415</v>
      </c>
    </row>
    <row r="193" spans="1:21" ht="17" thickBot="1" x14ac:dyDescent="0.25">
      <c r="I193"/>
      <c r="J193" t="s">
        <v>211</v>
      </c>
      <c r="T193" s="25" t="s">
        <v>385</v>
      </c>
      <c r="U193" s="25" t="s">
        <v>393</v>
      </c>
    </row>
    <row r="194" spans="1:21" x14ac:dyDescent="0.2">
      <c r="A194" s="106" t="s">
        <v>816</v>
      </c>
      <c r="B194" s="107" t="s">
        <v>940</v>
      </c>
      <c r="C194" s="108"/>
      <c r="D194" s="108"/>
      <c r="E194" s="108"/>
      <c r="F194" s="108"/>
      <c r="G194" s="108"/>
      <c r="H194" s="108"/>
      <c r="I194" s="108"/>
      <c r="J194" t="s">
        <v>212</v>
      </c>
      <c r="T194" s="25"/>
      <c r="U194" s="25"/>
    </row>
    <row r="195" spans="1:21" x14ac:dyDescent="0.2">
      <c r="A195" s="109" t="s">
        <v>817</v>
      </c>
      <c r="B195" s="110" t="s">
        <v>941</v>
      </c>
      <c r="C195" s="111"/>
      <c r="D195" s="111"/>
      <c r="E195" s="111"/>
      <c r="F195" s="111"/>
      <c r="G195" s="111"/>
      <c r="H195" s="111"/>
      <c r="I195" s="111"/>
      <c r="J195" t="s">
        <v>213</v>
      </c>
      <c r="T195" s="25"/>
      <c r="U195" s="25"/>
    </row>
    <row r="196" spans="1:21" x14ac:dyDescent="0.2">
      <c r="A196" s="109" t="s">
        <v>772</v>
      </c>
      <c r="B196" s="110" t="s">
        <v>942</v>
      </c>
      <c r="C196" s="111"/>
      <c r="D196" s="111"/>
      <c r="E196" s="111"/>
      <c r="F196" s="111"/>
      <c r="G196" s="111"/>
      <c r="H196" s="111"/>
      <c r="I196" s="111"/>
      <c r="J196" t="s">
        <v>1227</v>
      </c>
      <c r="T196" s="25"/>
      <c r="U196" s="25"/>
    </row>
    <row r="197" spans="1:21" x14ac:dyDescent="0.2">
      <c r="A197" s="109" t="s">
        <v>818</v>
      </c>
      <c r="B197" s="110" t="s">
        <v>952</v>
      </c>
      <c r="C197" s="111"/>
      <c r="D197" s="111"/>
      <c r="E197" s="111"/>
      <c r="F197" s="111"/>
      <c r="G197" s="111"/>
      <c r="H197" s="111"/>
      <c r="I197" s="111"/>
      <c r="J197" t="s">
        <v>1228</v>
      </c>
      <c r="T197" s="25"/>
      <c r="U197" s="25"/>
    </row>
    <row r="198" spans="1:21" x14ac:dyDescent="0.2">
      <c r="A198" s="109" t="s">
        <v>819</v>
      </c>
      <c r="B198" s="110" t="s">
        <v>928</v>
      </c>
      <c r="C198" s="111"/>
      <c r="D198" s="111"/>
      <c r="E198" s="111"/>
      <c r="F198" s="111"/>
      <c r="G198" s="111"/>
      <c r="H198" s="111"/>
      <c r="I198" s="111"/>
      <c r="T198" s="25"/>
      <c r="U198" s="25"/>
    </row>
    <row r="199" spans="1:21" x14ac:dyDescent="0.2">
      <c r="A199" s="109" t="s">
        <v>985</v>
      </c>
      <c r="B199" s="110" t="s">
        <v>986</v>
      </c>
      <c r="C199" s="111"/>
      <c r="D199" s="111"/>
      <c r="E199" s="111"/>
      <c r="F199" s="111"/>
      <c r="G199" s="111"/>
      <c r="H199" s="111"/>
      <c r="I199" s="111"/>
      <c r="T199" s="25"/>
      <c r="U199" s="25"/>
    </row>
    <row r="200" spans="1:21" x14ac:dyDescent="0.2">
      <c r="A200" s="109" t="s">
        <v>820</v>
      </c>
      <c r="B200" s="110" t="s">
        <v>954</v>
      </c>
      <c r="C200" s="111"/>
      <c r="D200" s="111"/>
      <c r="E200" s="111"/>
      <c r="F200" s="111"/>
      <c r="G200" s="111"/>
      <c r="H200" s="111"/>
      <c r="I200" s="111"/>
      <c r="T200" s="25"/>
      <c r="U200" s="25"/>
    </row>
    <row r="201" spans="1:21" x14ac:dyDescent="0.2">
      <c r="A201" s="109" t="s">
        <v>821</v>
      </c>
      <c r="B201" s="110" t="s">
        <v>983</v>
      </c>
      <c r="C201" s="111"/>
      <c r="D201" s="111"/>
      <c r="E201" s="111"/>
      <c r="F201" s="111"/>
      <c r="G201" s="111"/>
      <c r="H201" s="111"/>
      <c r="I201" s="111"/>
      <c r="T201" s="25"/>
      <c r="U201" s="25"/>
    </row>
    <row r="202" spans="1:21" ht="17" thickBot="1" x14ac:dyDescent="0.25">
      <c r="A202" s="109" t="s">
        <v>793</v>
      </c>
      <c r="B202" s="112">
        <v>7</v>
      </c>
      <c r="C202" s="113"/>
      <c r="D202" s="113"/>
      <c r="E202" s="113"/>
      <c r="F202" s="113"/>
      <c r="G202" s="113"/>
      <c r="H202" s="113"/>
      <c r="I202" s="113" t="s">
        <v>947</v>
      </c>
      <c r="T202" s="25"/>
      <c r="U202" s="25"/>
    </row>
    <row r="203" spans="1:21" x14ac:dyDescent="0.2">
      <c r="A203" s="114" t="s">
        <v>784</v>
      </c>
      <c r="B203" s="115" t="s">
        <v>785</v>
      </c>
      <c r="C203" s="115" t="s">
        <v>787</v>
      </c>
      <c r="D203" s="115"/>
      <c r="E203" s="115" t="s">
        <v>788</v>
      </c>
      <c r="F203" s="115" t="s">
        <v>807</v>
      </c>
      <c r="G203" s="115" t="s">
        <v>808</v>
      </c>
      <c r="H203" s="115" t="s">
        <v>811</v>
      </c>
      <c r="I203" s="115" t="s">
        <v>812</v>
      </c>
      <c r="T203" s="25"/>
      <c r="U203" s="25"/>
    </row>
    <row r="204" spans="1:21" x14ac:dyDescent="0.2">
      <c r="A204" s="116">
        <v>0</v>
      </c>
      <c r="B204" s="117" t="s">
        <v>949</v>
      </c>
      <c r="C204" s="117" t="s">
        <v>950</v>
      </c>
      <c r="D204" s="117"/>
      <c r="E204" s="118" t="s">
        <v>855</v>
      </c>
      <c r="F204" s="118"/>
      <c r="G204" s="118"/>
      <c r="H204" s="118"/>
      <c r="I204" s="118" t="s">
        <v>946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4" t="s">
        <v>816</v>
      </c>
      <c r="B206" s="95" t="s">
        <v>943</v>
      </c>
      <c r="C206" s="96"/>
      <c r="D206" s="96"/>
      <c r="E206" s="96"/>
      <c r="F206" s="96"/>
      <c r="G206" s="96"/>
      <c r="H206" s="96"/>
      <c r="I206" s="96"/>
      <c r="T206" s="25"/>
      <c r="U206" s="25"/>
    </row>
    <row r="207" spans="1:21" x14ac:dyDescent="0.2">
      <c r="A207" s="97" t="s">
        <v>817</v>
      </c>
      <c r="B207" s="98" t="s">
        <v>944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7" t="s">
        <v>772</v>
      </c>
      <c r="B208" s="98" t="s">
        <v>945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7" t="s">
        <v>818</v>
      </c>
      <c r="B209" s="98" t="s">
        <v>952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7" t="s">
        <v>985</v>
      </c>
      <c r="B210" s="98" t="s">
        <v>986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7" t="s">
        <v>955</v>
      </c>
      <c r="B211" s="98" t="s">
        <v>957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7" t="s">
        <v>820</v>
      </c>
      <c r="B212" s="98" t="s">
        <v>954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7" t="s">
        <v>821</v>
      </c>
      <c r="B213" s="98" t="s">
        <v>984</v>
      </c>
      <c r="C213" s="57"/>
      <c r="D213" s="57"/>
      <c r="E213" s="57"/>
      <c r="F213" s="57"/>
      <c r="G213" s="57"/>
      <c r="H213" s="57"/>
      <c r="I213" s="57" t="s">
        <v>953</v>
      </c>
      <c r="T213" s="25"/>
      <c r="U213" s="25"/>
    </row>
    <row r="214" spans="1:25" ht="17" thickBot="1" x14ac:dyDescent="0.25">
      <c r="A214" s="97" t="s">
        <v>793</v>
      </c>
      <c r="B214" s="99">
        <v>255</v>
      </c>
      <c r="C214" s="100"/>
      <c r="D214" s="100"/>
      <c r="E214" s="100"/>
      <c r="F214" s="100"/>
      <c r="G214" s="100"/>
      <c r="H214" s="100"/>
      <c r="I214" s="100" t="s">
        <v>948</v>
      </c>
      <c r="T214" s="25"/>
      <c r="U214" s="25"/>
    </row>
    <row r="215" spans="1:25" x14ac:dyDescent="0.2">
      <c r="A215" s="101" t="s">
        <v>784</v>
      </c>
      <c r="B215" s="102" t="s">
        <v>785</v>
      </c>
      <c r="C215" s="102" t="s">
        <v>787</v>
      </c>
      <c r="D215" s="102"/>
      <c r="E215" s="102" t="s">
        <v>788</v>
      </c>
      <c r="F215" s="102" t="s">
        <v>807</v>
      </c>
      <c r="G215" s="102" t="s">
        <v>808</v>
      </c>
      <c r="H215" s="102" t="s">
        <v>811</v>
      </c>
      <c r="I215" s="102" t="s">
        <v>812</v>
      </c>
      <c r="T215" s="25"/>
      <c r="U215" s="25"/>
    </row>
    <row r="216" spans="1:25" x14ac:dyDescent="0.2">
      <c r="A216" s="103">
        <v>0</v>
      </c>
      <c r="B216" s="104" t="s">
        <v>949</v>
      </c>
      <c r="C216" s="104" t="s">
        <v>951</v>
      </c>
      <c r="D216" s="104"/>
      <c r="E216" s="105" t="s">
        <v>859</v>
      </c>
      <c r="F216" s="105"/>
      <c r="G216" s="105"/>
      <c r="H216" s="105"/>
      <c r="I216" s="105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398</v>
      </c>
      <c r="Y217" t="s">
        <v>206</v>
      </c>
    </row>
    <row r="218" spans="1:25" x14ac:dyDescent="0.2">
      <c r="A218" s="119" t="s">
        <v>816</v>
      </c>
      <c r="B218" s="120" t="s">
        <v>875</v>
      </c>
      <c r="C218" s="121"/>
      <c r="D218" s="121"/>
      <c r="E218" s="121"/>
      <c r="F218" s="121"/>
      <c r="G218" s="121"/>
      <c r="H218" s="121"/>
      <c r="I218" s="121"/>
      <c r="T218" s="3" t="s">
        <v>86</v>
      </c>
      <c r="U218" s="6" t="s">
        <v>376</v>
      </c>
      <c r="W218" t="s">
        <v>87</v>
      </c>
      <c r="X218" t="s">
        <v>399</v>
      </c>
      <c r="Y218" t="s">
        <v>206</v>
      </c>
    </row>
    <row r="219" spans="1:25" x14ac:dyDescent="0.2">
      <c r="A219" s="122" t="s">
        <v>817</v>
      </c>
      <c r="B219" s="123" t="s">
        <v>876</v>
      </c>
      <c r="C219" s="124"/>
      <c r="D219" s="124"/>
      <c r="E219" s="124"/>
      <c r="F219" s="124"/>
      <c r="G219" s="124"/>
      <c r="H219" s="124"/>
      <c r="I219" s="124"/>
      <c r="T219" s="3" t="s">
        <v>88</v>
      </c>
      <c r="U219" s="6" t="s">
        <v>377</v>
      </c>
      <c r="W219" t="s">
        <v>87</v>
      </c>
      <c r="X219" t="s">
        <v>400</v>
      </c>
      <c r="Y219" t="s">
        <v>206</v>
      </c>
    </row>
    <row r="220" spans="1:25" x14ac:dyDescent="0.2">
      <c r="A220" s="122" t="s">
        <v>772</v>
      </c>
      <c r="B220" s="123" t="s">
        <v>877</v>
      </c>
      <c r="C220" s="124"/>
      <c r="D220" s="124"/>
      <c r="E220" s="124"/>
      <c r="F220" s="124"/>
      <c r="G220" s="124"/>
      <c r="H220" s="124"/>
      <c r="I220" s="124"/>
      <c r="T220" s="3" t="s">
        <v>67</v>
      </c>
      <c r="U220" s="6" t="s">
        <v>378</v>
      </c>
      <c r="W220" t="s">
        <v>87</v>
      </c>
      <c r="X220" t="s">
        <v>401</v>
      </c>
      <c r="Y220" t="s">
        <v>206</v>
      </c>
    </row>
    <row r="221" spans="1:25" x14ac:dyDescent="0.2">
      <c r="A221" s="122" t="s">
        <v>818</v>
      </c>
      <c r="B221" s="123" t="s">
        <v>826</v>
      </c>
      <c r="C221" s="124"/>
      <c r="D221" s="124"/>
      <c r="E221" s="124"/>
      <c r="F221" s="124"/>
      <c r="G221" s="124"/>
      <c r="H221" s="124"/>
      <c r="I221" s="124"/>
      <c r="T221" s="3" t="s">
        <v>68</v>
      </c>
      <c r="U221" s="6" t="s">
        <v>379</v>
      </c>
      <c r="W221" t="s">
        <v>87</v>
      </c>
      <c r="X221" t="s">
        <v>295</v>
      </c>
      <c r="Y221" t="s">
        <v>206</v>
      </c>
    </row>
    <row r="222" spans="1:25" x14ac:dyDescent="0.2">
      <c r="A222" s="122" t="s">
        <v>985</v>
      </c>
      <c r="B222" s="123" t="s">
        <v>918</v>
      </c>
      <c r="C222" s="124"/>
      <c r="D222" s="124"/>
      <c r="E222" s="124"/>
      <c r="F222" s="124"/>
      <c r="G222" s="124"/>
      <c r="H222" s="124"/>
      <c r="I222" s="124"/>
      <c r="T222" s="3" t="s">
        <v>69</v>
      </c>
      <c r="U222" s="6" t="s">
        <v>380</v>
      </c>
      <c r="W222" t="s">
        <v>87</v>
      </c>
      <c r="X222" t="s">
        <v>402</v>
      </c>
      <c r="Y222" t="s">
        <v>206</v>
      </c>
    </row>
    <row r="223" spans="1:25" x14ac:dyDescent="0.2">
      <c r="A223" s="122" t="s">
        <v>955</v>
      </c>
      <c r="B223" s="123" t="s">
        <v>956</v>
      </c>
      <c r="C223" s="124"/>
      <c r="D223" s="124"/>
      <c r="E223" s="124"/>
      <c r="F223" s="124"/>
      <c r="G223" s="124"/>
      <c r="H223" s="124"/>
      <c r="I223" s="124"/>
      <c r="T223" s="3" t="s">
        <v>70</v>
      </c>
      <c r="U223" s="6" t="s">
        <v>381</v>
      </c>
      <c r="W223" t="s">
        <v>87</v>
      </c>
      <c r="X223" t="s">
        <v>403</v>
      </c>
      <c r="Y223" t="s">
        <v>206</v>
      </c>
    </row>
    <row r="224" spans="1:25" x14ac:dyDescent="0.2">
      <c r="A224" s="122" t="s">
        <v>820</v>
      </c>
      <c r="B224" s="123" t="s">
        <v>878</v>
      </c>
      <c r="C224" s="124"/>
      <c r="D224" s="124"/>
      <c r="E224" s="124"/>
      <c r="F224" s="124"/>
      <c r="G224" s="124"/>
      <c r="H224" s="124"/>
      <c r="I224" s="124"/>
      <c r="T224" s="3" t="s">
        <v>71</v>
      </c>
      <c r="U224" s="6" t="s">
        <v>382</v>
      </c>
      <c r="W224" t="s">
        <v>87</v>
      </c>
      <c r="X224" t="s">
        <v>215</v>
      </c>
      <c r="Y224" t="s">
        <v>206</v>
      </c>
    </row>
    <row r="225" spans="1:25" x14ac:dyDescent="0.2">
      <c r="A225" s="122" t="s">
        <v>821</v>
      </c>
      <c r="B225" s="123"/>
      <c r="C225" s="124"/>
      <c r="D225" s="124"/>
      <c r="E225" s="124"/>
      <c r="F225" s="124"/>
      <c r="G225" s="124"/>
      <c r="H225" s="124"/>
      <c r="I225" s="124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2" t="s">
        <v>793</v>
      </c>
      <c r="B226" s="125">
        <v>10</v>
      </c>
      <c r="C226" s="126"/>
      <c r="D226" s="126"/>
      <c r="E226" s="126"/>
      <c r="F226" s="126"/>
      <c r="G226" s="126"/>
      <c r="H226" s="126"/>
      <c r="I226" s="126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7" t="s">
        <v>784</v>
      </c>
      <c r="B227" s="128" t="s">
        <v>785</v>
      </c>
      <c r="C227" s="128" t="s">
        <v>787</v>
      </c>
      <c r="D227" s="128"/>
      <c r="E227" s="130" t="s">
        <v>788</v>
      </c>
      <c r="F227" s="128" t="s">
        <v>807</v>
      </c>
      <c r="G227" s="128" t="s">
        <v>808</v>
      </c>
      <c r="H227" s="128" t="s">
        <v>811</v>
      </c>
      <c r="I227" s="128" t="s">
        <v>812</v>
      </c>
      <c r="T227" s="3" t="s">
        <v>74</v>
      </c>
      <c r="U227" s="6" t="s">
        <v>44</v>
      </c>
      <c r="W227" t="s">
        <v>87</v>
      </c>
      <c r="X227" t="s">
        <v>357</v>
      </c>
      <c r="Y227" t="s">
        <v>206</v>
      </c>
    </row>
    <row r="228" spans="1:25" x14ac:dyDescent="0.2">
      <c r="A228" s="129">
        <v>0</v>
      </c>
      <c r="B228" s="130" t="s">
        <v>87</v>
      </c>
      <c r="C228" s="130" t="s">
        <v>373</v>
      </c>
      <c r="D228" s="130"/>
      <c r="E228" s="131" t="s">
        <v>370</v>
      </c>
      <c r="F228" s="131"/>
      <c r="G228" s="131"/>
      <c r="H228" s="131"/>
      <c r="I228" s="131"/>
      <c r="J228" t="s">
        <v>1221</v>
      </c>
      <c r="T228" s="3" t="s">
        <v>75</v>
      </c>
      <c r="U228" s="6" t="s">
        <v>383</v>
      </c>
      <c r="W228" t="s">
        <v>87</v>
      </c>
      <c r="X228" t="s">
        <v>219</v>
      </c>
      <c r="Y228" t="s">
        <v>206</v>
      </c>
    </row>
    <row r="229" spans="1:25" x14ac:dyDescent="0.2">
      <c r="A229" s="129">
        <v>1</v>
      </c>
      <c r="B229" s="130" t="s">
        <v>87</v>
      </c>
      <c r="C229" s="130" t="s">
        <v>286</v>
      </c>
      <c r="D229" s="130"/>
      <c r="E229" s="131" t="s">
        <v>20</v>
      </c>
      <c r="F229" s="131"/>
      <c r="G229" s="131"/>
      <c r="H229" s="131"/>
      <c r="I229" s="131"/>
      <c r="J229" t="s">
        <v>1222</v>
      </c>
      <c r="T229" s="3" t="s">
        <v>76</v>
      </c>
      <c r="U229" s="6" t="s">
        <v>44</v>
      </c>
      <c r="W229" t="s">
        <v>87</v>
      </c>
      <c r="X229" t="s">
        <v>290</v>
      </c>
      <c r="Y229" t="s">
        <v>206</v>
      </c>
    </row>
    <row r="230" spans="1:25" x14ac:dyDescent="0.2">
      <c r="A230" s="129">
        <v>2</v>
      </c>
      <c r="B230" s="130" t="s">
        <v>87</v>
      </c>
      <c r="C230" s="130" t="s">
        <v>287</v>
      </c>
      <c r="D230" s="130"/>
      <c r="E230" s="131" t="s">
        <v>21</v>
      </c>
      <c r="F230" s="131"/>
      <c r="G230" s="131"/>
      <c r="H230" s="131"/>
      <c r="I230" s="131"/>
      <c r="J230" t="s">
        <v>1068</v>
      </c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29">
        <v>3</v>
      </c>
      <c r="B231" s="130" t="s">
        <v>87</v>
      </c>
      <c r="C231" s="130" t="s">
        <v>288</v>
      </c>
      <c r="D231" s="130"/>
      <c r="E231" s="131" t="s">
        <v>22</v>
      </c>
      <c r="F231" s="131"/>
      <c r="G231" s="131"/>
      <c r="H231" s="131"/>
      <c r="I231" s="131"/>
      <c r="J231" t="s">
        <v>1070</v>
      </c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29">
        <v>4</v>
      </c>
      <c r="B232" s="130" t="s">
        <v>87</v>
      </c>
      <c r="C232" s="130" t="s">
        <v>374</v>
      </c>
      <c r="D232" s="130"/>
      <c r="E232" s="131" t="s">
        <v>372</v>
      </c>
      <c r="F232" s="131"/>
      <c r="G232" s="131"/>
      <c r="H232" s="131"/>
      <c r="I232" s="131"/>
      <c r="J232" t="s">
        <v>1223</v>
      </c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29">
        <v>5</v>
      </c>
      <c r="B233" s="130" t="s">
        <v>87</v>
      </c>
      <c r="C233" s="124" t="s">
        <v>375</v>
      </c>
      <c r="D233" s="130"/>
      <c r="E233" s="131" t="s">
        <v>371</v>
      </c>
      <c r="F233" s="131"/>
      <c r="G233" s="131"/>
      <c r="H233" s="131"/>
      <c r="I233" s="131"/>
      <c r="J233" t="s">
        <v>1224</v>
      </c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29">
        <v>6</v>
      </c>
      <c r="B234" s="130" t="s">
        <v>87</v>
      </c>
      <c r="C234" s="130" t="s">
        <v>879</v>
      </c>
      <c r="D234" s="130"/>
      <c r="E234" s="131" t="s">
        <v>881</v>
      </c>
      <c r="F234" s="131"/>
      <c r="G234" s="131"/>
      <c r="H234" s="131"/>
      <c r="I234" s="131"/>
      <c r="J234" t="s">
        <v>1225</v>
      </c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29">
        <v>7</v>
      </c>
      <c r="B235" s="130" t="s">
        <v>87</v>
      </c>
      <c r="C235" s="130" t="s">
        <v>880</v>
      </c>
      <c r="D235" s="130"/>
      <c r="E235" s="131" t="s">
        <v>882</v>
      </c>
      <c r="F235" s="131"/>
      <c r="G235" s="131"/>
      <c r="H235" s="131"/>
      <c r="I235" s="131"/>
      <c r="J235" t="s">
        <v>1226</v>
      </c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29">
        <v>8</v>
      </c>
      <c r="B236" s="130" t="s">
        <v>87</v>
      </c>
      <c r="C236" s="124" t="s">
        <v>290</v>
      </c>
      <c r="D236" s="130"/>
      <c r="E236" s="131" t="s">
        <v>29</v>
      </c>
      <c r="F236" s="131">
        <v>0</v>
      </c>
      <c r="G236" s="131">
        <v>28800</v>
      </c>
      <c r="H236" s="131"/>
      <c r="I236" s="131"/>
      <c r="J236" s="191" t="s">
        <v>286</v>
      </c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29">
        <v>9</v>
      </c>
      <c r="B237" s="130" t="s">
        <v>87</v>
      </c>
      <c r="C237" s="130" t="s">
        <v>289</v>
      </c>
      <c r="D237" s="130"/>
      <c r="E237" s="131" t="s">
        <v>18</v>
      </c>
      <c r="F237" s="131"/>
      <c r="G237" s="131"/>
      <c r="H237" s="131"/>
      <c r="I237" s="131"/>
      <c r="J237" s="191" t="s">
        <v>287</v>
      </c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J238" s="191" t="s">
        <v>288</v>
      </c>
      <c r="T238" s="3" t="s">
        <v>85</v>
      </c>
      <c r="U238" s="6" t="s">
        <v>44</v>
      </c>
      <c r="W238" t="s">
        <v>207</v>
      </c>
    </row>
    <row r="239" spans="1:25" x14ac:dyDescent="0.2">
      <c r="A239" s="119" t="s">
        <v>816</v>
      </c>
      <c r="B239" s="120" t="s">
        <v>884</v>
      </c>
      <c r="C239" s="121"/>
      <c r="D239" s="121"/>
      <c r="E239" s="121"/>
      <c r="F239" s="121"/>
      <c r="G239" s="121"/>
      <c r="H239" s="121"/>
      <c r="I239" s="121"/>
      <c r="J239" s="191" t="s">
        <v>879</v>
      </c>
      <c r="T239" s="3" t="s">
        <v>1</v>
      </c>
      <c r="U239" s="6"/>
    </row>
    <row r="240" spans="1:25" x14ac:dyDescent="0.2">
      <c r="A240" s="122" t="s">
        <v>817</v>
      </c>
      <c r="B240" s="123" t="s">
        <v>883</v>
      </c>
      <c r="C240" s="124"/>
      <c r="D240" s="124"/>
      <c r="E240" s="124"/>
      <c r="F240" s="124"/>
      <c r="G240" s="124"/>
      <c r="H240" s="124"/>
      <c r="I240" s="124"/>
      <c r="J240" s="191" t="s">
        <v>880</v>
      </c>
      <c r="T240" s="3" t="s">
        <v>0</v>
      </c>
      <c r="U240" s="6"/>
    </row>
    <row r="241" spans="1:25" ht="29" customHeight="1" x14ac:dyDescent="0.2">
      <c r="A241" s="122" t="s">
        <v>772</v>
      </c>
      <c r="B241" s="123" t="s">
        <v>885</v>
      </c>
      <c r="C241" s="124"/>
      <c r="D241" s="124"/>
      <c r="E241" s="124"/>
      <c r="F241" s="124"/>
      <c r="G241" s="124"/>
      <c r="H241" s="124"/>
      <c r="I241" s="124"/>
      <c r="J241" t="s">
        <v>1227</v>
      </c>
      <c r="T241" s="8" t="s">
        <v>87</v>
      </c>
      <c r="U241" s="3" t="s">
        <v>412</v>
      </c>
    </row>
    <row r="242" spans="1:25" ht="17" thickBot="1" x14ac:dyDescent="0.25">
      <c r="A242" s="122" t="s">
        <v>818</v>
      </c>
      <c r="B242" s="123" t="s">
        <v>829</v>
      </c>
      <c r="C242" s="124"/>
      <c r="D242" s="124"/>
      <c r="E242" s="124"/>
      <c r="F242" s="124"/>
      <c r="G242" s="124"/>
      <c r="H242" s="124"/>
      <c r="I242" s="124"/>
      <c r="J242" t="s">
        <v>1228</v>
      </c>
      <c r="T242" s="4" t="s">
        <v>1</v>
      </c>
      <c r="U242" s="7"/>
    </row>
    <row r="243" spans="1:25" x14ac:dyDescent="0.2">
      <c r="A243" s="122" t="s">
        <v>985</v>
      </c>
      <c r="B243" s="123" t="s">
        <v>918</v>
      </c>
      <c r="C243" s="124"/>
      <c r="D243" s="124"/>
      <c r="E243" s="124"/>
      <c r="F243" s="124"/>
      <c r="G243" s="124"/>
      <c r="H243" s="124"/>
      <c r="I243" s="124"/>
    </row>
    <row r="244" spans="1:25" x14ac:dyDescent="0.2">
      <c r="A244" s="122" t="s">
        <v>955</v>
      </c>
      <c r="B244" s="123" t="s">
        <v>956</v>
      </c>
      <c r="C244" s="124"/>
      <c r="D244" s="124"/>
      <c r="E244" s="124"/>
      <c r="F244" s="124"/>
      <c r="G244" s="124"/>
      <c r="H244" s="124"/>
      <c r="I244" s="124"/>
    </row>
    <row r="245" spans="1:25" x14ac:dyDescent="0.2">
      <c r="A245" s="122" t="s">
        <v>820</v>
      </c>
      <c r="B245" s="123" t="s">
        <v>886</v>
      </c>
      <c r="C245" s="124"/>
      <c r="D245" s="124"/>
      <c r="E245" s="124"/>
      <c r="F245" s="124"/>
      <c r="G245" s="124"/>
      <c r="H245" s="124"/>
      <c r="I245" s="124"/>
    </row>
    <row r="246" spans="1:25" x14ac:dyDescent="0.2">
      <c r="A246" s="122" t="s">
        <v>821</v>
      </c>
      <c r="B246" s="123"/>
      <c r="C246" s="124"/>
      <c r="D246" s="124"/>
      <c r="E246" s="124"/>
      <c r="F246" s="124"/>
      <c r="G246" s="124"/>
      <c r="H246" s="124"/>
      <c r="I246" s="124"/>
    </row>
    <row r="247" spans="1:25" ht="17" thickBot="1" x14ac:dyDescent="0.25">
      <c r="A247" s="122" t="s">
        <v>793</v>
      </c>
      <c r="B247" s="125">
        <v>10</v>
      </c>
      <c r="C247" s="126"/>
      <c r="D247" s="126"/>
      <c r="E247" s="126"/>
      <c r="F247" s="126"/>
      <c r="G247" s="126"/>
      <c r="H247" s="126"/>
      <c r="I247" s="126"/>
      <c r="X247" s="26" t="s">
        <v>424</v>
      </c>
    </row>
    <row r="248" spans="1:25" ht="19" x14ac:dyDescent="0.25">
      <c r="A248" s="127" t="s">
        <v>784</v>
      </c>
      <c r="B248" s="128" t="s">
        <v>785</v>
      </c>
      <c r="C248" s="128" t="s">
        <v>787</v>
      </c>
      <c r="D248" s="128"/>
      <c r="E248" s="130" t="s">
        <v>788</v>
      </c>
      <c r="F248" s="128" t="s">
        <v>807</v>
      </c>
      <c r="G248" s="128" t="s">
        <v>808</v>
      </c>
      <c r="H248" s="128" t="s">
        <v>811</v>
      </c>
      <c r="I248" s="128" t="s">
        <v>812</v>
      </c>
      <c r="J248" t="s">
        <v>1221</v>
      </c>
      <c r="T248" s="20" t="s">
        <v>300</v>
      </c>
      <c r="W248" t="s">
        <v>416</v>
      </c>
    </row>
    <row r="249" spans="1:25" x14ac:dyDescent="0.2">
      <c r="A249" s="129">
        <v>0</v>
      </c>
      <c r="B249" s="130" t="s">
        <v>87</v>
      </c>
      <c r="C249" s="130" t="s">
        <v>987</v>
      </c>
      <c r="D249" s="130"/>
      <c r="E249" s="131" t="s">
        <v>113</v>
      </c>
      <c r="F249" s="131">
        <v>0</v>
      </c>
      <c r="G249" s="131">
        <v>25</v>
      </c>
      <c r="H249" s="131">
        <v>15</v>
      </c>
      <c r="I249" s="131"/>
      <c r="J249" t="s">
        <v>1222</v>
      </c>
      <c r="T249" s="25" t="s">
        <v>443</v>
      </c>
      <c r="U249" s="25" t="s">
        <v>394</v>
      </c>
      <c r="W249" t="s">
        <v>87</v>
      </c>
      <c r="X249" t="s">
        <v>430</v>
      </c>
      <c r="Y249" t="s">
        <v>206</v>
      </c>
    </row>
    <row r="250" spans="1:25" x14ac:dyDescent="0.2">
      <c r="A250" s="129">
        <v>1</v>
      </c>
      <c r="B250" s="130" t="s">
        <v>87</v>
      </c>
      <c r="C250" s="130" t="s">
        <v>988</v>
      </c>
      <c r="D250" s="130"/>
      <c r="E250" s="131" t="s">
        <v>114</v>
      </c>
      <c r="F250" s="131">
        <v>0</v>
      </c>
      <c r="G250" s="131">
        <v>5000</v>
      </c>
      <c r="H250" s="131">
        <v>100</v>
      </c>
      <c r="I250" s="131"/>
      <c r="J250" t="s">
        <v>1068</v>
      </c>
      <c r="T250" s="3" t="s">
        <v>86</v>
      </c>
      <c r="U250" s="6" t="s">
        <v>113</v>
      </c>
      <c r="W250" t="s">
        <v>87</v>
      </c>
      <c r="X250" t="s">
        <v>431</v>
      </c>
      <c r="Y250" t="s">
        <v>206</v>
      </c>
    </row>
    <row r="251" spans="1:25" x14ac:dyDescent="0.2">
      <c r="A251" s="129">
        <v>2</v>
      </c>
      <c r="B251" s="130" t="s">
        <v>87</v>
      </c>
      <c r="C251" s="130" t="s">
        <v>991</v>
      </c>
      <c r="D251" s="130"/>
      <c r="E251" s="131" t="s">
        <v>989</v>
      </c>
      <c r="F251" s="131">
        <v>0</v>
      </c>
      <c r="G251" s="131">
        <v>100</v>
      </c>
      <c r="H251" s="131">
        <v>65</v>
      </c>
      <c r="I251" s="131"/>
      <c r="J251" t="s">
        <v>1070</v>
      </c>
      <c r="T251" s="3" t="s">
        <v>88</v>
      </c>
      <c r="U251" s="6" t="s">
        <v>114</v>
      </c>
      <c r="W251" t="s">
        <v>87</v>
      </c>
      <c r="X251" t="s">
        <v>432</v>
      </c>
      <c r="Y251" t="s">
        <v>206</v>
      </c>
    </row>
    <row r="252" spans="1:25" x14ac:dyDescent="0.2">
      <c r="A252" s="129">
        <v>3</v>
      </c>
      <c r="B252" s="130" t="s">
        <v>87</v>
      </c>
      <c r="C252" s="130" t="s">
        <v>992</v>
      </c>
      <c r="D252" s="130"/>
      <c r="E252" s="131" t="s">
        <v>990</v>
      </c>
      <c r="F252" s="131">
        <v>0</v>
      </c>
      <c r="G252" s="131">
        <v>125</v>
      </c>
      <c r="H252" s="131">
        <v>80</v>
      </c>
      <c r="I252" s="131"/>
      <c r="J252" t="s">
        <v>1223</v>
      </c>
      <c r="T252" s="3" t="s">
        <v>67</v>
      </c>
      <c r="U252" s="6" t="s">
        <v>115</v>
      </c>
      <c r="W252" t="s">
        <v>87</v>
      </c>
      <c r="X252" t="s">
        <v>433</v>
      </c>
      <c r="Y252" t="s">
        <v>206</v>
      </c>
    </row>
    <row r="253" spans="1:25" x14ac:dyDescent="0.2">
      <c r="A253" s="129">
        <v>4</v>
      </c>
      <c r="B253" s="130" t="s">
        <v>87</v>
      </c>
      <c r="C253" s="130" t="s">
        <v>209</v>
      </c>
      <c r="D253" s="130"/>
      <c r="E253" s="131" t="s">
        <v>993</v>
      </c>
      <c r="F253" s="131"/>
      <c r="G253" s="131"/>
      <c r="H253" s="131"/>
      <c r="I253" s="131"/>
      <c r="J253" t="s">
        <v>1224</v>
      </c>
      <c r="T253" s="3" t="s">
        <v>68</v>
      </c>
      <c r="U253" s="6" t="s">
        <v>116</v>
      </c>
      <c r="W253" t="s">
        <v>87</v>
      </c>
      <c r="X253" t="s">
        <v>673</v>
      </c>
      <c r="Y253" t="s">
        <v>206</v>
      </c>
    </row>
    <row r="254" spans="1:25" x14ac:dyDescent="0.2">
      <c r="A254" s="129">
        <v>5</v>
      </c>
      <c r="B254" s="130" t="s">
        <v>87</v>
      </c>
      <c r="C254" s="124" t="s">
        <v>210</v>
      </c>
      <c r="D254" s="130"/>
      <c r="E254" s="131" t="s">
        <v>994</v>
      </c>
      <c r="F254" s="131"/>
      <c r="G254" s="131"/>
      <c r="H254" s="131"/>
      <c r="I254" s="131"/>
      <c r="J254" t="s">
        <v>1225</v>
      </c>
      <c r="T254" s="3" t="s">
        <v>69</v>
      </c>
      <c r="U254" s="6" t="s">
        <v>671</v>
      </c>
      <c r="W254" t="s">
        <v>87</v>
      </c>
      <c r="X254" t="s">
        <v>674</v>
      </c>
      <c r="Y254" t="s">
        <v>206</v>
      </c>
    </row>
    <row r="255" spans="1:25" x14ac:dyDescent="0.2">
      <c r="A255" s="129">
        <v>6</v>
      </c>
      <c r="B255" s="130" t="s">
        <v>87</v>
      </c>
      <c r="C255" s="130" t="s">
        <v>211</v>
      </c>
      <c r="D255" s="130"/>
      <c r="E255" s="131" t="s">
        <v>995</v>
      </c>
      <c r="F255" s="131"/>
      <c r="G255" s="131"/>
      <c r="H255" s="131"/>
      <c r="I255" s="131"/>
      <c r="J255" t="s">
        <v>1226</v>
      </c>
      <c r="T255" s="3" t="s">
        <v>70</v>
      </c>
      <c r="U255" s="6" t="s">
        <v>672</v>
      </c>
      <c r="W255" t="s">
        <v>87</v>
      </c>
      <c r="X255" t="s">
        <v>214</v>
      </c>
      <c r="Y255" t="s">
        <v>206</v>
      </c>
    </row>
    <row r="256" spans="1:25" x14ac:dyDescent="0.2">
      <c r="A256" s="129">
        <v>7</v>
      </c>
      <c r="B256" s="130" t="s">
        <v>87</v>
      </c>
      <c r="C256" s="124" t="s">
        <v>212</v>
      </c>
      <c r="D256" s="130"/>
      <c r="E256" s="131" t="s">
        <v>996</v>
      </c>
      <c r="F256" s="131"/>
      <c r="G256" s="131"/>
      <c r="H256" s="131"/>
      <c r="I256" s="131"/>
      <c r="J256" t="s">
        <v>209</v>
      </c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29">
        <v>8</v>
      </c>
      <c r="B257" s="130" t="s">
        <v>87</v>
      </c>
      <c r="C257" s="124" t="s">
        <v>290</v>
      </c>
      <c r="D257" s="130"/>
      <c r="E257" s="131" t="s">
        <v>29</v>
      </c>
      <c r="F257" s="131">
        <v>0</v>
      </c>
      <c r="G257" s="131">
        <v>28800</v>
      </c>
      <c r="H257" s="131"/>
      <c r="I257" s="131"/>
      <c r="J257" t="s">
        <v>210</v>
      </c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29">
        <v>9</v>
      </c>
      <c r="B258" s="130" t="s">
        <v>87</v>
      </c>
      <c r="C258" s="130" t="s">
        <v>289</v>
      </c>
      <c r="D258" s="130"/>
      <c r="E258" s="131" t="s">
        <v>18</v>
      </c>
      <c r="F258" s="131"/>
      <c r="G258" s="131"/>
      <c r="H258" s="131"/>
      <c r="I258" s="131"/>
      <c r="J258" t="s">
        <v>211</v>
      </c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J259" t="s">
        <v>212</v>
      </c>
      <c r="T259" s="3" t="s">
        <v>74</v>
      </c>
      <c r="U259" s="6" t="s">
        <v>44</v>
      </c>
      <c r="W259" t="s">
        <v>87</v>
      </c>
      <c r="X259" t="s">
        <v>434</v>
      </c>
      <c r="Y259" t="s">
        <v>206</v>
      </c>
    </row>
    <row r="260" spans="1:25" x14ac:dyDescent="0.2">
      <c r="A260" s="119" t="s">
        <v>816</v>
      </c>
      <c r="B260" s="120" t="s">
        <v>887</v>
      </c>
      <c r="C260" s="121"/>
      <c r="D260" s="121"/>
      <c r="E260" s="121"/>
      <c r="F260" s="121"/>
      <c r="G260" s="121"/>
      <c r="H260" s="121"/>
      <c r="I260" s="121"/>
      <c r="J260" t="s">
        <v>213</v>
      </c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2" t="s">
        <v>817</v>
      </c>
      <c r="B261" s="123" t="s">
        <v>888</v>
      </c>
      <c r="C261" s="124"/>
      <c r="D261" s="124"/>
      <c r="E261" s="124"/>
      <c r="F261" s="124"/>
      <c r="G261" s="124"/>
      <c r="H261" s="124"/>
      <c r="I261" s="124"/>
      <c r="J261" t="s">
        <v>1227</v>
      </c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2" t="s">
        <v>772</v>
      </c>
      <c r="B262" s="123" t="s">
        <v>889</v>
      </c>
      <c r="C262" s="124"/>
      <c r="D262" s="124"/>
      <c r="E262" s="124"/>
      <c r="F262" s="124"/>
      <c r="G262" s="124"/>
      <c r="H262" s="124"/>
      <c r="I262" s="124"/>
      <c r="J262" t="s">
        <v>1228</v>
      </c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2" t="s">
        <v>818</v>
      </c>
      <c r="B263" s="123" t="s">
        <v>839</v>
      </c>
      <c r="C263" s="124"/>
      <c r="D263" s="124"/>
      <c r="E263" s="124"/>
      <c r="F263" s="124"/>
      <c r="G263" s="124"/>
      <c r="H263" s="124"/>
      <c r="I263" s="124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2" t="s">
        <v>985</v>
      </c>
      <c r="B264" s="123" t="s">
        <v>918</v>
      </c>
      <c r="C264" s="124"/>
      <c r="D264" s="124"/>
      <c r="E264" s="124"/>
      <c r="F264" s="124"/>
      <c r="G264" s="124"/>
      <c r="H264" s="124"/>
      <c r="I264" s="124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2" t="s">
        <v>955</v>
      </c>
      <c r="B265" s="123" t="s">
        <v>956</v>
      </c>
      <c r="C265" s="124"/>
      <c r="D265" s="124"/>
      <c r="E265" s="124"/>
      <c r="F265" s="124"/>
      <c r="G265" s="124"/>
      <c r="H265" s="124"/>
      <c r="I265" s="124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2" t="s">
        <v>820</v>
      </c>
      <c r="B266" s="123" t="s">
        <v>890</v>
      </c>
      <c r="C266" s="124"/>
      <c r="D266" s="124"/>
      <c r="E266" s="124"/>
      <c r="F266" s="124"/>
      <c r="G266" s="124"/>
      <c r="H266" s="124"/>
      <c r="I266" s="124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2" t="s">
        <v>821</v>
      </c>
      <c r="B267" s="123"/>
      <c r="C267" s="124"/>
      <c r="D267" s="124"/>
      <c r="E267" s="124"/>
      <c r="F267" s="124"/>
      <c r="G267" s="124"/>
      <c r="H267" s="124"/>
      <c r="I267" s="124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2" t="s">
        <v>793</v>
      </c>
      <c r="B268" s="125">
        <v>18</v>
      </c>
      <c r="C268" s="126"/>
      <c r="D268" s="126"/>
      <c r="E268" s="126"/>
      <c r="F268" s="126"/>
      <c r="G268" s="126"/>
      <c r="H268" s="126"/>
      <c r="I268" s="126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7" t="s">
        <v>784</v>
      </c>
      <c r="B269" s="128" t="s">
        <v>785</v>
      </c>
      <c r="C269" s="128" t="s">
        <v>787</v>
      </c>
      <c r="D269" s="128"/>
      <c r="E269" s="130" t="s">
        <v>788</v>
      </c>
      <c r="F269" s="128" t="s">
        <v>807</v>
      </c>
      <c r="G269" s="128" t="s">
        <v>808</v>
      </c>
      <c r="H269" s="128" t="s">
        <v>811</v>
      </c>
      <c r="I269" s="128" t="s">
        <v>812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29">
        <v>0</v>
      </c>
      <c r="B270" s="130" t="s">
        <v>87</v>
      </c>
      <c r="C270" s="130" t="s">
        <v>398</v>
      </c>
      <c r="D270" s="130"/>
      <c r="E270" s="131" t="s">
        <v>376</v>
      </c>
      <c r="F270" s="131">
        <v>0</v>
      </c>
      <c r="G270" s="131">
        <v>1</v>
      </c>
      <c r="H270" s="131"/>
      <c r="I270" s="131"/>
      <c r="T270" s="3" t="s">
        <v>85</v>
      </c>
      <c r="U270" s="6" t="s">
        <v>44</v>
      </c>
      <c r="W270" t="s">
        <v>207</v>
      </c>
    </row>
    <row r="271" spans="1:25" x14ac:dyDescent="0.2">
      <c r="A271" s="129">
        <v>1</v>
      </c>
      <c r="B271" s="130" t="s">
        <v>87</v>
      </c>
      <c r="C271" s="130" t="s">
        <v>399</v>
      </c>
      <c r="D271" s="130"/>
      <c r="E271" s="131" t="s">
        <v>377</v>
      </c>
      <c r="F271" s="131">
        <v>0</v>
      </c>
      <c r="G271" s="131">
        <v>1</v>
      </c>
      <c r="H271" s="131"/>
      <c r="I271" s="131"/>
      <c r="T271" s="3" t="s">
        <v>1</v>
      </c>
      <c r="U271" s="6"/>
    </row>
    <row r="272" spans="1:25" x14ac:dyDescent="0.2">
      <c r="A272" s="129">
        <v>2</v>
      </c>
      <c r="B272" s="130" t="s">
        <v>87</v>
      </c>
      <c r="C272" s="130" t="s">
        <v>400</v>
      </c>
      <c r="D272" s="130"/>
      <c r="E272" s="131" t="s">
        <v>378</v>
      </c>
      <c r="F272" s="131">
        <v>0</v>
      </c>
      <c r="G272" s="131">
        <v>1</v>
      </c>
      <c r="H272" s="131"/>
      <c r="I272" s="131"/>
      <c r="T272" s="3" t="s">
        <v>0</v>
      </c>
      <c r="U272" s="6"/>
    </row>
    <row r="273" spans="1:24" x14ac:dyDescent="0.2">
      <c r="A273" s="129">
        <v>3</v>
      </c>
      <c r="B273" s="130" t="s">
        <v>87</v>
      </c>
      <c r="C273" s="130" t="s">
        <v>401</v>
      </c>
      <c r="D273" s="130"/>
      <c r="E273" s="131" t="s">
        <v>379</v>
      </c>
      <c r="F273" s="131">
        <v>0</v>
      </c>
      <c r="G273" s="131">
        <v>1</v>
      </c>
      <c r="H273" s="131"/>
      <c r="I273" s="131"/>
      <c r="T273" s="8" t="s">
        <v>87</v>
      </c>
      <c r="U273" s="3" t="s">
        <v>413</v>
      </c>
    </row>
    <row r="274" spans="1:24" ht="17" thickBot="1" x14ac:dyDescent="0.25">
      <c r="A274" s="129">
        <v>4</v>
      </c>
      <c r="B274" s="130" t="s">
        <v>87</v>
      </c>
      <c r="C274" s="130" t="s">
        <v>295</v>
      </c>
      <c r="D274" s="130"/>
      <c r="E274" s="131" t="s">
        <v>380</v>
      </c>
      <c r="F274" s="131">
        <v>0</v>
      </c>
      <c r="G274" s="131">
        <v>100</v>
      </c>
      <c r="H274" s="131"/>
      <c r="I274" s="131"/>
      <c r="T274" s="4" t="s">
        <v>1</v>
      </c>
      <c r="U274" s="7"/>
    </row>
    <row r="275" spans="1:24" x14ac:dyDescent="0.2">
      <c r="A275" s="129">
        <v>5</v>
      </c>
      <c r="B275" s="130" t="s">
        <v>87</v>
      </c>
      <c r="C275" s="124" t="s">
        <v>357</v>
      </c>
      <c r="D275" s="130"/>
      <c r="E275" s="131" t="s">
        <v>383</v>
      </c>
      <c r="F275" s="131">
        <v>0</v>
      </c>
      <c r="G275" s="131">
        <v>150</v>
      </c>
      <c r="H275" s="131"/>
      <c r="I275" s="131"/>
    </row>
    <row r="276" spans="1:24" x14ac:dyDescent="0.2">
      <c r="A276" s="129">
        <v>6</v>
      </c>
      <c r="B276" s="130" t="s">
        <v>87</v>
      </c>
      <c r="C276" s="124" t="s">
        <v>402</v>
      </c>
      <c r="D276" s="130"/>
      <c r="E276" s="131" t="s">
        <v>381</v>
      </c>
      <c r="F276" s="131">
        <v>0</v>
      </c>
      <c r="G276" s="131">
        <v>1</v>
      </c>
      <c r="H276" s="131"/>
      <c r="I276" s="131"/>
    </row>
    <row r="277" spans="1:24" x14ac:dyDescent="0.2">
      <c r="A277" s="129">
        <v>7</v>
      </c>
      <c r="B277" s="130" t="s">
        <v>87</v>
      </c>
      <c r="C277" s="130" t="s">
        <v>403</v>
      </c>
      <c r="D277" s="130"/>
      <c r="E277" s="131" t="s">
        <v>382</v>
      </c>
      <c r="F277" s="131">
        <v>0</v>
      </c>
      <c r="G277" s="131">
        <v>1</v>
      </c>
      <c r="H277" s="131"/>
      <c r="I277" s="131"/>
    </row>
    <row r="278" spans="1:24" x14ac:dyDescent="0.2">
      <c r="A278" s="129">
        <v>8</v>
      </c>
      <c r="B278" s="130" t="s">
        <v>87</v>
      </c>
      <c r="C278" s="124" t="s">
        <v>290</v>
      </c>
      <c r="D278" s="130"/>
      <c r="E278" s="131" t="s">
        <v>29</v>
      </c>
      <c r="F278" s="131">
        <v>0</v>
      </c>
      <c r="G278" s="131">
        <v>28800</v>
      </c>
      <c r="H278" s="131"/>
      <c r="I278" s="131"/>
    </row>
    <row r="279" spans="1:24" x14ac:dyDescent="0.2">
      <c r="A279" s="129">
        <v>9</v>
      </c>
      <c r="B279" s="130" t="s">
        <v>87</v>
      </c>
      <c r="C279" s="130" t="s">
        <v>289</v>
      </c>
      <c r="D279" s="130"/>
      <c r="E279" s="131" t="s">
        <v>18</v>
      </c>
      <c r="F279" s="131"/>
      <c r="G279" s="131"/>
      <c r="H279" s="131"/>
      <c r="I279" s="131"/>
    </row>
    <row r="280" spans="1:24" x14ac:dyDescent="0.2">
      <c r="A280" s="129">
        <v>10</v>
      </c>
      <c r="B280" s="130" t="s">
        <v>87</v>
      </c>
      <c r="C280" s="130" t="s">
        <v>1042</v>
      </c>
      <c r="D280" s="130"/>
      <c r="E280" s="131" t="s">
        <v>1050</v>
      </c>
      <c r="F280" s="131">
        <v>0</v>
      </c>
      <c r="G280" s="131">
        <v>1024</v>
      </c>
      <c r="H280" s="131"/>
      <c r="I280" s="131"/>
    </row>
    <row r="281" spans="1:24" x14ac:dyDescent="0.2">
      <c r="A281" s="129">
        <v>11</v>
      </c>
      <c r="B281" s="130" t="s">
        <v>87</v>
      </c>
      <c r="C281" s="130" t="s">
        <v>1043</v>
      </c>
      <c r="D281" s="130"/>
      <c r="E281" s="131" t="s">
        <v>1051</v>
      </c>
      <c r="F281" s="131">
        <v>0</v>
      </c>
      <c r="G281" s="131">
        <v>1024</v>
      </c>
      <c r="H281" s="131"/>
      <c r="I281" s="131"/>
    </row>
    <row r="282" spans="1:24" x14ac:dyDescent="0.2">
      <c r="A282" s="129">
        <v>12</v>
      </c>
      <c r="B282" s="130" t="s">
        <v>87</v>
      </c>
      <c r="C282" s="130" t="s">
        <v>1044</v>
      </c>
      <c r="D282" s="130"/>
      <c r="E282" s="131" t="s">
        <v>1052</v>
      </c>
      <c r="F282" s="131">
        <v>0</v>
      </c>
      <c r="G282" s="131">
        <v>1024</v>
      </c>
      <c r="H282" s="131"/>
      <c r="I282" s="131"/>
    </row>
    <row r="283" spans="1:24" x14ac:dyDescent="0.2">
      <c r="A283" s="129">
        <v>13</v>
      </c>
      <c r="B283" s="130" t="s">
        <v>87</v>
      </c>
      <c r="C283" s="130" t="s">
        <v>1045</v>
      </c>
      <c r="D283" s="130"/>
      <c r="E283" s="131" t="s">
        <v>1053</v>
      </c>
      <c r="F283" s="131">
        <v>0</v>
      </c>
      <c r="G283" s="131">
        <v>1024</v>
      </c>
      <c r="H283" s="131"/>
      <c r="I283" s="131"/>
    </row>
    <row r="284" spans="1:24" x14ac:dyDescent="0.2">
      <c r="A284" s="129">
        <v>14</v>
      </c>
      <c r="B284" s="130" t="s">
        <v>87</v>
      </c>
      <c r="C284" s="130" t="s">
        <v>1046</v>
      </c>
      <c r="D284" s="130"/>
      <c r="E284" s="131" t="s">
        <v>1054</v>
      </c>
      <c r="F284" s="131">
        <v>0</v>
      </c>
      <c r="G284" s="131">
        <v>1024</v>
      </c>
      <c r="H284" s="131"/>
      <c r="I284" s="131"/>
    </row>
    <row r="285" spans="1:24" x14ac:dyDescent="0.2">
      <c r="A285" s="129">
        <v>15</v>
      </c>
      <c r="B285" s="130" t="s">
        <v>87</v>
      </c>
      <c r="C285" s="130" t="s">
        <v>1047</v>
      </c>
      <c r="D285" s="130"/>
      <c r="E285" s="131" t="s">
        <v>1055</v>
      </c>
      <c r="F285" s="131">
        <v>0</v>
      </c>
      <c r="G285" s="131">
        <v>1024</v>
      </c>
      <c r="H285" s="131"/>
      <c r="I285" s="131"/>
    </row>
    <row r="286" spans="1:24" x14ac:dyDescent="0.2">
      <c r="A286" s="129">
        <v>16</v>
      </c>
      <c r="B286" s="130" t="s">
        <v>87</v>
      </c>
      <c r="C286" s="130" t="s">
        <v>1048</v>
      </c>
      <c r="D286" s="130"/>
      <c r="E286" s="131" t="s">
        <v>1056</v>
      </c>
      <c r="F286" s="131">
        <v>0</v>
      </c>
      <c r="G286" s="131">
        <v>1024</v>
      </c>
      <c r="H286" s="131"/>
      <c r="I286" s="131"/>
    </row>
    <row r="287" spans="1:24" x14ac:dyDescent="0.2">
      <c r="A287" s="129">
        <v>17</v>
      </c>
      <c r="B287" s="130" t="s">
        <v>87</v>
      </c>
      <c r="C287" s="130" t="s">
        <v>1049</v>
      </c>
      <c r="D287" s="130"/>
      <c r="E287" s="131" t="s">
        <v>1057</v>
      </c>
      <c r="F287" s="131">
        <v>0</v>
      </c>
      <c r="G287" s="131">
        <v>1024</v>
      </c>
      <c r="H287" s="131"/>
      <c r="I287" s="131"/>
    </row>
    <row r="288" spans="1:24" ht="17" thickBot="1" x14ac:dyDescent="0.25">
      <c r="I288"/>
      <c r="X288" t="s">
        <v>425</v>
      </c>
    </row>
    <row r="289" spans="1:25" ht="19" x14ac:dyDescent="0.25">
      <c r="A289" s="132" t="s">
        <v>816</v>
      </c>
      <c r="B289" s="133"/>
      <c r="C289" s="134"/>
      <c r="D289" s="134"/>
      <c r="E289" s="134"/>
      <c r="F289" s="134"/>
      <c r="G289" s="134"/>
      <c r="H289" s="134"/>
      <c r="I289" s="134"/>
      <c r="T289" s="19" t="s">
        <v>301</v>
      </c>
      <c r="W289" t="s">
        <v>417</v>
      </c>
    </row>
    <row r="290" spans="1:25" x14ac:dyDescent="0.2">
      <c r="A290" s="135" t="s">
        <v>817</v>
      </c>
      <c r="B290" s="136" t="s">
        <v>918</v>
      </c>
      <c r="C290" s="137"/>
      <c r="D290" s="137"/>
      <c r="E290" s="137"/>
      <c r="F290" s="137"/>
      <c r="G290" s="137"/>
      <c r="H290" s="137"/>
      <c r="I290" s="137"/>
      <c r="T290" s="25" t="s">
        <v>388</v>
      </c>
      <c r="U290" s="25" t="s">
        <v>395</v>
      </c>
      <c r="W290" t="s">
        <v>208</v>
      </c>
      <c r="X290" t="s">
        <v>266</v>
      </c>
      <c r="Y290" t="s">
        <v>206</v>
      </c>
    </row>
    <row r="291" spans="1:25" x14ac:dyDescent="0.2">
      <c r="A291" s="135" t="s">
        <v>772</v>
      </c>
      <c r="B291" s="136" t="s">
        <v>891</v>
      </c>
      <c r="C291" s="137"/>
      <c r="D291" s="137"/>
      <c r="E291" s="137"/>
      <c r="F291" s="137"/>
      <c r="G291" s="137"/>
      <c r="H291" s="137"/>
      <c r="I291" s="137"/>
      <c r="T291" s="3" t="s">
        <v>86</v>
      </c>
      <c r="U291" s="6" t="s">
        <v>35</v>
      </c>
      <c r="W291" t="s">
        <v>208</v>
      </c>
      <c r="X291" t="s">
        <v>267</v>
      </c>
      <c r="Y291" t="s">
        <v>206</v>
      </c>
    </row>
    <row r="292" spans="1:25" x14ac:dyDescent="0.2">
      <c r="A292" s="135" t="s">
        <v>818</v>
      </c>
      <c r="B292" s="136" t="s">
        <v>918</v>
      </c>
      <c r="C292" s="137"/>
      <c r="D292" s="137"/>
      <c r="E292" s="137"/>
      <c r="F292" s="137"/>
      <c r="G292" s="137"/>
      <c r="H292" s="137"/>
      <c r="I292" s="137"/>
      <c r="T292" s="3" t="s">
        <v>88</v>
      </c>
      <c r="U292" s="6" t="s">
        <v>36</v>
      </c>
      <c r="W292" t="s">
        <v>208</v>
      </c>
      <c r="X292" t="s">
        <v>268</v>
      </c>
      <c r="Y292" t="s">
        <v>206</v>
      </c>
    </row>
    <row r="293" spans="1:25" x14ac:dyDescent="0.2">
      <c r="A293" s="135" t="s">
        <v>985</v>
      </c>
      <c r="B293" s="136" t="s">
        <v>918</v>
      </c>
      <c r="C293" s="137"/>
      <c r="D293" s="137"/>
      <c r="E293" s="137"/>
      <c r="F293" s="137"/>
      <c r="G293" s="137"/>
      <c r="H293" s="137"/>
      <c r="I293" s="137"/>
      <c r="T293" s="3" t="s">
        <v>67</v>
      </c>
      <c r="U293" s="6" t="s">
        <v>37</v>
      </c>
      <c r="W293" t="s">
        <v>208</v>
      </c>
      <c r="X293" t="s">
        <v>269</v>
      </c>
      <c r="Y293" t="s">
        <v>206</v>
      </c>
    </row>
    <row r="294" spans="1:25" x14ac:dyDescent="0.2">
      <c r="A294" s="135" t="s">
        <v>955</v>
      </c>
      <c r="B294" s="136" t="s">
        <v>956</v>
      </c>
      <c r="C294" s="137"/>
      <c r="D294" s="137"/>
      <c r="E294" s="137"/>
      <c r="F294" s="137"/>
      <c r="G294" s="137"/>
      <c r="H294" s="137"/>
      <c r="I294" s="137"/>
      <c r="T294" s="3" t="s">
        <v>68</v>
      </c>
      <c r="U294" s="6" t="s">
        <v>41</v>
      </c>
      <c r="W294" t="s">
        <v>208</v>
      </c>
      <c r="X294" t="s">
        <v>270</v>
      </c>
      <c r="Y294" t="s">
        <v>206</v>
      </c>
    </row>
    <row r="295" spans="1:25" x14ac:dyDescent="0.2">
      <c r="A295" s="135" t="s">
        <v>820</v>
      </c>
      <c r="B295" s="136" t="s">
        <v>892</v>
      </c>
      <c r="C295" s="137"/>
      <c r="D295" s="137"/>
      <c r="E295" s="137"/>
      <c r="F295" s="137"/>
      <c r="G295" s="137"/>
      <c r="H295" s="137"/>
      <c r="I295" s="137"/>
      <c r="T295" s="3" t="s">
        <v>69</v>
      </c>
      <c r="U295" s="6" t="s">
        <v>38</v>
      </c>
      <c r="W295" t="s">
        <v>208</v>
      </c>
      <c r="X295" t="s">
        <v>271</v>
      </c>
      <c r="Y295" t="s">
        <v>206</v>
      </c>
    </row>
    <row r="296" spans="1:25" x14ac:dyDescent="0.2">
      <c r="A296" s="135" t="s">
        <v>821</v>
      </c>
      <c r="B296" s="136"/>
      <c r="C296" s="137"/>
      <c r="D296" s="137"/>
      <c r="E296" s="137"/>
      <c r="F296" s="137"/>
      <c r="G296" s="137"/>
      <c r="H296" s="137"/>
      <c r="I296" s="137"/>
      <c r="T296" s="3" t="s">
        <v>70</v>
      </c>
      <c r="U296" s="6" t="s">
        <v>39</v>
      </c>
      <c r="W296" t="s">
        <v>208</v>
      </c>
      <c r="X296" t="s">
        <v>272</v>
      </c>
      <c r="Y296" t="s">
        <v>206</v>
      </c>
    </row>
    <row r="297" spans="1:25" ht="17" thickBot="1" x14ac:dyDescent="0.25">
      <c r="A297" s="135" t="s">
        <v>793</v>
      </c>
      <c r="B297" s="138">
        <v>30</v>
      </c>
      <c r="C297" s="139"/>
      <c r="D297" s="139"/>
      <c r="E297" s="139"/>
      <c r="F297" s="139"/>
      <c r="G297" s="139"/>
      <c r="H297" s="139"/>
      <c r="I297" s="139"/>
      <c r="T297" s="3" t="s">
        <v>71</v>
      </c>
      <c r="U297" s="6" t="s">
        <v>40</v>
      </c>
      <c r="W297" t="s">
        <v>208</v>
      </c>
      <c r="X297" t="s">
        <v>273</v>
      </c>
      <c r="Y297" t="s">
        <v>206</v>
      </c>
    </row>
    <row r="298" spans="1:25" x14ac:dyDescent="0.2">
      <c r="A298" s="140" t="s">
        <v>784</v>
      </c>
      <c r="B298" s="141" t="s">
        <v>785</v>
      </c>
      <c r="C298" s="141" t="s">
        <v>787</v>
      </c>
      <c r="D298" s="141"/>
      <c r="E298" s="142" t="s">
        <v>788</v>
      </c>
      <c r="F298" s="141" t="s">
        <v>807</v>
      </c>
      <c r="G298" s="141" t="s">
        <v>808</v>
      </c>
      <c r="H298" s="141" t="s">
        <v>811</v>
      </c>
      <c r="I298" s="141" t="s">
        <v>812</v>
      </c>
      <c r="T298" s="3" t="s">
        <v>72</v>
      </c>
      <c r="U298" s="6" t="s">
        <v>42</v>
      </c>
      <c r="W298" t="s">
        <v>208</v>
      </c>
      <c r="X298" t="s">
        <v>274</v>
      </c>
      <c r="Y298" t="s">
        <v>206</v>
      </c>
    </row>
    <row r="299" spans="1:25" x14ac:dyDescent="0.2">
      <c r="A299" s="142">
        <v>0</v>
      </c>
      <c r="B299" s="142" t="s">
        <v>87</v>
      </c>
      <c r="C299" s="142" t="s">
        <v>1076</v>
      </c>
      <c r="D299" s="142"/>
      <c r="E299" s="145"/>
      <c r="F299" s="145">
        <v>0</v>
      </c>
      <c r="G299" s="145">
        <v>8</v>
      </c>
      <c r="H299" s="144"/>
      <c r="I299" s="144"/>
      <c r="T299" s="3" t="s">
        <v>73</v>
      </c>
      <c r="U299" s="6" t="s">
        <v>100</v>
      </c>
      <c r="W299" t="s">
        <v>208</v>
      </c>
      <c r="X299" t="s">
        <v>275</v>
      </c>
      <c r="Y299" t="s">
        <v>206</v>
      </c>
    </row>
    <row r="300" spans="1:25" x14ac:dyDescent="0.2">
      <c r="A300" s="142">
        <v>1</v>
      </c>
      <c r="B300" s="142" t="s">
        <v>87</v>
      </c>
      <c r="C300" s="142" t="s">
        <v>1077</v>
      </c>
      <c r="D300" s="142"/>
      <c r="E300" s="145"/>
      <c r="F300" s="145">
        <v>0</v>
      </c>
      <c r="G300" s="145">
        <v>2500</v>
      </c>
      <c r="H300" s="144"/>
      <c r="I300" s="144"/>
      <c r="T300" s="3" t="s">
        <v>74</v>
      </c>
      <c r="U300" s="6" t="s">
        <v>101</v>
      </c>
      <c r="W300" t="s">
        <v>208</v>
      </c>
      <c r="X300" t="s">
        <v>276</v>
      </c>
      <c r="Y300" t="s">
        <v>206</v>
      </c>
    </row>
    <row r="301" spans="1:25" x14ac:dyDescent="0.2">
      <c r="A301" s="142">
        <v>2</v>
      </c>
      <c r="B301" s="142" t="s">
        <v>87</v>
      </c>
      <c r="C301" s="142" t="s">
        <v>1078</v>
      </c>
      <c r="D301" s="142"/>
      <c r="E301" s="145"/>
      <c r="F301" s="145">
        <v>0</v>
      </c>
      <c r="G301" s="145">
        <v>100</v>
      </c>
      <c r="H301" s="144"/>
      <c r="I301" s="144"/>
      <c r="T301" s="3" t="s">
        <v>75</v>
      </c>
      <c r="U301" s="6" t="s">
        <v>102</v>
      </c>
      <c r="W301" t="s">
        <v>208</v>
      </c>
      <c r="X301" t="s">
        <v>277</v>
      </c>
      <c r="Y301" t="s">
        <v>206</v>
      </c>
    </row>
    <row r="302" spans="1:25" x14ac:dyDescent="0.2">
      <c r="A302" s="142">
        <v>3</v>
      </c>
      <c r="B302" s="142" t="s">
        <v>87</v>
      </c>
      <c r="C302" s="142" t="s">
        <v>1079</v>
      </c>
      <c r="D302" s="142"/>
      <c r="E302" s="145"/>
      <c r="F302" s="145">
        <v>0</v>
      </c>
      <c r="G302" s="145">
        <v>100</v>
      </c>
      <c r="H302" s="144"/>
      <c r="I302" s="144"/>
      <c r="T302" s="3" t="s">
        <v>76</v>
      </c>
      <c r="U302" s="6" t="s">
        <v>103</v>
      </c>
      <c r="W302" t="s">
        <v>208</v>
      </c>
      <c r="X302" t="s">
        <v>278</v>
      </c>
      <c r="Y302" t="s">
        <v>206</v>
      </c>
    </row>
    <row r="303" spans="1:25" x14ac:dyDescent="0.2">
      <c r="A303" s="142">
        <v>4</v>
      </c>
      <c r="B303" s="142" t="s">
        <v>87</v>
      </c>
      <c r="C303" s="142" t="s">
        <v>1082</v>
      </c>
      <c r="D303" s="142"/>
      <c r="E303" s="145"/>
      <c r="F303" s="145">
        <v>0</v>
      </c>
      <c r="G303" s="145">
        <v>100</v>
      </c>
      <c r="H303" s="144"/>
      <c r="I303" s="144"/>
      <c r="T303" s="3" t="s">
        <v>77</v>
      </c>
      <c r="U303" s="6" t="s">
        <v>104</v>
      </c>
      <c r="W303" t="s">
        <v>208</v>
      </c>
      <c r="X303" t="s">
        <v>279</v>
      </c>
      <c r="Y303" t="s">
        <v>206</v>
      </c>
    </row>
    <row r="304" spans="1:25" x14ac:dyDescent="0.2">
      <c r="A304" s="142">
        <v>5</v>
      </c>
      <c r="B304" s="142" t="s">
        <v>87</v>
      </c>
      <c r="C304" s="142" t="s">
        <v>1080</v>
      </c>
      <c r="D304" s="142"/>
      <c r="E304" s="145"/>
      <c r="F304" s="145">
        <v>0</v>
      </c>
      <c r="G304" s="145">
        <v>100</v>
      </c>
      <c r="H304" s="144"/>
      <c r="I304" s="144"/>
      <c r="T304" s="3" t="s">
        <v>78</v>
      </c>
      <c r="U304" s="6" t="s">
        <v>107</v>
      </c>
      <c r="W304" t="s">
        <v>208</v>
      </c>
      <c r="X304" t="s">
        <v>280</v>
      </c>
      <c r="Y304" t="s">
        <v>206</v>
      </c>
    </row>
    <row r="305" spans="1:25" x14ac:dyDescent="0.2">
      <c r="A305" s="142">
        <v>6</v>
      </c>
      <c r="B305" s="142" t="s">
        <v>87</v>
      </c>
      <c r="C305" s="142" t="s">
        <v>1081</v>
      </c>
      <c r="D305" s="142"/>
      <c r="E305" s="145"/>
      <c r="F305" s="145">
        <v>0</v>
      </c>
      <c r="G305" s="145">
        <v>80</v>
      </c>
      <c r="H305" s="144"/>
      <c r="I305" s="144"/>
      <c r="T305" s="3" t="s">
        <v>79</v>
      </c>
      <c r="U305" s="6" t="s">
        <v>106</v>
      </c>
      <c r="W305" t="s">
        <v>208</v>
      </c>
      <c r="X305" t="s">
        <v>281</v>
      </c>
      <c r="Y305" t="s">
        <v>206</v>
      </c>
    </row>
    <row r="306" spans="1:25" x14ac:dyDescent="0.2">
      <c r="A306" s="142">
        <v>7</v>
      </c>
      <c r="B306" s="142" t="s">
        <v>87</v>
      </c>
      <c r="C306" s="142" t="s">
        <v>1083</v>
      </c>
      <c r="D306" s="142"/>
      <c r="E306" s="145"/>
      <c r="F306" s="145">
        <v>0</v>
      </c>
      <c r="G306" s="145">
        <v>80</v>
      </c>
      <c r="H306" s="144"/>
      <c r="I306" s="144"/>
      <c r="T306" s="3" t="s">
        <v>80</v>
      </c>
      <c r="U306" s="6" t="s">
        <v>105</v>
      </c>
      <c r="W306" t="s">
        <v>208</v>
      </c>
      <c r="X306" t="s">
        <v>282</v>
      </c>
      <c r="Y306" t="s">
        <v>206</v>
      </c>
    </row>
    <row r="307" spans="1:25" x14ac:dyDescent="0.2">
      <c r="A307" s="142">
        <v>8</v>
      </c>
      <c r="B307" s="142" t="s">
        <v>87</v>
      </c>
      <c r="C307" s="142" t="s">
        <v>1084</v>
      </c>
      <c r="D307" s="142"/>
      <c r="E307" s="145"/>
      <c r="F307" s="145">
        <v>0</v>
      </c>
      <c r="G307" s="145">
        <v>80</v>
      </c>
      <c r="H307" s="144"/>
      <c r="I307" s="144"/>
      <c r="T307" s="3" t="s">
        <v>81</v>
      </c>
      <c r="U307" s="6" t="s">
        <v>124</v>
      </c>
    </row>
    <row r="308" spans="1:25" x14ac:dyDescent="0.2">
      <c r="A308" s="142">
        <v>9</v>
      </c>
      <c r="B308" s="142" t="s">
        <v>87</v>
      </c>
      <c r="C308" s="142" t="s">
        <v>1085</v>
      </c>
      <c r="D308" s="142"/>
      <c r="E308" s="145"/>
      <c r="F308" s="145">
        <v>0</v>
      </c>
      <c r="G308" s="145">
        <v>4000</v>
      </c>
      <c r="H308" s="144"/>
      <c r="I308" s="144"/>
      <c r="T308" s="3"/>
      <c r="U308" s="6"/>
    </row>
    <row r="309" spans="1:25" x14ac:dyDescent="0.2">
      <c r="A309" s="142">
        <v>10</v>
      </c>
      <c r="B309" s="142" t="s">
        <v>87</v>
      </c>
      <c r="C309" s="142" t="s">
        <v>1086</v>
      </c>
      <c r="D309" s="142"/>
      <c r="E309" s="145"/>
      <c r="F309" s="145">
        <v>0</v>
      </c>
      <c r="G309" s="145">
        <v>4000</v>
      </c>
      <c r="H309" s="144"/>
      <c r="I309" s="144"/>
      <c r="T309" s="3"/>
      <c r="U309" s="6"/>
    </row>
    <row r="310" spans="1:25" x14ac:dyDescent="0.2">
      <c r="A310" s="142">
        <v>11</v>
      </c>
      <c r="B310" s="142" t="s">
        <v>87</v>
      </c>
      <c r="C310" s="142" t="s">
        <v>1087</v>
      </c>
      <c r="D310" s="142"/>
      <c r="E310" s="145"/>
      <c r="F310" s="145">
        <v>0</v>
      </c>
      <c r="G310" s="145">
        <v>4000</v>
      </c>
      <c r="H310" s="144"/>
      <c r="I310" s="144"/>
      <c r="T310" s="3"/>
      <c r="U310" s="6"/>
    </row>
    <row r="311" spans="1:25" x14ac:dyDescent="0.2">
      <c r="A311" s="142">
        <v>12</v>
      </c>
      <c r="B311" s="142" t="s">
        <v>87</v>
      </c>
      <c r="C311" s="142" t="s">
        <v>1088</v>
      </c>
      <c r="D311" s="142"/>
      <c r="E311" s="145"/>
      <c r="F311" s="145">
        <v>-32</v>
      </c>
      <c r="G311" s="145">
        <v>120</v>
      </c>
      <c r="H311" s="144"/>
      <c r="I311" s="144"/>
      <c r="T311" s="3"/>
      <c r="U311" s="6"/>
    </row>
    <row r="312" spans="1:25" x14ac:dyDescent="0.2">
      <c r="A312" s="142">
        <v>13</v>
      </c>
      <c r="B312" s="142" t="s">
        <v>87</v>
      </c>
      <c r="C312" s="142" t="s">
        <v>1089</v>
      </c>
      <c r="D312" s="142"/>
      <c r="E312" s="145"/>
      <c r="F312" s="178">
        <v>-32</v>
      </c>
      <c r="G312" s="178">
        <v>120</v>
      </c>
      <c r="H312" s="144"/>
      <c r="I312" s="144"/>
      <c r="T312" s="3"/>
      <c r="U312" s="6"/>
    </row>
    <row r="313" spans="1:25" x14ac:dyDescent="0.2">
      <c r="A313" s="142">
        <v>14</v>
      </c>
      <c r="B313" s="142" t="s">
        <v>87</v>
      </c>
      <c r="C313" s="142" t="s">
        <v>1090</v>
      </c>
      <c r="D313" s="142"/>
      <c r="E313" s="145"/>
      <c r="F313" s="145">
        <v>-32</v>
      </c>
      <c r="G313" s="145">
        <v>120</v>
      </c>
      <c r="H313" s="144"/>
      <c r="I313" s="144"/>
      <c r="T313" s="3"/>
      <c r="U313" s="6"/>
    </row>
    <row r="314" spans="1:25" x14ac:dyDescent="0.2">
      <c r="A314" s="142">
        <v>15</v>
      </c>
      <c r="B314" s="142" t="s">
        <v>87</v>
      </c>
      <c r="C314" s="142" t="s">
        <v>1091</v>
      </c>
      <c r="D314" s="142"/>
      <c r="E314" s="145"/>
      <c r="F314" s="145">
        <v>-32</v>
      </c>
      <c r="G314" s="145">
        <v>120</v>
      </c>
      <c r="H314" s="144"/>
      <c r="I314" s="144"/>
      <c r="T314" s="3"/>
      <c r="U314" s="6"/>
    </row>
    <row r="315" spans="1:25" x14ac:dyDescent="0.2">
      <c r="A315" s="142">
        <v>16</v>
      </c>
      <c r="B315" s="142" t="s">
        <v>87</v>
      </c>
      <c r="C315" s="142" t="s">
        <v>1092</v>
      </c>
      <c r="D315" s="142"/>
      <c r="E315" s="145"/>
      <c r="F315" s="145">
        <v>0</v>
      </c>
      <c r="G315" s="145">
        <v>0</v>
      </c>
      <c r="H315" s="144"/>
      <c r="I315" s="144"/>
      <c r="T315" s="3"/>
      <c r="U315" s="6"/>
    </row>
    <row r="316" spans="1:25" x14ac:dyDescent="0.2">
      <c r="A316" s="142">
        <v>17</v>
      </c>
      <c r="B316" s="142" t="s">
        <v>87</v>
      </c>
      <c r="C316" s="142" t="s">
        <v>1093</v>
      </c>
      <c r="D316" s="142"/>
      <c r="E316" s="145"/>
      <c r="F316" s="145">
        <v>0</v>
      </c>
      <c r="G316" s="145">
        <v>0</v>
      </c>
      <c r="H316" s="144"/>
      <c r="I316" s="144"/>
      <c r="T316" s="3"/>
      <c r="U316" s="6"/>
    </row>
    <row r="317" spans="1:25" x14ac:dyDescent="0.2">
      <c r="A317" s="142">
        <v>18</v>
      </c>
      <c r="B317" s="142" t="s">
        <v>87</v>
      </c>
      <c r="C317" s="142" t="s">
        <v>1094</v>
      </c>
      <c r="D317" s="142"/>
      <c r="E317" s="145"/>
      <c r="F317" s="145">
        <v>0</v>
      </c>
      <c r="G317" s="145">
        <v>255</v>
      </c>
      <c r="H317" s="144"/>
      <c r="I317" s="144"/>
      <c r="T317" s="3"/>
      <c r="U317" s="6"/>
    </row>
    <row r="318" spans="1:25" x14ac:dyDescent="0.2">
      <c r="A318" s="142">
        <v>19</v>
      </c>
      <c r="B318" s="142" t="s">
        <v>87</v>
      </c>
      <c r="C318" s="142" t="s">
        <v>1096</v>
      </c>
      <c r="D318" s="142"/>
      <c r="E318" s="145"/>
      <c r="F318" s="145">
        <v>0</v>
      </c>
      <c r="G318" s="145">
        <v>255</v>
      </c>
      <c r="H318" s="144"/>
      <c r="I318" s="144"/>
      <c r="T318" s="3"/>
      <c r="U318" s="6"/>
    </row>
    <row r="319" spans="1:25" x14ac:dyDescent="0.2">
      <c r="A319" s="142">
        <v>20</v>
      </c>
      <c r="B319" s="142" t="s">
        <v>87</v>
      </c>
      <c r="C319" s="142" t="s">
        <v>1098</v>
      </c>
      <c r="D319" s="142"/>
      <c r="E319" s="145"/>
      <c r="F319" s="145">
        <v>0</v>
      </c>
      <c r="G319" s="145">
        <v>255</v>
      </c>
      <c r="H319" s="144"/>
      <c r="I319" s="144"/>
      <c r="T319" s="3"/>
      <c r="U319" s="6"/>
    </row>
    <row r="320" spans="1:25" x14ac:dyDescent="0.2">
      <c r="A320" s="142">
        <v>21</v>
      </c>
      <c r="B320" s="142" t="s">
        <v>87</v>
      </c>
      <c r="C320" s="142" t="s">
        <v>1100</v>
      </c>
      <c r="D320" s="142"/>
      <c r="E320" s="145"/>
      <c r="F320" s="145">
        <v>0</v>
      </c>
      <c r="G320" s="145">
        <v>255</v>
      </c>
      <c r="H320" s="144"/>
      <c r="I320" s="144"/>
      <c r="T320" s="3"/>
      <c r="U320" s="6"/>
    </row>
    <row r="321" spans="1:25" x14ac:dyDescent="0.2">
      <c r="A321" s="142">
        <v>22</v>
      </c>
      <c r="B321" s="142" t="s">
        <v>87</v>
      </c>
      <c r="C321" s="142" t="s">
        <v>1102</v>
      </c>
      <c r="D321" s="142"/>
      <c r="E321" s="145"/>
      <c r="F321" s="145">
        <v>0</v>
      </c>
      <c r="G321" s="145">
        <v>255</v>
      </c>
      <c r="H321" s="144"/>
      <c r="I321" s="144"/>
      <c r="T321" s="3"/>
      <c r="U321" s="6"/>
    </row>
    <row r="322" spans="1:25" x14ac:dyDescent="0.2">
      <c r="A322" s="142">
        <v>23</v>
      </c>
      <c r="B322" s="142" t="s">
        <v>87</v>
      </c>
      <c r="C322" s="142" t="s">
        <v>1103</v>
      </c>
      <c r="D322" s="142"/>
      <c r="E322" s="145"/>
      <c r="F322" s="145">
        <v>0</v>
      </c>
      <c r="G322" s="145">
        <v>255</v>
      </c>
      <c r="H322" s="144"/>
      <c r="I322" s="144"/>
      <c r="T322" s="3"/>
      <c r="U322" s="6"/>
    </row>
    <row r="323" spans="1:25" x14ac:dyDescent="0.2">
      <c r="A323" s="142">
        <v>24</v>
      </c>
      <c r="B323" s="142" t="s">
        <v>87</v>
      </c>
      <c r="C323" s="142" t="s">
        <v>1095</v>
      </c>
      <c r="D323" s="142"/>
      <c r="E323" s="145"/>
      <c r="F323" s="145">
        <v>0</v>
      </c>
      <c r="G323" s="145">
        <v>6</v>
      </c>
      <c r="H323" s="144"/>
      <c r="I323" s="144"/>
      <c r="T323" s="3"/>
      <c r="U323" s="6"/>
    </row>
    <row r="324" spans="1:25" x14ac:dyDescent="0.2">
      <c r="A324" s="142">
        <v>25</v>
      </c>
      <c r="B324" s="142" t="s">
        <v>87</v>
      </c>
      <c r="C324" s="142" t="s">
        <v>1097</v>
      </c>
      <c r="D324" s="142"/>
      <c r="E324" s="145"/>
      <c r="F324" s="145">
        <v>0</v>
      </c>
      <c r="G324" s="145">
        <v>6</v>
      </c>
      <c r="H324" s="144"/>
      <c r="I324" s="144"/>
      <c r="T324" s="3"/>
      <c r="U324" s="6"/>
    </row>
    <row r="325" spans="1:25" x14ac:dyDescent="0.2">
      <c r="A325" s="142">
        <v>26</v>
      </c>
      <c r="B325" s="142" t="s">
        <v>87</v>
      </c>
      <c r="C325" s="142" t="s">
        <v>1099</v>
      </c>
      <c r="D325" s="142"/>
      <c r="E325" s="145"/>
      <c r="F325" s="145">
        <v>0</v>
      </c>
      <c r="G325" s="145">
        <v>6</v>
      </c>
      <c r="H325" s="144"/>
      <c r="I325" s="144"/>
      <c r="T325" s="3"/>
      <c r="U325" s="6"/>
    </row>
    <row r="326" spans="1:25" x14ac:dyDescent="0.2">
      <c r="A326" s="142">
        <v>27</v>
      </c>
      <c r="B326" s="142" t="s">
        <v>87</v>
      </c>
      <c r="C326" s="142" t="s">
        <v>1101</v>
      </c>
      <c r="D326" s="142"/>
      <c r="E326" s="145"/>
      <c r="F326" s="145">
        <v>0</v>
      </c>
      <c r="G326" s="145">
        <v>6</v>
      </c>
      <c r="H326" s="144"/>
      <c r="I326" s="144"/>
      <c r="T326" s="3"/>
      <c r="U326" s="6"/>
    </row>
    <row r="327" spans="1:25" x14ac:dyDescent="0.2">
      <c r="A327" s="142">
        <v>28</v>
      </c>
      <c r="B327" s="142" t="s">
        <v>87</v>
      </c>
      <c r="C327" s="142" t="s">
        <v>1116</v>
      </c>
      <c r="D327" s="142"/>
      <c r="E327" s="145"/>
      <c r="F327" s="145">
        <v>0</v>
      </c>
      <c r="G327" s="145">
        <v>6</v>
      </c>
      <c r="H327" s="144"/>
      <c r="I327" s="144"/>
      <c r="T327" s="3"/>
      <c r="U327" s="6"/>
    </row>
    <row r="328" spans="1:25" x14ac:dyDescent="0.2">
      <c r="A328" s="142">
        <v>29</v>
      </c>
      <c r="B328" s="142" t="s">
        <v>87</v>
      </c>
      <c r="C328" s="142" t="s">
        <v>758</v>
      </c>
      <c r="D328" s="142"/>
      <c r="E328" s="145"/>
      <c r="F328" s="145">
        <v>0</v>
      </c>
      <c r="G328" s="145">
        <v>32</v>
      </c>
      <c r="H328" s="144"/>
      <c r="I328" s="144"/>
      <c r="T328" s="3"/>
      <c r="U328" s="6"/>
    </row>
    <row r="329" spans="1:25" ht="17" thickBot="1" x14ac:dyDescent="0.25">
      <c r="T329" s="3" t="s">
        <v>83</v>
      </c>
      <c r="U329" s="6" t="s">
        <v>99</v>
      </c>
      <c r="W329" t="s">
        <v>208</v>
      </c>
      <c r="X329" t="s">
        <v>285</v>
      </c>
      <c r="Y329" t="s">
        <v>206</v>
      </c>
    </row>
    <row r="330" spans="1:25" x14ac:dyDescent="0.2">
      <c r="A330" s="132" t="s">
        <v>816</v>
      </c>
      <c r="B330" s="133"/>
      <c r="C330" s="134"/>
      <c r="D330" s="134"/>
      <c r="E330" s="134"/>
      <c r="F330" s="134"/>
      <c r="G330" s="134"/>
      <c r="H330" s="134"/>
      <c r="I330" s="134"/>
      <c r="J330" s="173" t="s">
        <v>266</v>
      </c>
      <c r="K330" s="173"/>
      <c r="L330" s="173" t="s">
        <v>35</v>
      </c>
      <c r="T330" s="3" t="s">
        <v>84</v>
      </c>
      <c r="U330" s="6" t="s">
        <v>43</v>
      </c>
      <c r="W330" t="s">
        <v>208</v>
      </c>
      <c r="X330" t="s">
        <v>44</v>
      </c>
      <c r="Y330" t="s">
        <v>206</v>
      </c>
    </row>
    <row r="331" spans="1:25" x14ac:dyDescent="0.2">
      <c r="A331" s="135" t="s">
        <v>817</v>
      </c>
      <c r="B331" s="136" t="s">
        <v>919</v>
      </c>
      <c r="C331" s="137"/>
      <c r="D331" s="137"/>
      <c r="E331" s="137"/>
      <c r="F331" s="137"/>
      <c r="G331" s="137"/>
      <c r="H331" s="137"/>
      <c r="I331" s="137"/>
      <c r="J331" s="173" t="s">
        <v>267</v>
      </c>
      <c r="K331" s="173"/>
      <c r="L331" s="173" t="s">
        <v>36</v>
      </c>
      <c r="T331" s="3" t="s">
        <v>85</v>
      </c>
      <c r="U331" s="6" t="s">
        <v>44</v>
      </c>
      <c r="W331" t="s">
        <v>207</v>
      </c>
      <c r="Y331" t="s">
        <v>206</v>
      </c>
    </row>
    <row r="332" spans="1:25" x14ac:dyDescent="0.2">
      <c r="A332" s="135" t="s">
        <v>772</v>
      </c>
      <c r="B332" s="136" t="s">
        <v>893</v>
      </c>
      <c r="C332" s="137"/>
      <c r="D332" s="137"/>
      <c r="E332" s="137"/>
      <c r="F332" s="137"/>
      <c r="G332" s="137"/>
      <c r="H332" s="137"/>
      <c r="I332" s="137"/>
      <c r="J332" s="173" t="s">
        <v>268</v>
      </c>
      <c r="K332" s="173"/>
      <c r="L332" s="173" t="s">
        <v>37</v>
      </c>
      <c r="T332" s="3" t="s">
        <v>1</v>
      </c>
      <c r="U332" s="6"/>
    </row>
    <row r="333" spans="1:25" x14ac:dyDescent="0.2">
      <c r="A333" s="135" t="s">
        <v>818</v>
      </c>
      <c r="B333" s="136" t="s">
        <v>919</v>
      </c>
      <c r="C333" s="137"/>
      <c r="D333" s="137"/>
      <c r="E333" s="137"/>
      <c r="F333" s="137"/>
      <c r="G333" s="137"/>
      <c r="H333" s="137"/>
      <c r="I333" s="137"/>
      <c r="J333" s="173" t="s">
        <v>269</v>
      </c>
      <c r="K333" s="173"/>
      <c r="L333" s="173" t="s">
        <v>41</v>
      </c>
      <c r="T333" s="3"/>
      <c r="U333" s="6"/>
    </row>
    <row r="334" spans="1:25" x14ac:dyDescent="0.2">
      <c r="A334" s="135" t="s">
        <v>985</v>
      </c>
      <c r="B334" s="136" t="s">
        <v>919</v>
      </c>
      <c r="C334" s="137"/>
      <c r="D334" s="137"/>
      <c r="E334" s="137"/>
      <c r="F334" s="137"/>
      <c r="G334" s="137"/>
      <c r="H334" s="137"/>
      <c r="I334" s="137"/>
      <c r="J334" s="173" t="s">
        <v>270</v>
      </c>
      <c r="K334" s="173"/>
      <c r="L334" s="173" t="s">
        <v>38</v>
      </c>
      <c r="T334" s="3" t="s">
        <v>0</v>
      </c>
      <c r="U334" s="6"/>
    </row>
    <row r="335" spans="1:25" x14ac:dyDescent="0.2">
      <c r="A335" s="135" t="s">
        <v>955</v>
      </c>
      <c r="B335" s="136" t="s">
        <v>956</v>
      </c>
      <c r="C335" s="137"/>
      <c r="D335" s="137"/>
      <c r="E335" s="137"/>
      <c r="F335" s="137"/>
      <c r="G335" s="137"/>
      <c r="H335" s="137"/>
      <c r="I335" s="137"/>
      <c r="J335" t="s">
        <v>271</v>
      </c>
      <c r="K335" s="173"/>
      <c r="L335" s="173" t="s">
        <v>39</v>
      </c>
      <c r="T335" s="8" t="s">
        <v>98</v>
      </c>
      <c r="U335" s="3" t="s">
        <v>420</v>
      </c>
    </row>
    <row r="336" spans="1:25" ht="17" thickBot="1" x14ac:dyDescent="0.25">
      <c r="A336" s="135" t="s">
        <v>820</v>
      </c>
      <c r="B336" s="136" t="s">
        <v>894</v>
      </c>
      <c r="C336" s="137"/>
      <c r="D336" s="137"/>
      <c r="E336" s="137"/>
      <c r="F336" s="137"/>
      <c r="G336" s="137"/>
      <c r="H336" s="137"/>
      <c r="I336" s="137"/>
      <c r="J336" t="s">
        <v>272</v>
      </c>
      <c r="K336" s="173"/>
      <c r="L336" s="173" t="s">
        <v>40</v>
      </c>
      <c r="T336" s="4" t="s">
        <v>1</v>
      </c>
      <c r="U336" s="7"/>
    </row>
    <row r="337" spans="1:25" x14ac:dyDescent="0.2">
      <c r="A337" s="135" t="s">
        <v>821</v>
      </c>
      <c r="B337" s="136"/>
      <c r="C337" s="137"/>
      <c r="D337" s="137"/>
      <c r="E337" s="137"/>
      <c r="F337" s="137"/>
      <c r="G337" s="137"/>
      <c r="H337" s="137"/>
      <c r="I337" s="137"/>
      <c r="J337" s="173" t="s">
        <v>273</v>
      </c>
      <c r="K337" s="173"/>
      <c r="L337" s="173" t="s">
        <v>42</v>
      </c>
    </row>
    <row r="338" spans="1:25" ht="17" thickBot="1" x14ac:dyDescent="0.25">
      <c r="A338" s="135" t="s">
        <v>793</v>
      </c>
      <c r="B338" s="138">
        <v>40</v>
      </c>
      <c r="C338" s="139"/>
      <c r="D338" s="139"/>
      <c r="E338" s="139"/>
      <c r="F338" s="139"/>
      <c r="G338" s="139"/>
      <c r="H338" s="139"/>
      <c r="I338" s="139"/>
      <c r="J338" s="173" t="s">
        <v>274</v>
      </c>
      <c r="K338" s="173"/>
      <c r="L338" s="173" t="s">
        <v>100</v>
      </c>
    </row>
    <row r="339" spans="1:25" x14ac:dyDescent="0.2">
      <c r="A339" s="140" t="s">
        <v>784</v>
      </c>
      <c r="B339" s="141" t="s">
        <v>785</v>
      </c>
      <c r="C339" s="141" t="s">
        <v>787</v>
      </c>
      <c r="D339" s="141"/>
      <c r="E339" s="142" t="s">
        <v>788</v>
      </c>
      <c r="F339" s="141" t="s">
        <v>807</v>
      </c>
      <c r="G339" s="141" t="s">
        <v>808</v>
      </c>
      <c r="H339" s="141" t="s">
        <v>811</v>
      </c>
      <c r="I339" s="141" t="s">
        <v>812</v>
      </c>
      <c r="J339" s="173" t="s">
        <v>275</v>
      </c>
      <c r="K339" s="173"/>
      <c r="L339" s="173" t="s">
        <v>101</v>
      </c>
    </row>
    <row r="340" spans="1:25" x14ac:dyDescent="0.2">
      <c r="A340" s="143">
        <v>0</v>
      </c>
      <c r="B340" s="142" t="s">
        <v>208</v>
      </c>
      <c r="C340" s="142" t="s">
        <v>1132</v>
      </c>
      <c r="D340" s="142"/>
      <c r="E340" s="145" t="s">
        <v>895</v>
      </c>
      <c r="F340" s="144">
        <v>0</v>
      </c>
      <c r="G340" s="144">
        <v>100</v>
      </c>
      <c r="H340" s="144"/>
      <c r="I340" s="144"/>
      <c r="J340" s="173" t="s">
        <v>276</v>
      </c>
      <c r="K340" s="173"/>
      <c r="L340" s="173" t="s">
        <v>102</v>
      </c>
      <c r="X340" t="s">
        <v>426</v>
      </c>
    </row>
    <row r="341" spans="1:25" ht="19" x14ac:dyDescent="0.25">
      <c r="A341" s="143">
        <v>1</v>
      </c>
      <c r="B341" s="142" t="s">
        <v>208</v>
      </c>
      <c r="C341" s="142" t="s">
        <v>1133</v>
      </c>
      <c r="D341" s="142"/>
      <c r="E341" s="145" t="s">
        <v>896</v>
      </c>
      <c r="F341" s="144">
        <v>0</v>
      </c>
      <c r="G341" s="144">
        <v>100</v>
      </c>
      <c r="H341" s="144"/>
      <c r="I341" s="144"/>
      <c r="J341" s="173" t="s">
        <v>277</v>
      </c>
      <c r="K341" s="173"/>
      <c r="L341" s="173" t="s">
        <v>103</v>
      </c>
      <c r="T341" s="19" t="s">
        <v>358</v>
      </c>
      <c r="W341" t="s">
        <v>418</v>
      </c>
    </row>
    <row r="342" spans="1:25" x14ac:dyDescent="0.2">
      <c r="A342" s="143">
        <v>2</v>
      </c>
      <c r="B342" s="142" t="s">
        <v>208</v>
      </c>
      <c r="C342" s="142" t="s">
        <v>1134</v>
      </c>
      <c r="D342" s="142"/>
      <c r="E342" s="145" t="s">
        <v>897</v>
      </c>
      <c r="F342" s="144">
        <v>0</v>
      </c>
      <c r="G342" s="144">
        <v>100</v>
      </c>
      <c r="H342" s="144"/>
      <c r="I342" s="144"/>
      <c r="J342" s="173" t="s">
        <v>278</v>
      </c>
      <c r="K342" s="173"/>
      <c r="L342" s="173" t="s">
        <v>104</v>
      </c>
      <c r="T342" s="25" t="s">
        <v>387</v>
      </c>
      <c r="U342" s="25" t="s">
        <v>396</v>
      </c>
      <c r="W342" t="s">
        <v>208</v>
      </c>
      <c r="X342" t="s">
        <v>229</v>
      </c>
      <c r="Y342" t="s">
        <v>206</v>
      </c>
    </row>
    <row r="343" spans="1:25" x14ac:dyDescent="0.2">
      <c r="A343" s="143">
        <v>3</v>
      </c>
      <c r="B343" s="142" t="s">
        <v>208</v>
      </c>
      <c r="C343" s="142" t="s">
        <v>1135</v>
      </c>
      <c r="D343" s="142"/>
      <c r="E343" s="145" t="s">
        <v>898</v>
      </c>
      <c r="F343" s="144">
        <v>0</v>
      </c>
      <c r="G343" s="144">
        <v>100</v>
      </c>
      <c r="H343" s="144"/>
      <c r="I343" s="144"/>
      <c r="J343" s="173" t="s">
        <v>279</v>
      </c>
      <c r="K343" s="173"/>
      <c r="L343" s="173" t="s">
        <v>107</v>
      </c>
      <c r="T343" s="3" t="s">
        <v>86</v>
      </c>
      <c r="U343" s="6" t="s">
        <v>203</v>
      </c>
      <c r="W343" t="s">
        <v>208</v>
      </c>
      <c r="X343" t="s">
        <v>209</v>
      </c>
      <c r="Y343" t="s">
        <v>206</v>
      </c>
    </row>
    <row r="344" spans="1:25" x14ac:dyDescent="0.2">
      <c r="A344" s="143">
        <v>4</v>
      </c>
      <c r="B344" s="142" t="s">
        <v>208</v>
      </c>
      <c r="C344" s="142" t="s">
        <v>1136</v>
      </c>
      <c r="D344" s="142"/>
      <c r="E344" s="145" t="s">
        <v>899</v>
      </c>
      <c r="F344" s="144">
        <v>0</v>
      </c>
      <c r="G344" s="144">
        <v>100</v>
      </c>
      <c r="H344" s="144"/>
      <c r="I344" s="144"/>
      <c r="J344" s="173" t="s">
        <v>280</v>
      </c>
      <c r="K344" s="173"/>
      <c r="L344" s="173" t="s">
        <v>106</v>
      </c>
      <c r="T344" s="3" t="s">
        <v>88</v>
      </c>
      <c r="U344" s="6" t="s">
        <v>44</v>
      </c>
      <c r="W344" t="s">
        <v>208</v>
      </c>
      <c r="X344" t="s">
        <v>210</v>
      </c>
      <c r="Y344" t="s">
        <v>206</v>
      </c>
    </row>
    <row r="345" spans="1:25" x14ac:dyDescent="0.2">
      <c r="A345" s="143">
        <v>5</v>
      </c>
      <c r="B345" s="142" t="s">
        <v>208</v>
      </c>
      <c r="C345" s="142" t="s">
        <v>1137</v>
      </c>
      <c r="D345" s="142"/>
      <c r="E345" s="145" t="s">
        <v>900</v>
      </c>
      <c r="F345" s="144">
        <v>0</v>
      </c>
      <c r="G345" s="144">
        <v>100</v>
      </c>
      <c r="H345" s="144"/>
      <c r="I345" s="144"/>
      <c r="J345" s="173" t="s">
        <v>281</v>
      </c>
      <c r="K345" s="173"/>
      <c r="L345" s="173" t="s">
        <v>105</v>
      </c>
      <c r="T345" s="3" t="s">
        <v>67</v>
      </c>
      <c r="U345" s="6" t="s">
        <v>44</v>
      </c>
      <c r="W345" t="s">
        <v>208</v>
      </c>
      <c r="X345" t="s">
        <v>211</v>
      </c>
      <c r="Y345" t="s">
        <v>206</v>
      </c>
    </row>
    <row r="346" spans="1:25" x14ac:dyDescent="0.2">
      <c r="A346" s="143">
        <v>6</v>
      </c>
      <c r="B346" s="142" t="s">
        <v>208</v>
      </c>
      <c r="C346" s="142" t="s">
        <v>1138</v>
      </c>
      <c r="D346" s="142"/>
      <c r="E346" s="145" t="s">
        <v>901</v>
      </c>
      <c r="F346" s="144">
        <v>0</v>
      </c>
      <c r="G346" s="144">
        <v>100</v>
      </c>
      <c r="H346" s="144"/>
      <c r="I346" s="144"/>
      <c r="J346" s="173" t="s">
        <v>282</v>
      </c>
      <c r="K346" s="173"/>
      <c r="L346" s="173" t="s">
        <v>124</v>
      </c>
      <c r="T346" s="3" t="s">
        <v>68</v>
      </c>
      <c r="U346" s="6" t="s">
        <v>44</v>
      </c>
      <c r="W346" t="s">
        <v>208</v>
      </c>
      <c r="X346" t="s">
        <v>212</v>
      </c>
      <c r="Y346" t="s">
        <v>206</v>
      </c>
    </row>
    <row r="347" spans="1:25" x14ac:dyDescent="0.2">
      <c r="A347" s="143">
        <v>7</v>
      </c>
      <c r="B347" s="142" t="s">
        <v>208</v>
      </c>
      <c r="C347" s="142" t="s">
        <v>1139</v>
      </c>
      <c r="D347" s="142"/>
      <c r="E347" s="145" t="s">
        <v>902</v>
      </c>
      <c r="F347" s="144">
        <v>0</v>
      </c>
      <c r="G347" s="144">
        <v>100</v>
      </c>
      <c r="H347" s="144"/>
      <c r="I347" s="144"/>
      <c r="J347" s="173" t="s">
        <v>283</v>
      </c>
      <c r="K347" s="173"/>
      <c r="L347" s="173" t="s">
        <v>125</v>
      </c>
      <c r="T347" s="3" t="s">
        <v>69</v>
      </c>
      <c r="U347" s="6" t="s">
        <v>44</v>
      </c>
      <c r="W347" t="s">
        <v>208</v>
      </c>
      <c r="X347" t="s">
        <v>213</v>
      </c>
      <c r="Y347" t="s">
        <v>206</v>
      </c>
    </row>
    <row r="348" spans="1:25" x14ac:dyDescent="0.2">
      <c r="A348" s="143">
        <v>8</v>
      </c>
      <c r="B348" s="142" t="s">
        <v>208</v>
      </c>
      <c r="C348" s="142" t="s">
        <v>1140</v>
      </c>
      <c r="D348" s="142"/>
      <c r="E348" s="145" t="s">
        <v>903</v>
      </c>
      <c r="F348" s="144">
        <v>0</v>
      </c>
      <c r="G348" s="144">
        <v>100</v>
      </c>
      <c r="H348" s="144"/>
      <c r="I348" s="144"/>
      <c r="J348" s="173" t="s">
        <v>284</v>
      </c>
      <c r="K348" s="173"/>
      <c r="L348" s="173" t="s">
        <v>99</v>
      </c>
      <c r="T348" s="3" t="s">
        <v>70</v>
      </c>
      <c r="U348" s="6" t="s">
        <v>44</v>
      </c>
      <c r="W348" t="s">
        <v>208</v>
      </c>
      <c r="X348" t="s">
        <v>214</v>
      </c>
      <c r="Y348" t="s">
        <v>206</v>
      </c>
    </row>
    <row r="349" spans="1:25" x14ac:dyDescent="0.2">
      <c r="A349" s="143">
        <v>9</v>
      </c>
      <c r="B349" s="142" t="s">
        <v>208</v>
      </c>
      <c r="C349" s="142" t="s">
        <v>1141</v>
      </c>
      <c r="D349" s="142"/>
      <c r="E349" s="145" t="s">
        <v>904</v>
      </c>
      <c r="F349" s="144">
        <v>0</v>
      </c>
      <c r="G349" s="144">
        <v>100</v>
      </c>
      <c r="H349" s="144"/>
      <c r="I349" s="144"/>
      <c r="J349" s="173" t="s">
        <v>285</v>
      </c>
      <c r="K349" s="173"/>
      <c r="L349" s="173" t="s">
        <v>43</v>
      </c>
      <c r="T349" s="3" t="s">
        <v>71</v>
      </c>
      <c r="U349" s="6" t="s">
        <v>44</v>
      </c>
      <c r="W349" t="s">
        <v>208</v>
      </c>
      <c r="X349" t="s">
        <v>215</v>
      </c>
      <c r="Y349" t="s">
        <v>206</v>
      </c>
    </row>
    <row r="350" spans="1:25" x14ac:dyDescent="0.2">
      <c r="A350" s="143">
        <v>10</v>
      </c>
      <c r="B350" s="142" t="s">
        <v>208</v>
      </c>
      <c r="C350" s="142" t="s">
        <v>1142</v>
      </c>
      <c r="D350" s="142"/>
      <c r="E350" s="145" t="s">
        <v>905</v>
      </c>
      <c r="F350" s="144">
        <v>0</v>
      </c>
      <c r="G350" s="144">
        <v>100</v>
      </c>
      <c r="H350" s="144"/>
      <c r="I350" s="144"/>
      <c r="T350" s="3" t="s">
        <v>72</v>
      </c>
      <c r="U350" s="6" t="s">
        <v>44</v>
      </c>
      <c r="W350" t="s">
        <v>208</v>
      </c>
      <c r="X350" t="s">
        <v>216</v>
      </c>
      <c r="Y350" t="s">
        <v>206</v>
      </c>
    </row>
    <row r="351" spans="1:25" x14ac:dyDescent="0.2">
      <c r="A351" s="143">
        <v>11</v>
      </c>
      <c r="B351" s="142" t="s">
        <v>208</v>
      </c>
      <c r="C351" s="142" t="s">
        <v>1143</v>
      </c>
      <c r="D351" s="142"/>
      <c r="E351" s="145" t="s">
        <v>906</v>
      </c>
      <c r="F351" s="144">
        <v>0</v>
      </c>
      <c r="G351" s="144">
        <v>100</v>
      </c>
      <c r="H351" s="144"/>
      <c r="I351" s="144"/>
      <c r="T351" s="3" t="s">
        <v>73</v>
      </c>
      <c r="U351" s="6" t="s">
        <v>44</v>
      </c>
      <c r="W351" t="s">
        <v>208</v>
      </c>
      <c r="X351" t="s">
        <v>217</v>
      </c>
      <c r="Y351" t="s">
        <v>206</v>
      </c>
    </row>
    <row r="352" spans="1:25" x14ac:dyDescent="0.2">
      <c r="A352" s="143">
        <v>12</v>
      </c>
      <c r="B352" s="142" t="s">
        <v>208</v>
      </c>
      <c r="C352" s="142" t="s">
        <v>1144</v>
      </c>
      <c r="D352" s="142"/>
      <c r="E352" s="145" t="s">
        <v>907</v>
      </c>
      <c r="F352" s="144">
        <v>0</v>
      </c>
      <c r="G352" s="144">
        <v>100</v>
      </c>
      <c r="H352" s="144"/>
      <c r="I352" s="144"/>
      <c r="T352" s="3" t="s">
        <v>74</v>
      </c>
      <c r="U352" s="6" t="s">
        <v>44</v>
      </c>
      <c r="W352" t="s">
        <v>208</v>
      </c>
      <c r="X352" t="s">
        <v>218</v>
      </c>
      <c r="Y352" t="s">
        <v>206</v>
      </c>
    </row>
    <row r="353" spans="1:25" x14ac:dyDescent="0.2">
      <c r="A353" s="143">
        <v>13</v>
      </c>
      <c r="B353" s="142" t="s">
        <v>208</v>
      </c>
      <c r="C353" s="142" t="s">
        <v>1145</v>
      </c>
      <c r="D353" s="142"/>
      <c r="E353" s="145" t="s">
        <v>908</v>
      </c>
      <c r="F353" s="144">
        <v>0</v>
      </c>
      <c r="G353" s="144">
        <v>100</v>
      </c>
      <c r="H353" s="144"/>
      <c r="I353" s="144"/>
      <c r="T353" s="3" t="s">
        <v>75</v>
      </c>
      <c r="U353" s="6" t="s">
        <v>44</v>
      </c>
      <c r="W353" t="s">
        <v>208</v>
      </c>
      <c r="X353" t="s">
        <v>219</v>
      </c>
      <c r="Y353" t="s">
        <v>206</v>
      </c>
    </row>
    <row r="354" spans="1:25" x14ac:dyDescent="0.2">
      <c r="A354" s="143">
        <v>14</v>
      </c>
      <c r="B354" s="142" t="s">
        <v>208</v>
      </c>
      <c r="C354" s="142" t="s">
        <v>1146</v>
      </c>
      <c r="D354" s="142"/>
      <c r="E354" s="145" t="s">
        <v>909</v>
      </c>
      <c r="F354" s="144">
        <v>0</v>
      </c>
      <c r="G354" s="144">
        <v>100</v>
      </c>
      <c r="H354" s="144"/>
      <c r="I354" s="144"/>
      <c r="T354" s="3" t="s">
        <v>76</v>
      </c>
      <c r="U354" s="6" t="s">
        <v>44</v>
      </c>
      <c r="W354" t="s">
        <v>208</v>
      </c>
      <c r="X354" t="s">
        <v>220</v>
      </c>
      <c r="Y354" t="s">
        <v>206</v>
      </c>
    </row>
    <row r="355" spans="1:25" x14ac:dyDescent="0.2">
      <c r="A355" s="143">
        <v>15</v>
      </c>
      <c r="B355" s="142" t="s">
        <v>208</v>
      </c>
      <c r="C355" s="142" t="s">
        <v>1147</v>
      </c>
      <c r="D355" s="142"/>
      <c r="E355" s="145" t="s">
        <v>910</v>
      </c>
      <c r="F355" s="144">
        <v>0</v>
      </c>
      <c r="G355" s="144">
        <v>100</v>
      </c>
      <c r="H355" s="144"/>
      <c r="I355" s="144"/>
      <c r="T355" s="3" t="s">
        <v>77</v>
      </c>
      <c r="U355" s="6" t="s">
        <v>44</v>
      </c>
      <c r="W355" t="s">
        <v>208</v>
      </c>
      <c r="X355" t="s">
        <v>221</v>
      </c>
      <c r="Y355" t="s">
        <v>206</v>
      </c>
    </row>
    <row r="356" spans="1:25" x14ac:dyDescent="0.2">
      <c r="A356" s="143">
        <v>16</v>
      </c>
      <c r="B356" s="142" t="s">
        <v>208</v>
      </c>
      <c r="C356" s="142" t="s">
        <v>1148</v>
      </c>
      <c r="D356" s="142"/>
      <c r="E356" s="145" t="s">
        <v>911</v>
      </c>
      <c r="F356" s="144">
        <v>0</v>
      </c>
      <c r="G356" s="144">
        <v>100</v>
      </c>
      <c r="H356" s="144"/>
      <c r="I356" s="144"/>
      <c r="T356" s="3" t="s">
        <v>78</v>
      </c>
      <c r="U356" s="6" t="s">
        <v>44</v>
      </c>
      <c r="W356" t="s">
        <v>208</v>
      </c>
      <c r="X356" t="s">
        <v>222</v>
      </c>
      <c r="Y356" t="s">
        <v>206</v>
      </c>
    </row>
    <row r="357" spans="1:25" x14ac:dyDescent="0.2">
      <c r="A357" s="143">
        <v>17</v>
      </c>
      <c r="B357" s="142" t="s">
        <v>208</v>
      </c>
      <c r="C357" s="142" t="s">
        <v>1149</v>
      </c>
      <c r="D357" s="142"/>
      <c r="E357" s="145" t="s">
        <v>912</v>
      </c>
      <c r="F357" s="144">
        <v>0</v>
      </c>
      <c r="G357" s="144">
        <v>100</v>
      </c>
      <c r="H357" s="144"/>
      <c r="I357" s="144"/>
      <c r="T357" s="3" t="s">
        <v>79</v>
      </c>
      <c r="U357" s="6" t="s">
        <v>44</v>
      </c>
      <c r="W357" t="s">
        <v>208</v>
      </c>
      <c r="X357" t="s">
        <v>223</v>
      </c>
      <c r="Y357" t="s">
        <v>206</v>
      </c>
    </row>
    <row r="358" spans="1:25" x14ac:dyDescent="0.2">
      <c r="A358" s="143">
        <v>18</v>
      </c>
      <c r="B358" s="142" t="s">
        <v>208</v>
      </c>
      <c r="C358" s="142" t="s">
        <v>1150</v>
      </c>
      <c r="D358" s="142"/>
      <c r="E358" s="145" t="s">
        <v>913</v>
      </c>
      <c r="F358" s="144">
        <v>0</v>
      </c>
      <c r="G358" s="144">
        <v>100</v>
      </c>
      <c r="H358" s="144"/>
      <c r="I358" s="144"/>
      <c r="T358" s="3" t="s">
        <v>80</v>
      </c>
      <c r="U358" s="6" t="s">
        <v>44</v>
      </c>
      <c r="W358" t="s">
        <v>208</v>
      </c>
      <c r="X358" t="s">
        <v>224</v>
      </c>
      <c r="Y358" t="s">
        <v>206</v>
      </c>
    </row>
    <row r="359" spans="1:25" x14ac:dyDescent="0.2">
      <c r="A359" s="143">
        <v>19</v>
      </c>
      <c r="B359" s="142" t="s">
        <v>208</v>
      </c>
      <c r="C359" s="142" t="s">
        <v>1151</v>
      </c>
      <c r="D359" s="142"/>
      <c r="E359" s="145" t="s">
        <v>914</v>
      </c>
      <c r="F359" s="144">
        <v>0</v>
      </c>
      <c r="G359" s="144">
        <v>100</v>
      </c>
      <c r="H359" s="144"/>
      <c r="I359" s="144"/>
      <c r="T359" s="3" t="s">
        <v>81</v>
      </c>
      <c r="U359" s="6" t="s">
        <v>44</v>
      </c>
      <c r="W359" t="s">
        <v>208</v>
      </c>
      <c r="X359" t="s">
        <v>225</v>
      </c>
      <c r="Y359" t="s">
        <v>206</v>
      </c>
    </row>
    <row r="360" spans="1:25" x14ac:dyDescent="0.2">
      <c r="A360" s="143">
        <v>20</v>
      </c>
      <c r="B360" s="142" t="s">
        <v>208</v>
      </c>
      <c r="C360" s="142" t="s">
        <v>1152</v>
      </c>
      <c r="D360" s="142"/>
      <c r="E360" s="145" t="s">
        <v>1172</v>
      </c>
      <c r="F360" s="144">
        <v>0</v>
      </c>
      <c r="G360" s="144">
        <v>100</v>
      </c>
      <c r="H360" s="144"/>
      <c r="I360" s="144"/>
      <c r="T360" s="3"/>
      <c r="U360" s="6"/>
    </row>
    <row r="361" spans="1:25" x14ac:dyDescent="0.2">
      <c r="A361" s="143">
        <v>21</v>
      </c>
      <c r="B361" s="142" t="s">
        <v>208</v>
      </c>
      <c r="C361" s="142" t="s">
        <v>1153</v>
      </c>
      <c r="D361" s="142"/>
      <c r="E361" s="145" t="s">
        <v>1173</v>
      </c>
      <c r="F361" s="144">
        <v>0</v>
      </c>
      <c r="G361" s="144">
        <v>100</v>
      </c>
      <c r="H361" s="144"/>
      <c r="I361" s="144"/>
      <c r="T361" s="3"/>
      <c r="U361" s="6"/>
    </row>
    <row r="362" spans="1:25" x14ac:dyDescent="0.2">
      <c r="A362" s="143">
        <v>22</v>
      </c>
      <c r="B362" s="142" t="s">
        <v>208</v>
      </c>
      <c r="C362" s="142" t="s">
        <v>1154</v>
      </c>
      <c r="D362" s="142"/>
      <c r="E362" s="145" t="s">
        <v>1174</v>
      </c>
      <c r="F362" s="144">
        <v>0</v>
      </c>
      <c r="G362" s="144">
        <v>100</v>
      </c>
      <c r="H362" s="144"/>
      <c r="I362" s="144"/>
      <c r="T362" s="3"/>
      <c r="U362" s="6"/>
    </row>
    <row r="363" spans="1:25" x14ac:dyDescent="0.2">
      <c r="A363" s="143">
        <v>23</v>
      </c>
      <c r="B363" s="142" t="s">
        <v>208</v>
      </c>
      <c r="C363" s="142" t="s">
        <v>1155</v>
      </c>
      <c r="D363" s="142"/>
      <c r="E363" s="145" t="s">
        <v>1175</v>
      </c>
      <c r="F363" s="144">
        <v>0</v>
      </c>
      <c r="G363" s="144">
        <v>100</v>
      </c>
      <c r="H363" s="144"/>
      <c r="I363" s="144"/>
      <c r="T363" s="3"/>
      <c r="U363" s="6"/>
    </row>
    <row r="364" spans="1:25" x14ac:dyDescent="0.2">
      <c r="A364" s="143">
        <v>24</v>
      </c>
      <c r="B364" s="142" t="s">
        <v>208</v>
      </c>
      <c r="C364" s="142" t="s">
        <v>1156</v>
      </c>
      <c r="D364" s="142"/>
      <c r="E364" s="145" t="s">
        <v>1176</v>
      </c>
      <c r="F364" s="144">
        <v>0</v>
      </c>
      <c r="G364" s="144">
        <v>100</v>
      </c>
      <c r="H364" s="144"/>
      <c r="I364" s="144"/>
      <c r="T364" s="3"/>
      <c r="U364" s="6"/>
    </row>
    <row r="365" spans="1:25" x14ac:dyDescent="0.2">
      <c r="A365" s="143">
        <v>25</v>
      </c>
      <c r="B365" s="142" t="s">
        <v>208</v>
      </c>
      <c r="C365" s="142" t="s">
        <v>1157</v>
      </c>
      <c r="D365" s="142"/>
      <c r="E365" s="145" t="s">
        <v>1177</v>
      </c>
      <c r="F365" s="144">
        <v>0</v>
      </c>
      <c r="G365" s="144">
        <v>100</v>
      </c>
      <c r="H365" s="144"/>
      <c r="I365" s="144"/>
      <c r="T365" s="3"/>
      <c r="U365" s="6"/>
    </row>
    <row r="366" spans="1:25" x14ac:dyDescent="0.2">
      <c r="A366" s="143">
        <v>26</v>
      </c>
      <c r="B366" s="142" t="s">
        <v>208</v>
      </c>
      <c r="C366" s="142" t="s">
        <v>1158</v>
      </c>
      <c r="D366" s="142"/>
      <c r="E366" s="145" t="s">
        <v>1178</v>
      </c>
      <c r="F366" s="144">
        <v>0</v>
      </c>
      <c r="G366" s="144">
        <v>100</v>
      </c>
      <c r="H366" s="144"/>
      <c r="I366" s="144"/>
      <c r="T366" s="3"/>
      <c r="U366" s="6"/>
    </row>
    <row r="367" spans="1:25" x14ac:dyDescent="0.2">
      <c r="A367" s="143">
        <v>27</v>
      </c>
      <c r="B367" s="142" t="s">
        <v>208</v>
      </c>
      <c r="C367" s="142" t="s">
        <v>1159</v>
      </c>
      <c r="D367" s="142"/>
      <c r="E367" s="145" t="s">
        <v>1179</v>
      </c>
      <c r="F367" s="144">
        <v>0</v>
      </c>
      <c r="G367" s="144">
        <v>100</v>
      </c>
      <c r="H367" s="144"/>
      <c r="I367" s="144"/>
      <c r="T367" s="3"/>
      <c r="U367" s="6"/>
    </row>
    <row r="368" spans="1:25" x14ac:dyDescent="0.2">
      <c r="A368" s="143">
        <v>28</v>
      </c>
      <c r="B368" s="142" t="s">
        <v>208</v>
      </c>
      <c r="C368" s="142" t="s">
        <v>1160</v>
      </c>
      <c r="D368" s="142"/>
      <c r="E368" s="145" t="s">
        <v>1180</v>
      </c>
      <c r="F368" s="144">
        <v>0</v>
      </c>
      <c r="G368" s="144">
        <v>100</v>
      </c>
      <c r="H368" s="144"/>
      <c r="I368" s="144"/>
      <c r="T368" s="3"/>
      <c r="U368" s="6"/>
    </row>
    <row r="369" spans="1:25" x14ac:dyDescent="0.2">
      <c r="A369" s="143">
        <v>29</v>
      </c>
      <c r="B369" s="142" t="s">
        <v>208</v>
      </c>
      <c r="C369" s="142" t="s">
        <v>1161</v>
      </c>
      <c r="D369" s="142"/>
      <c r="E369" s="145" t="s">
        <v>1181</v>
      </c>
      <c r="F369" s="144">
        <v>0</v>
      </c>
      <c r="G369" s="144">
        <v>100</v>
      </c>
      <c r="H369" s="144"/>
      <c r="I369" s="144"/>
      <c r="T369" s="3"/>
      <c r="U369" s="6"/>
    </row>
    <row r="370" spans="1:25" x14ac:dyDescent="0.2">
      <c r="A370" s="143">
        <v>30</v>
      </c>
      <c r="B370" s="142" t="s">
        <v>208</v>
      </c>
      <c r="C370" s="142" t="s">
        <v>1162</v>
      </c>
      <c r="D370" s="142"/>
      <c r="E370" s="145" t="s">
        <v>1182</v>
      </c>
      <c r="F370" s="144">
        <v>0</v>
      </c>
      <c r="G370" s="144">
        <v>100</v>
      </c>
      <c r="H370" s="144"/>
      <c r="I370" s="144"/>
      <c r="T370" s="3"/>
      <c r="U370" s="6"/>
    </row>
    <row r="371" spans="1:25" x14ac:dyDescent="0.2">
      <c r="A371" s="143">
        <v>31</v>
      </c>
      <c r="B371" s="142" t="s">
        <v>208</v>
      </c>
      <c r="C371" s="142" t="s">
        <v>1163</v>
      </c>
      <c r="D371" s="142"/>
      <c r="E371" s="145" t="s">
        <v>1183</v>
      </c>
      <c r="F371" s="144">
        <v>0</v>
      </c>
      <c r="G371" s="144">
        <v>100</v>
      </c>
      <c r="H371" s="144"/>
      <c r="I371" s="144"/>
      <c r="T371" s="3"/>
      <c r="U371" s="6"/>
    </row>
    <row r="372" spans="1:25" x14ac:dyDescent="0.2">
      <c r="A372" s="143">
        <v>32</v>
      </c>
      <c r="B372" s="142" t="s">
        <v>208</v>
      </c>
      <c r="C372" s="142" t="s">
        <v>1164</v>
      </c>
      <c r="D372" s="142"/>
      <c r="E372" s="145" t="s">
        <v>1184</v>
      </c>
      <c r="F372" s="144">
        <v>0</v>
      </c>
      <c r="G372" s="144">
        <v>100</v>
      </c>
      <c r="H372" s="144"/>
      <c r="I372" s="144"/>
      <c r="T372" s="3"/>
      <c r="U372" s="6"/>
    </row>
    <row r="373" spans="1:25" x14ac:dyDescent="0.2">
      <c r="A373" s="143">
        <v>33</v>
      </c>
      <c r="B373" s="142" t="s">
        <v>208</v>
      </c>
      <c r="C373" s="142" t="s">
        <v>1165</v>
      </c>
      <c r="D373" s="142"/>
      <c r="E373" s="145" t="s">
        <v>1185</v>
      </c>
      <c r="F373" s="144">
        <v>0</v>
      </c>
      <c r="G373" s="144">
        <v>100</v>
      </c>
      <c r="H373" s="144"/>
      <c r="I373" s="144"/>
      <c r="T373" s="3"/>
      <c r="U373" s="6"/>
    </row>
    <row r="374" spans="1:25" x14ac:dyDescent="0.2">
      <c r="A374" s="143">
        <v>34</v>
      </c>
      <c r="B374" s="142" t="s">
        <v>208</v>
      </c>
      <c r="C374" s="142" t="s">
        <v>1166</v>
      </c>
      <c r="D374" s="142"/>
      <c r="E374" s="145" t="s">
        <v>1186</v>
      </c>
      <c r="F374" s="144">
        <v>0</v>
      </c>
      <c r="G374" s="144">
        <v>100</v>
      </c>
      <c r="H374" s="144"/>
      <c r="I374" s="144"/>
      <c r="T374" s="3"/>
      <c r="U374" s="6"/>
    </row>
    <row r="375" spans="1:25" x14ac:dyDescent="0.2">
      <c r="A375" s="143">
        <v>35</v>
      </c>
      <c r="B375" s="142" t="s">
        <v>208</v>
      </c>
      <c r="C375" s="142" t="s">
        <v>1167</v>
      </c>
      <c r="D375" s="142"/>
      <c r="E375" s="145" t="s">
        <v>1187</v>
      </c>
      <c r="F375" s="144">
        <v>0</v>
      </c>
      <c r="G375" s="144">
        <v>100</v>
      </c>
      <c r="H375" s="144"/>
      <c r="I375" s="144"/>
      <c r="T375" s="3"/>
      <c r="U375" s="6"/>
    </row>
    <row r="376" spans="1:25" x14ac:dyDescent="0.2">
      <c r="A376" s="143">
        <v>36</v>
      </c>
      <c r="B376" s="142" t="s">
        <v>208</v>
      </c>
      <c r="C376" s="142" t="s">
        <v>1168</v>
      </c>
      <c r="D376" s="142"/>
      <c r="E376" s="145" t="s">
        <v>1188</v>
      </c>
      <c r="F376" s="144">
        <v>0</v>
      </c>
      <c r="G376" s="144">
        <v>100</v>
      </c>
      <c r="H376" s="144"/>
      <c r="I376" s="144"/>
      <c r="T376" s="3"/>
      <c r="U376" s="6"/>
    </row>
    <row r="377" spans="1:25" x14ac:dyDescent="0.2">
      <c r="A377" s="143">
        <v>37</v>
      </c>
      <c r="B377" s="142" t="s">
        <v>208</v>
      </c>
      <c r="C377" s="142" t="s">
        <v>1169</v>
      </c>
      <c r="D377" s="142"/>
      <c r="E377" s="145" t="s">
        <v>1189</v>
      </c>
      <c r="F377" s="144">
        <v>0</v>
      </c>
      <c r="G377" s="144">
        <v>100</v>
      </c>
      <c r="H377" s="144"/>
      <c r="I377" s="144"/>
      <c r="T377" s="3"/>
      <c r="U377" s="6"/>
    </row>
    <row r="378" spans="1:25" x14ac:dyDescent="0.2">
      <c r="A378" s="143">
        <v>38</v>
      </c>
      <c r="B378" s="142" t="s">
        <v>208</v>
      </c>
      <c r="C378" s="142" t="s">
        <v>1170</v>
      </c>
      <c r="D378" s="142"/>
      <c r="E378" s="145" t="s">
        <v>1190</v>
      </c>
      <c r="F378" s="144">
        <v>0</v>
      </c>
      <c r="G378" s="144">
        <v>100</v>
      </c>
      <c r="H378" s="144"/>
      <c r="I378" s="144"/>
      <c r="T378" s="3"/>
      <c r="U378" s="6"/>
    </row>
    <row r="379" spans="1:25" x14ac:dyDescent="0.2">
      <c r="A379" s="143">
        <v>39</v>
      </c>
      <c r="B379" s="142" t="s">
        <v>208</v>
      </c>
      <c r="C379" s="142" t="s">
        <v>1171</v>
      </c>
      <c r="D379" s="142"/>
      <c r="E379" s="145" t="s">
        <v>1191</v>
      </c>
      <c r="F379" s="144">
        <v>0</v>
      </c>
      <c r="G379" s="144">
        <v>100</v>
      </c>
      <c r="H379" s="144"/>
      <c r="I379" s="144"/>
      <c r="T379" s="3"/>
      <c r="U379" s="6"/>
    </row>
    <row r="380" spans="1:25" ht="17" thickBot="1" x14ac:dyDescent="0.25">
      <c r="A380" s="147"/>
      <c r="E380" s="183"/>
      <c r="F380" s="146"/>
      <c r="G380" s="146"/>
      <c r="H380" s="146"/>
      <c r="I380" s="146"/>
      <c r="T380" s="3"/>
      <c r="U380" s="6"/>
    </row>
    <row r="381" spans="1:25" x14ac:dyDescent="0.2">
      <c r="A381" s="106" t="s">
        <v>816</v>
      </c>
      <c r="B381" s="107" t="s">
        <v>1211</v>
      </c>
      <c r="C381" s="108"/>
      <c r="D381" s="108"/>
      <c r="E381" s="108"/>
      <c r="F381" s="108"/>
      <c r="G381" s="108"/>
      <c r="H381" s="108"/>
      <c r="I381" s="108"/>
      <c r="T381" s="3" t="s">
        <v>82</v>
      </c>
      <c r="U381" s="6" t="s">
        <v>44</v>
      </c>
      <c r="W381" t="s">
        <v>208</v>
      </c>
      <c r="X381" t="s">
        <v>226</v>
      </c>
      <c r="Y381" t="s">
        <v>206</v>
      </c>
    </row>
    <row r="382" spans="1:25" x14ac:dyDescent="0.2">
      <c r="A382" s="109" t="s">
        <v>817</v>
      </c>
      <c r="B382" s="110" t="s">
        <v>1212</v>
      </c>
      <c r="C382" s="111"/>
      <c r="D382" s="111"/>
      <c r="E382" s="111"/>
      <c r="F382" s="111"/>
      <c r="G382" s="111"/>
      <c r="H382" s="111"/>
      <c r="I382" s="111"/>
      <c r="T382" s="3" t="s">
        <v>83</v>
      </c>
      <c r="U382" s="6" t="s">
        <v>44</v>
      </c>
      <c r="W382" t="s">
        <v>208</v>
      </c>
      <c r="X382" t="s">
        <v>227</v>
      </c>
      <c r="Y382" t="s">
        <v>206</v>
      </c>
    </row>
    <row r="383" spans="1:25" x14ac:dyDescent="0.2">
      <c r="A383" s="109" t="s">
        <v>772</v>
      </c>
      <c r="B383" s="110" t="s">
        <v>1213</v>
      </c>
      <c r="C383" s="111"/>
      <c r="D383" s="111"/>
      <c r="E383" s="111"/>
      <c r="F383" s="111"/>
      <c r="G383" s="111"/>
      <c r="H383" s="111"/>
      <c r="I383" s="111"/>
      <c r="T383" s="3" t="s">
        <v>84</v>
      </c>
      <c r="U383" s="6" t="s">
        <v>44</v>
      </c>
      <c r="W383" t="s">
        <v>208</v>
      </c>
      <c r="X383" t="s">
        <v>228</v>
      </c>
      <c r="Y383" t="s">
        <v>206</v>
      </c>
    </row>
    <row r="384" spans="1:25" x14ac:dyDescent="0.2">
      <c r="A384" s="109" t="s">
        <v>818</v>
      </c>
      <c r="B384" s="110" t="s">
        <v>1214</v>
      </c>
      <c r="C384" s="111"/>
      <c r="D384" s="111"/>
      <c r="E384" s="111"/>
      <c r="F384" s="111"/>
      <c r="G384" s="111"/>
      <c r="H384" s="111"/>
      <c r="I384" s="111"/>
      <c r="T384" s="3" t="s">
        <v>85</v>
      </c>
      <c r="U384" s="6" t="s">
        <v>44</v>
      </c>
      <c r="W384" t="s">
        <v>207</v>
      </c>
    </row>
    <row r="385" spans="1:21" x14ac:dyDescent="0.2">
      <c r="A385" s="109" t="s">
        <v>819</v>
      </c>
      <c r="B385" s="110" t="s">
        <v>928</v>
      </c>
      <c r="C385" s="111"/>
      <c r="D385" s="111"/>
      <c r="E385" s="111"/>
      <c r="F385" s="111"/>
      <c r="G385" s="111"/>
      <c r="H385" s="111"/>
      <c r="I385" s="111"/>
      <c r="T385" s="3" t="s">
        <v>204</v>
      </c>
      <c r="U385" s="6" t="s">
        <v>205</v>
      </c>
    </row>
    <row r="386" spans="1:21" x14ac:dyDescent="0.2">
      <c r="A386" s="109" t="s">
        <v>985</v>
      </c>
      <c r="B386" s="110" t="s">
        <v>919</v>
      </c>
      <c r="C386" s="111"/>
      <c r="D386" s="111"/>
      <c r="E386" s="111"/>
      <c r="F386" s="111"/>
      <c r="G386" s="111"/>
      <c r="H386" s="111"/>
      <c r="I386" s="111"/>
      <c r="T386" s="3" t="s">
        <v>1</v>
      </c>
      <c r="U386" s="6"/>
    </row>
    <row r="387" spans="1:21" x14ac:dyDescent="0.2">
      <c r="A387" s="109" t="s">
        <v>820</v>
      </c>
      <c r="B387" s="110"/>
      <c r="C387" s="111"/>
      <c r="D387" s="111"/>
      <c r="E387" s="111"/>
      <c r="F387" s="111"/>
      <c r="G387" s="111"/>
      <c r="H387" s="111"/>
      <c r="I387" s="111"/>
      <c r="T387" s="3" t="s">
        <v>0</v>
      </c>
      <c r="U387" s="6"/>
    </row>
    <row r="388" spans="1:21" x14ac:dyDescent="0.2">
      <c r="A388" s="109" t="s">
        <v>821</v>
      </c>
      <c r="B388" s="110" t="s">
        <v>983</v>
      </c>
      <c r="C388" s="111"/>
      <c r="D388" s="111"/>
      <c r="E388" s="111"/>
      <c r="F388" s="111"/>
      <c r="G388" s="111"/>
      <c r="H388" s="111"/>
      <c r="I388" s="111"/>
      <c r="T388" s="8" t="s">
        <v>98</v>
      </c>
      <c r="U388" s="3" t="s">
        <v>421</v>
      </c>
    </row>
    <row r="389" spans="1:21" ht="17" thickBot="1" x14ac:dyDescent="0.25">
      <c r="A389" s="109" t="s">
        <v>793</v>
      </c>
      <c r="B389" s="112">
        <v>7</v>
      </c>
      <c r="C389" s="113"/>
      <c r="D389" s="113"/>
      <c r="E389" s="113"/>
      <c r="F389" s="113"/>
      <c r="G389" s="113"/>
      <c r="H389" s="113"/>
      <c r="I389" s="113" t="s">
        <v>947</v>
      </c>
      <c r="T389" s="4" t="s">
        <v>1</v>
      </c>
      <c r="U389" s="7"/>
    </row>
    <row r="390" spans="1:21" x14ac:dyDescent="0.2">
      <c r="A390" s="114" t="s">
        <v>784</v>
      </c>
      <c r="B390" s="115" t="s">
        <v>785</v>
      </c>
      <c r="C390" s="115" t="s">
        <v>787</v>
      </c>
      <c r="D390" s="115"/>
      <c r="E390" s="115" t="s">
        <v>788</v>
      </c>
      <c r="F390" s="115" t="s">
        <v>807</v>
      </c>
      <c r="G390" s="115" t="s">
        <v>808</v>
      </c>
      <c r="H390" s="115" t="s">
        <v>811</v>
      </c>
      <c r="I390" s="115" t="s">
        <v>812</v>
      </c>
    </row>
    <row r="391" spans="1:21" x14ac:dyDescent="0.2">
      <c r="A391" s="116">
        <v>0</v>
      </c>
      <c r="B391" s="117" t="s">
        <v>208</v>
      </c>
      <c r="C391" s="117" t="s">
        <v>1215</v>
      </c>
      <c r="D391" s="117"/>
      <c r="E391" s="118" t="s">
        <v>1216</v>
      </c>
      <c r="F391" s="118">
        <v>0</v>
      </c>
      <c r="G391" s="118">
        <v>1</v>
      </c>
      <c r="H391" s="118">
        <v>0</v>
      </c>
      <c r="I391" s="118" t="s">
        <v>1217</v>
      </c>
    </row>
    <row r="392" spans="1:21" ht="17" thickBot="1" x14ac:dyDescent="0.25"/>
    <row r="393" spans="1:21" x14ac:dyDescent="0.2">
      <c r="A393" s="132" t="s">
        <v>816</v>
      </c>
      <c r="B393" s="133" t="s">
        <v>1059</v>
      </c>
      <c r="C393" s="134"/>
      <c r="D393" s="134"/>
      <c r="E393" s="134"/>
      <c r="F393" s="134"/>
      <c r="G393" s="134"/>
      <c r="H393" s="134"/>
      <c r="I393" s="134"/>
    </row>
    <row r="394" spans="1:21" x14ac:dyDescent="0.2">
      <c r="A394" s="135" t="s">
        <v>817</v>
      </c>
      <c r="B394" s="136" t="s">
        <v>245</v>
      </c>
      <c r="C394" s="137"/>
      <c r="D394" s="137"/>
      <c r="E394" s="137"/>
      <c r="F394" s="137"/>
      <c r="G394" s="137"/>
      <c r="H394" s="137"/>
      <c r="I394" s="137"/>
    </row>
    <row r="395" spans="1:21" x14ac:dyDescent="0.2">
      <c r="A395" s="135" t="s">
        <v>772</v>
      </c>
      <c r="B395" s="136" t="s">
        <v>1060</v>
      </c>
      <c r="C395" s="137"/>
      <c r="D395" s="137"/>
      <c r="E395" s="137"/>
      <c r="F395" s="137"/>
      <c r="G395" s="137"/>
      <c r="H395" s="137"/>
      <c r="I395" s="137"/>
    </row>
    <row r="396" spans="1:21" x14ac:dyDescent="0.2">
      <c r="A396" s="135" t="s">
        <v>818</v>
      </c>
      <c r="B396" s="136" t="s">
        <v>245</v>
      </c>
      <c r="C396" s="137"/>
      <c r="D396" s="137"/>
      <c r="E396" s="137"/>
      <c r="F396" s="137"/>
      <c r="G396" s="137"/>
      <c r="H396" s="137"/>
      <c r="I396" s="137"/>
    </row>
    <row r="397" spans="1:21" x14ac:dyDescent="0.2">
      <c r="A397" s="135" t="s">
        <v>985</v>
      </c>
      <c r="B397" s="136" t="s">
        <v>245</v>
      </c>
      <c r="C397" s="137"/>
      <c r="D397" s="137"/>
      <c r="E397" s="137"/>
      <c r="F397" s="137"/>
      <c r="G397" s="137"/>
      <c r="H397" s="137"/>
      <c r="I397" s="137"/>
    </row>
    <row r="398" spans="1:21" x14ac:dyDescent="0.2">
      <c r="A398" s="135" t="s">
        <v>955</v>
      </c>
      <c r="B398" s="136" t="s">
        <v>956</v>
      </c>
      <c r="C398" s="137"/>
      <c r="D398" s="137"/>
      <c r="E398" s="137"/>
      <c r="F398" s="137"/>
      <c r="G398" s="137"/>
      <c r="H398" s="137"/>
      <c r="I398" s="137"/>
    </row>
    <row r="399" spans="1:21" x14ac:dyDescent="0.2">
      <c r="A399" s="135" t="s">
        <v>820</v>
      </c>
      <c r="B399" s="136" t="s">
        <v>1061</v>
      </c>
      <c r="C399" s="137"/>
      <c r="D399" s="137"/>
      <c r="E399" s="137"/>
      <c r="F399" s="137"/>
      <c r="G399" s="137"/>
      <c r="H399" s="137"/>
      <c r="I399" s="137"/>
    </row>
    <row r="400" spans="1:21" x14ac:dyDescent="0.2">
      <c r="A400" s="135" t="s">
        <v>821</v>
      </c>
      <c r="B400" s="136"/>
      <c r="C400" s="137"/>
      <c r="D400" s="137"/>
      <c r="E400" s="137"/>
      <c r="F400" s="137"/>
      <c r="G400" s="137"/>
      <c r="H400" s="137"/>
      <c r="I400" s="137"/>
    </row>
    <row r="401" spans="1:9" ht="17" thickBot="1" x14ac:dyDescent="0.25">
      <c r="A401" s="135" t="s">
        <v>793</v>
      </c>
      <c r="B401" s="138">
        <v>10</v>
      </c>
      <c r="C401" s="139"/>
      <c r="D401" s="139"/>
      <c r="E401" s="139"/>
      <c r="F401" s="139"/>
      <c r="G401" s="139"/>
      <c r="H401" s="139"/>
      <c r="I401" s="139"/>
    </row>
    <row r="402" spans="1:9" x14ac:dyDescent="0.2">
      <c r="A402" s="140" t="s">
        <v>784</v>
      </c>
      <c r="B402" s="141" t="s">
        <v>785</v>
      </c>
      <c r="C402" s="141" t="s">
        <v>787</v>
      </c>
      <c r="D402" s="141"/>
      <c r="E402" s="142" t="s">
        <v>788</v>
      </c>
      <c r="F402" s="141" t="s">
        <v>807</v>
      </c>
      <c r="G402" s="141" t="s">
        <v>808</v>
      </c>
      <c r="H402" s="141" t="s">
        <v>811</v>
      </c>
      <c r="I402" s="141" t="s">
        <v>812</v>
      </c>
    </row>
    <row r="403" spans="1:9" x14ac:dyDescent="0.2">
      <c r="A403" s="143">
        <v>0</v>
      </c>
      <c r="B403" s="142" t="s">
        <v>208</v>
      </c>
      <c r="C403" s="142" t="s">
        <v>1062</v>
      </c>
      <c r="D403" s="142"/>
      <c r="E403" s="145" t="s">
        <v>1063</v>
      </c>
      <c r="F403" s="144"/>
      <c r="G403" s="144"/>
      <c r="H403" s="144"/>
      <c r="I403" s="144"/>
    </row>
    <row r="404" spans="1:9" x14ac:dyDescent="0.2">
      <c r="A404" s="143">
        <v>1</v>
      </c>
      <c r="B404" s="142" t="s">
        <v>208</v>
      </c>
      <c r="C404" s="142" t="s">
        <v>1064</v>
      </c>
      <c r="D404" s="142"/>
      <c r="E404" s="145" t="s">
        <v>1066</v>
      </c>
      <c r="F404" s="144"/>
      <c r="G404" s="144"/>
      <c r="H404" s="144"/>
      <c r="I404" s="144"/>
    </row>
    <row r="405" spans="1:9" x14ac:dyDescent="0.2">
      <c r="A405" s="143">
        <v>2</v>
      </c>
      <c r="B405" s="142" t="s">
        <v>208</v>
      </c>
      <c r="C405" s="142" t="s">
        <v>1065</v>
      </c>
      <c r="D405" s="142"/>
      <c r="E405" s="145" t="s">
        <v>1067</v>
      </c>
      <c r="F405" s="144"/>
      <c r="G405" s="144"/>
      <c r="H405" s="144"/>
      <c r="I405" s="144"/>
    </row>
    <row r="406" spans="1:9" x14ac:dyDescent="0.2">
      <c r="A406" s="143">
        <v>3</v>
      </c>
      <c r="B406" s="142" t="s">
        <v>208</v>
      </c>
      <c r="C406" s="142" t="s">
        <v>1068</v>
      </c>
      <c r="D406" s="142"/>
      <c r="E406" s="145" t="s">
        <v>1071</v>
      </c>
      <c r="F406" s="144"/>
      <c r="G406" s="144"/>
      <c r="H406" s="144"/>
      <c r="I406" s="144"/>
    </row>
    <row r="407" spans="1:9" x14ac:dyDescent="0.2">
      <c r="A407" s="143">
        <v>4</v>
      </c>
      <c r="B407" s="142" t="s">
        <v>208</v>
      </c>
      <c r="C407" s="142" t="s">
        <v>1069</v>
      </c>
      <c r="D407" s="142"/>
      <c r="E407" s="145" t="s">
        <v>1072</v>
      </c>
      <c r="F407" s="144"/>
      <c r="G407" s="144"/>
      <c r="H407" s="144"/>
      <c r="I407" s="144"/>
    </row>
    <row r="408" spans="1:9" x14ac:dyDescent="0.2">
      <c r="A408" s="143">
        <v>5</v>
      </c>
      <c r="B408" s="142" t="s">
        <v>208</v>
      </c>
      <c r="C408" s="142" t="s">
        <v>1070</v>
      </c>
      <c r="D408" s="142"/>
      <c r="E408" s="145" t="s">
        <v>1073</v>
      </c>
      <c r="F408" s="144"/>
      <c r="G408" s="144"/>
      <c r="H408" s="144"/>
      <c r="I408" s="144"/>
    </row>
    <row r="409" spans="1:9" x14ac:dyDescent="0.2">
      <c r="A409" s="143">
        <v>6</v>
      </c>
      <c r="B409" s="142" t="s">
        <v>208</v>
      </c>
      <c r="C409" s="142" t="s">
        <v>687</v>
      </c>
      <c r="D409" s="142"/>
      <c r="E409" s="145" t="s">
        <v>680</v>
      </c>
      <c r="F409" s="144"/>
      <c r="G409" s="144"/>
      <c r="H409" s="144"/>
      <c r="I409" s="144"/>
    </row>
    <row r="410" spans="1:9" x14ac:dyDescent="0.2">
      <c r="A410" s="143">
        <v>7</v>
      </c>
      <c r="B410" s="142" t="s">
        <v>208</v>
      </c>
      <c r="C410" s="142" t="s">
        <v>1074</v>
      </c>
      <c r="D410" s="142"/>
      <c r="E410" s="145" t="s">
        <v>1075</v>
      </c>
      <c r="F410" s="144"/>
      <c r="G410" s="144"/>
      <c r="H410" s="144"/>
      <c r="I410" s="144"/>
    </row>
    <row r="411" spans="1:9" x14ac:dyDescent="0.2">
      <c r="A411" s="143">
        <v>8</v>
      </c>
      <c r="B411" s="142" t="s">
        <v>208</v>
      </c>
      <c r="C411" s="142" t="s">
        <v>1104</v>
      </c>
      <c r="D411" s="142"/>
      <c r="E411" s="145"/>
      <c r="F411" s="144"/>
      <c r="G411" s="144"/>
      <c r="H411" s="144"/>
      <c r="I411" s="144"/>
    </row>
    <row r="412" spans="1:9" x14ac:dyDescent="0.2">
      <c r="A412" s="143">
        <v>9</v>
      </c>
      <c r="B412" s="142" t="s">
        <v>208</v>
      </c>
      <c r="C412" s="142" t="s">
        <v>1105</v>
      </c>
      <c r="D412" s="142"/>
      <c r="E412" s="145"/>
      <c r="F412" s="144"/>
      <c r="G412" s="144"/>
      <c r="H412" s="144"/>
      <c r="I412" s="144"/>
    </row>
    <row r="413" spans="1:9" x14ac:dyDescent="0.2">
      <c r="A413" s="143">
        <v>10</v>
      </c>
      <c r="B413" s="142" t="s">
        <v>208</v>
      </c>
      <c r="C413" s="142" t="s">
        <v>1106</v>
      </c>
      <c r="D413" s="142"/>
      <c r="E413" s="145"/>
      <c r="F413" s="144"/>
      <c r="G413" s="144"/>
      <c r="H413" s="144"/>
      <c r="I413" s="144"/>
    </row>
    <row r="414" spans="1:9" x14ac:dyDescent="0.2">
      <c r="A414" s="143">
        <v>11</v>
      </c>
      <c r="B414" s="142" t="s">
        <v>208</v>
      </c>
      <c r="C414" s="142" t="s">
        <v>1107</v>
      </c>
      <c r="D414" s="142"/>
      <c r="E414" s="145"/>
      <c r="F414" s="144"/>
      <c r="G414" s="144"/>
      <c r="H414" s="144"/>
      <c r="I414" s="144"/>
    </row>
    <row r="415" spans="1:9" x14ac:dyDescent="0.2">
      <c r="A415" s="143">
        <v>12</v>
      </c>
      <c r="B415" s="142" t="s">
        <v>208</v>
      </c>
      <c r="C415" s="142" t="s">
        <v>1108</v>
      </c>
      <c r="D415" s="142"/>
      <c r="E415" s="145"/>
      <c r="F415" s="144"/>
      <c r="G415" s="144"/>
      <c r="H415" s="144"/>
      <c r="I415" s="144"/>
    </row>
    <row r="416" spans="1:9" x14ac:dyDescent="0.2">
      <c r="A416" s="143">
        <v>13</v>
      </c>
      <c r="B416" s="142" t="s">
        <v>208</v>
      </c>
      <c r="C416" s="142" t="s">
        <v>1109</v>
      </c>
      <c r="D416" s="142"/>
      <c r="E416" s="145"/>
      <c r="F416" s="144"/>
      <c r="G416" s="144"/>
      <c r="H416" s="144"/>
      <c r="I416" s="144"/>
    </row>
    <row r="417" spans="1:9" x14ac:dyDescent="0.2">
      <c r="A417" s="143">
        <v>14</v>
      </c>
      <c r="B417" s="142" t="s">
        <v>208</v>
      </c>
      <c r="C417" s="142" t="s">
        <v>1110</v>
      </c>
      <c r="D417" s="142"/>
      <c r="E417" s="145"/>
      <c r="F417" s="144"/>
      <c r="G417" s="144"/>
      <c r="H417" s="144"/>
      <c r="I417" s="144"/>
    </row>
    <row r="418" spans="1:9" x14ac:dyDescent="0.2">
      <c r="A418" s="143">
        <v>15</v>
      </c>
      <c r="B418" s="142" t="s">
        <v>208</v>
      </c>
      <c r="C418" s="142" t="s">
        <v>1111</v>
      </c>
      <c r="D418" s="142"/>
      <c r="E418" s="145"/>
      <c r="F418" s="144"/>
      <c r="G418" s="144"/>
      <c r="H418" s="144"/>
      <c r="I418" s="144"/>
    </row>
    <row r="419" spans="1:9" x14ac:dyDescent="0.2">
      <c r="A419" s="143">
        <v>16</v>
      </c>
      <c r="B419" s="142" t="s">
        <v>208</v>
      </c>
      <c r="C419" s="142" t="s">
        <v>1112</v>
      </c>
      <c r="D419" s="142"/>
      <c r="E419" s="145"/>
      <c r="F419" s="144"/>
      <c r="G419" s="144"/>
      <c r="H419" s="144"/>
      <c r="I419" s="144"/>
    </row>
    <row r="420" spans="1:9" x14ac:dyDescent="0.2">
      <c r="A420" s="143">
        <v>17</v>
      </c>
      <c r="B420" s="142" t="s">
        <v>208</v>
      </c>
      <c r="C420" s="142" t="s">
        <v>1113</v>
      </c>
      <c r="D420" s="142"/>
      <c r="E420" s="145"/>
      <c r="F420" s="144"/>
      <c r="G420" s="144"/>
      <c r="H420" s="144"/>
      <c r="I420" s="144"/>
    </row>
    <row r="421" spans="1:9" x14ac:dyDescent="0.2">
      <c r="A421" s="143">
        <v>18</v>
      </c>
      <c r="B421" s="142" t="s">
        <v>208</v>
      </c>
      <c r="C421" s="142" t="s">
        <v>1114</v>
      </c>
      <c r="D421" s="142"/>
      <c r="E421" s="145"/>
      <c r="F421" s="144"/>
      <c r="G421" s="144"/>
      <c r="H421" s="144"/>
      <c r="I421" s="144"/>
    </row>
    <row r="422" spans="1:9" x14ac:dyDescent="0.2">
      <c r="A422" s="143">
        <v>19</v>
      </c>
      <c r="B422" s="142" t="s">
        <v>208</v>
      </c>
      <c r="C422" s="142" t="s">
        <v>1115</v>
      </c>
      <c r="D422" s="142"/>
      <c r="E422" s="145"/>
      <c r="F422" s="144"/>
      <c r="G422" s="144"/>
      <c r="H422" s="144"/>
      <c r="I422" s="144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4" t="s">
        <v>730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R1" s="53" t="s">
        <v>755</v>
      </c>
      <c r="S1" s="54" t="s">
        <v>741</v>
      </c>
      <c r="T1" s="54" t="s">
        <v>740</v>
      </c>
      <c r="U1" s="54" t="s">
        <v>769</v>
      </c>
      <c r="V1" s="55" t="s">
        <v>766</v>
      </c>
    </row>
    <row r="2" spans="1:22" x14ac:dyDescent="0.2">
      <c r="A2" t="s">
        <v>751</v>
      </c>
      <c r="C2" t="s">
        <v>740</v>
      </c>
      <c r="R2" s="56" t="s">
        <v>756</v>
      </c>
      <c r="S2" s="57"/>
      <c r="T2" s="57"/>
      <c r="U2" s="57"/>
      <c r="V2" s="58"/>
    </row>
    <row r="3" spans="1:22" x14ac:dyDescent="0.2">
      <c r="A3" t="s">
        <v>752</v>
      </c>
      <c r="C3" t="s">
        <v>741</v>
      </c>
      <c r="R3" s="56"/>
      <c r="S3" s="57"/>
      <c r="T3" s="57"/>
      <c r="U3" s="57"/>
      <c r="V3" s="58"/>
    </row>
    <row r="4" spans="1:22" x14ac:dyDescent="0.2">
      <c r="A4" t="s">
        <v>770</v>
      </c>
      <c r="C4" t="s">
        <v>769</v>
      </c>
      <c r="R4" s="56" t="s">
        <v>757</v>
      </c>
      <c r="S4" s="57"/>
      <c r="T4" s="57"/>
      <c r="U4" s="57"/>
      <c r="V4" s="58"/>
    </row>
    <row r="5" spans="1:22" x14ac:dyDescent="0.2">
      <c r="A5" t="s">
        <v>753</v>
      </c>
      <c r="C5" t="s">
        <v>740</v>
      </c>
      <c r="R5" s="56"/>
      <c r="S5" s="57"/>
      <c r="T5" s="57"/>
      <c r="U5" s="57"/>
      <c r="V5" s="58"/>
    </row>
    <row r="6" spans="1:22" x14ac:dyDescent="0.2">
      <c r="A6" t="s">
        <v>770</v>
      </c>
      <c r="C6" t="s">
        <v>769</v>
      </c>
      <c r="R6" s="56" t="s">
        <v>1058</v>
      </c>
      <c r="S6" s="57"/>
      <c r="T6" s="57"/>
      <c r="U6" s="57"/>
      <c r="V6" s="58"/>
    </row>
    <row r="7" spans="1:22" x14ac:dyDescent="0.2">
      <c r="A7" t="s">
        <v>754</v>
      </c>
      <c r="C7" t="s">
        <v>740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741</v>
      </c>
      <c r="R8" s="56"/>
      <c r="S8" s="57"/>
      <c r="T8" s="57"/>
      <c r="U8" s="57"/>
      <c r="V8" s="58"/>
    </row>
    <row r="9" spans="1:22" x14ac:dyDescent="0.2">
      <c r="A9" t="s">
        <v>770</v>
      </c>
      <c r="C9" t="s">
        <v>769</v>
      </c>
      <c r="R9" s="56" t="s">
        <v>758</v>
      </c>
      <c r="S9" s="57"/>
      <c r="T9" s="57"/>
      <c r="U9" s="57"/>
      <c r="V9" s="58"/>
    </row>
    <row r="10" spans="1:22" x14ac:dyDescent="0.2">
      <c r="R10" s="56" t="s">
        <v>759</v>
      </c>
      <c r="S10" s="57"/>
      <c r="T10" s="57"/>
      <c r="U10" s="57"/>
      <c r="V10" s="58"/>
    </row>
    <row r="11" spans="1:22" x14ac:dyDescent="0.2">
      <c r="R11" s="56" t="s">
        <v>760</v>
      </c>
      <c r="S11" s="57"/>
      <c r="T11" s="57"/>
      <c r="U11" s="57"/>
      <c r="V11" s="58"/>
    </row>
    <row r="12" spans="1:22" x14ac:dyDescent="0.2">
      <c r="A12" s="185" t="s">
        <v>731</v>
      </c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R12" s="56" t="s">
        <v>501</v>
      </c>
      <c r="S12" s="57"/>
      <c r="T12" s="57"/>
      <c r="U12" s="57"/>
      <c r="V12" s="58"/>
    </row>
    <row r="13" spans="1:22" x14ac:dyDescent="0.2">
      <c r="R13" s="56" t="s">
        <v>503</v>
      </c>
      <c r="S13" s="57"/>
      <c r="T13" s="57"/>
      <c r="U13" s="57"/>
      <c r="V13" s="58"/>
    </row>
    <row r="14" spans="1:22" x14ac:dyDescent="0.2">
      <c r="A14" t="s">
        <v>113</v>
      </c>
      <c r="C14" t="s">
        <v>740</v>
      </c>
      <c r="R14" s="56" t="s">
        <v>507</v>
      </c>
      <c r="S14" s="57"/>
      <c r="T14" s="57"/>
      <c r="U14" s="57"/>
      <c r="V14" s="58"/>
    </row>
    <row r="15" spans="1:22" x14ac:dyDescent="0.2">
      <c r="A15" t="s">
        <v>736</v>
      </c>
      <c r="C15" t="s">
        <v>742</v>
      </c>
      <c r="R15" s="56" t="s">
        <v>767</v>
      </c>
      <c r="S15" s="57"/>
      <c r="T15" s="57"/>
      <c r="U15" s="57"/>
      <c r="V15" s="58"/>
    </row>
    <row r="16" spans="1:22" x14ac:dyDescent="0.2">
      <c r="R16" s="56" t="s">
        <v>761</v>
      </c>
      <c r="S16" s="57"/>
      <c r="T16" s="57"/>
      <c r="U16" s="57"/>
      <c r="V16" s="58"/>
    </row>
    <row r="17" spans="1:22" x14ac:dyDescent="0.2">
      <c r="R17" s="56" t="s">
        <v>762</v>
      </c>
      <c r="S17" s="57"/>
      <c r="T17" s="57"/>
      <c r="U17" s="57"/>
      <c r="V17" s="58"/>
    </row>
    <row r="18" spans="1:22" x14ac:dyDescent="0.2">
      <c r="R18" s="56" t="s">
        <v>763</v>
      </c>
      <c r="S18" s="57"/>
      <c r="T18" s="57"/>
      <c r="U18" s="57"/>
      <c r="V18" s="58"/>
    </row>
    <row r="19" spans="1:22" x14ac:dyDescent="0.2">
      <c r="R19" s="56" t="s">
        <v>764</v>
      </c>
      <c r="S19" s="57"/>
      <c r="T19" s="57"/>
      <c r="U19" s="57"/>
      <c r="V19" s="58"/>
    </row>
    <row r="20" spans="1:22" x14ac:dyDescent="0.2">
      <c r="R20" s="56" t="s">
        <v>765</v>
      </c>
      <c r="S20" s="57"/>
      <c r="T20" s="57"/>
      <c r="U20" s="57"/>
      <c r="V20" s="58"/>
    </row>
    <row r="21" spans="1:22" x14ac:dyDescent="0.2">
      <c r="R21" s="56" t="s">
        <v>768</v>
      </c>
      <c r="S21" s="57"/>
      <c r="T21" s="57"/>
      <c r="U21" s="57"/>
      <c r="V21" s="58"/>
    </row>
    <row r="22" spans="1:22" x14ac:dyDescent="0.2">
      <c r="A22" s="186" t="s">
        <v>732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R22" s="59"/>
      <c r="S22" s="60"/>
      <c r="T22" s="60"/>
      <c r="U22" s="60"/>
      <c r="V22" s="61"/>
    </row>
    <row r="24" spans="1:22" x14ac:dyDescent="0.2">
      <c r="A24" t="s">
        <v>737</v>
      </c>
      <c r="C24" t="s">
        <v>742</v>
      </c>
    </row>
    <row r="25" spans="1:22" x14ac:dyDescent="0.2">
      <c r="A25" t="s">
        <v>738</v>
      </c>
      <c r="C25" t="s">
        <v>743</v>
      </c>
    </row>
    <row r="26" spans="1:22" x14ac:dyDescent="0.2">
      <c r="A26" t="s">
        <v>739</v>
      </c>
      <c r="C26" t="s">
        <v>743</v>
      </c>
    </row>
    <row r="32" spans="1:22" x14ac:dyDescent="0.2">
      <c r="A32" s="187" t="s">
        <v>733</v>
      </c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</row>
    <row r="34" spans="1:15" x14ac:dyDescent="0.2">
      <c r="A34" t="s">
        <v>744</v>
      </c>
      <c r="C34" t="s">
        <v>742</v>
      </c>
    </row>
    <row r="35" spans="1:15" x14ac:dyDescent="0.2">
      <c r="A35" t="s">
        <v>745</v>
      </c>
      <c r="C35" t="s">
        <v>742</v>
      </c>
    </row>
    <row r="36" spans="1:15" x14ac:dyDescent="0.2">
      <c r="A36" t="s">
        <v>738</v>
      </c>
      <c r="C36" t="s">
        <v>743</v>
      </c>
    </row>
    <row r="37" spans="1:15" x14ac:dyDescent="0.2">
      <c r="A37" t="s">
        <v>739</v>
      </c>
      <c r="C37" t="s">
        <v>743</v>
      </c>
    </row>
    <row r="42" spans="1:15" x14ac:dyDescent="0.2">
      <c r="A42" s="188" t="s">
        <v>734</v>
      </c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</row>
    <row r="44" spans="1:15" x14ac:dyDescent="0.2">
      <c r="A44" t="s">
        <v>746</v>
      </c>
      <c r="C44" t="s">
        <v>742</v>
      </c>
    </row>
    <row r="45" spans="1:15" x14ac:dyDescent="0.2">
      <c r="A45" t="s">
        <v>747</v>
      </c>
      <c r="C45" t="s">
        <v>742</v>
      </c>
    </row>
    <row r="46" spans="1:15" x14ac:dyDescent="0.2">
      <c r="A46" t="s">
        <v>748</v>
      </c>
      <c r="C46" t="s">
        <v>743</v>
      </c>
    </row>
    <row r="47" spans="1:15" x14ac:dyDescent="0.2">
      <c r="A47" t="s">
        <v>739</v>
      </c>
      <c r="C47" t="s">
        <v>743</v>
      </c>
    </row>
    <row r="52" spans="1:15" x14ac:dyDescent="0.2">
      <c r="A52" s="184" t="s">
        <v>735</v>
      </c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</row>
    <row r="54" spans="1:15" x14ac:dyDescent="0.2">
      <c r="A54" t="s">
        <v>749</v>
      </c>
      <c r="C54" t="s">
        <v>742</v>
      </c>
    </row>
    <row r="55" spans="1:15" x14ac:dyDescent="0.2">
      <c r="A55" t="s">
        <v>750</v>
      </c>
      <c r="C55" t="s">
        <v>742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topLeftCell="A9" workbookViewId="0">
      <selection activeCell="A5" sqref="A5"/>
    </sheetView>
  </sheetViews>
  <sheetFormatPr baseColWidth="10" defaultRowHeight="16" x14ac:dyDescent="0.2"/>
  <cols>
    <col min="1" max="1" width="11.1640625" customWidth="1"/>
    <col min="2" max="2" width="12.5" customWidth="1"/>
    <col min="3" max="3" width="31.33203125" customWidth="1"/>
    <col min="4" max="4" width="42.5" customWidth="1"/>
    <col min="5" max="5" width="25" style="18" customWidth="1"/>
    <col min="6" max="6" width="11.5" style="18" customWidth="1"/>
    <col min="7" max="7" width="10.6640625" style="18" customWidth="1"/>
    <col min="8" max="8" width="33.1640625" style="21" customWidth="1"/>
    <col min="9" max="9" width="21.1640625" style="18" customWidth="1"/>
    <col min="10" max="10" width="11.1640625" style="18" customWidth="1"/>
    <col min="11" max="12" width="19" style="18" customWidth="1"/>
    <col min="13" max="13" width="43" customWidth="1"/>
  </cols>
  <sheetData>
    <row r="1" spans="1:13" s="180" customFormat="1" ht="44" customHeight="1" x14ac:dyDescent="0.25">
      <c r="A1" s="179" t="s">
        <v>771</v>
      </c>
      <c r="B1" s="179" t="s">
        <v>1125</v>
      </c>
      <c r="C1" s="179" t="s">
        <v>1192</v>
      </c>
      <c r="D1" s="179" t="s">
        <v>1206</v>
      </c>
      <c r="E1" s="179" t="s">
        <v>1129</v>
      </c>
      <c r="F1" s="179" t="s">
        <v>1208</v>
      </c>
      <c r="G1" s="179" t="s">
        <v>773</v>
      </c>
      <c r="H1" s="179" t="s">
        <v>1207</v>
      </c>
      <c r="I1" s="179" t="s">
        <v>1130</v>
      </c>
      <c r="J1" s="179" t="s">
        <v>1209</v>
      </c>
      <c r="K1" s="179" t="s">
        <v>1002</v>
      </c>
      <c r="L1" s="179" t="s">
        <v>1131</v>
      </c>
      <c r="M1" s="179" t="s">
        <v>1193</v>
      </c>
    </row>
    <row r="2" spans="1:13" s="180" customFormat="1" ht="23" customHeight="1" x14ac:dyDescent="0.25">
      <c r="A2" s="182">
        <v>0</v>
      </c>
      <c r="B2" s="181" t="s">
        <v>1128</v>
      </c>
      <c r="C2" s="181" t="s">
        <v>44</v>
      </c>
      <c r="D2" s="181" t="s">
        <v>1210</v>
      </c>
      <c r="E2" s="181">
        <v>0</v>
      </c>
      <c r="F2" s="181">
        <v>0</v>
      </c>
      <c r="G2" s="181">
        <v>0</v>
      </c>
      <c r="H2" s="181">
        <v>0</v>
      </c>
      <c r="I2" s="181">
        <v>0</v>
      </c>
      <c r="J2" s="181">
        <v>0</v>
      </c>
      <c r="K2" s="181">
        <v>0</v>
      </c>
      <c r="L2" s="181">
        <v>0</v>
      </c>
      <c r="M2" s="181" t="s">
        <v>44</v>
      </c>
    </row>
    <row r="3" spans="1:13" ht="27" customHeight="1" x14ac:dyDescent="0.2">
      <c r="A3">
        <v>1</v>
      </c>
      <c r="B3" t="s">
        <v>1126</v>
      </c>
      <c r="C3" t="s">
        <v>1205</v>
      </c>
      <c r="D3" t="s">
        <v>1003</v>
      </c>
      <c r="E3" s="18" t="s">
        <v>999</v>
      </c>
      <c r="F3" s="18" t="b">
        <v>1</v>
      </c>
      <c r="I3" s="18">
        <v>0</v>
      </c>
      <c r="J3" s="18">
        <v>0</v>
      </c>
      <c r="K3" s="18">
        <v>5</v>
      </c>
      <c r="L3" s="18" t="b">
        <v>0</v>
      </c>
      <c r="M3" t="s">
        <v>230</v>
      </c>
    </row>
    <row r="4" spans="1:13" ht="27" customHeight="1" x14ac:dyDescent="0.2">
      <c r="A4">
        <v>2</v>
      </c>
      <c r="B4" t="s">
        <v>1127</v>
      </c>
      <c r="C4" t="s">
        <v>234</v>
      </c>
      <c r="D4" t="s">
        <v>1007</v>
      </c>
      <c r="E4" s="18" t="s">
        <v>1008</v>
      </c>
      <c r="F4" s="18">
        <v>2275</v>
      </c>
      <c r="I4" s="18">
        <v>0</v>
      </c>
      <c r="J4" s="18">
        <v>0</v>
      </c>
      <c r="K4" s="18">
        <v>5</v>
      </c>
      <c r="L4" s="18" t="b">
        <v>0</v>
      </c>
      <c r="M4" t="s">
        <v>235</v>
      </c>
    </row>
    <row r="5" spans="1:13" ht="27" customHeight="1" x14ac:dyDescent="0.2">
      <c r="A5">
        <v>3</v>
      </c>
      <c r="B5" t="s">
        <v>1126</v>
      </c>
      <c r="C5" t="s">
        <v>998</v>
      </c>
      <c r="D5" s="21" t="s">
        <v>1004</v>
      </c>
      <c r="E5" s="18" t="s">
        <v>1000</v>
      </c>
      <c r="F5" s="18">
        <v>35</v>
      </c>
      <c r="I5" s="18">
        <v>0</v>
      </c>
      <c r="J5" s="18">
        <v>0</v>
      </c>
      <c r="K5" s="18">
        <v>5</v>
      </c>
      <c r="L5" s="18" t="b">
        <v>0</v>
      </c>
      <c r="M5" t="s">
        <v>1001</v>
      </c>
    </row>
    <row r="6" spans="1:13" ht="27" customHeight="1" x14ac:dyDescent="0.2">
      <c r="A6">
        <v>4</v>
      </c>
      <c r="B6" t="s">
        <v>1126</v>
      </c>
      <c r="C6" t="s">
        <v>1005</v>
      </c>
      <c r="D6" t="s">
        <v>1018</v>
      </c>
      <c r="E6" s="18" t="s">
        <v>1000</v>
      </c>
      <c r="F6" s="18">
        <v>35</v>
      </c>
      <c r="I6" s="18">
        <v>0</v>
      </c>
      <c r="J6" s="18">
        <v>0</v>
      </c>
      <c r="K6" s="18">
        <v>5</v>
      </c>
      <c r="L6" s="18" t="b">
        <v>0</v>
      </c>
    </row>
    <row r="7" spans="1:13" ht="27" customHeight="1" x14ac:dyDescent="0.2">
      <c r="A7">
        <v>5</v>
      </c>
      <c r="B7" t="s">
        <v>1126</v>
      </c>
      <c r="C7" t="s">
        <v>231</v>
      </c>
      <c r="D7" t="s">
        <v>1120</v>
      </c>
      <c r="E7" s="18" t="s">
        <v>1000</v>
      </c>
      <c r="F7" s="18">
        <v>40</v>
      </c>
      <c r="I7" s="18">
        <v>0</v>
      </c>
      <c r="J7" s="18">
        <v>0</v>
      </c>
      <c r="K7" s="18">
        <v>5</v>
      </c>
      <c r="L7" s="18" t="b">
        <v>0</v>
      </c>
      <c r="M7" t="s">
        <v>232</v>
      </c>
    </row>
    <row r="8" spans="1:13" ht="27" customHeight="1" x14ac:dyDescent="0.2">
      <c r="A8">
        <v>6</v>
      </c>
      <c r="B8" t="s">
        <v>1126</v>
      </c>
      <c r="C8" t="s">
        <v>1006</v>
      </c>
      <c r="D8" t="s">
        <v>1121</v>
      </c>
      <c r="E8" s="18" t="s">
        <v>1000</v>
      </c>
      <c r="F8" s="18">
        <v>40</v>
      </c>
      <c r="I8" s="18">
        <v>0</v>
      </c>
      <c r="J8" s="18">
        <v>0</v>
      </c>
      <c r="K8" s="18">
        <v>5</v>
      </c>
      <c r="L8" s="18" t="b">
        <v>0</v>
      </c>
      <c r="M8" t="s">
        <v>232</v>
      </c>
    </row>
    <row r="9" spans="1:13" ht="27" customHeight="1" x14ac:dyDescent="0.2">
      <c r="A9">
        <v>7</v>
      </c>
      <c r="B9" t="s">
        <v>1126</v>
      </c>
      <c r="C9" t="s">
        <v>236</v>
      </c>
      <c r="D9" t="s">
        <v>1117</v>
      </c>
      <c r="E9" s="18" t="s">
        <v>999</v>
      </c>
      <c r="F9" s="18" t="b">
        <v>1</v>
      </c>
      <c r="I9" s="18">
        <v>0</v>
      </c>
      <c r="J9" s="18">
        <v>0</v>
      </c>
      <c r="K9" s="18">
        <v>5</v>
      </c>
      <c r="L9" s="18" t="b">
        <v>0</v>
      </c>
      <c r="M9" t="s">
        <v>237</v>
      </c>
    </row>
    <row r="10" spans="1:13" ht="43" customHeight="1" x14ac:dyDescent="0.2">
      <c r="A10">
        <v>8</v>
      </c>
      <c r="B10" t="s">
        <v>1126</v>
      </c>
      <c r="C10" t="s">
        <v>238</v>
      </c>
      <c r="D10" t="s">
        <v>1118</v>
      </c>
      <c r="E10" s="18" t="s">
        <v>999</v>
      </c>
      <c r="F10" s="18" t="b">
        <v>1</v>
      </c>
      <c r="G10" s="18" t="s">
        <v>1020</v>
      </c>
      <c r="H10" s="62" t="s">
        <v>1122</v>
      </c>
      <c r="I10" s="18" t="s">
        <v>1000</v>
      </c>
      <c r="J10" s="18">
        <v>2</v>
      </c>
      <c r="K10" s="18">
        <v>5</v>
      </c>
      <c r="L10" s="18" t="b">
        <v>0</v>
      </c>
      <c r="M10" t="s">
        <v>239</v>
      </c>
    </row>
    <row r="11" spans="1:13" ht="27" customHeight="1" x14ac:dyDescent="0.2">
      <c r="A11">
        <v>9</v>
      </c>
      <c r="B11" t="s">
        <v>1126</v>
      </c>
      <c r="C11" t="s">
        <v>240</v>
      </c>
      <c r="D11" t="s">
        <v>1119</v>
      </c>
      <c r="E11" s="18" t="s">
        <v>999</v>
      </c>
      <c r="F11" s="18" t="b">
        <v>1</v>
      </c>
      <c r="G11" s="18" t="s">
        <v>1020</v>
      </c>
      <c r="H11" s="21" t="s">
        <v>1009</v>
      </c>
      <c r="I11" s="18" t="s">
        <v>1000</v>
      </c>
      <c r="J11" s="18">
        <v>2</v>
      </c>
      <c r="K11" s="18">
        <v>5</v>
      </c>
      <c r="L11" s="18" t="b">
        <v>0</v>
      </c>
      <c r="M11" t="s">
        <v>241</v>
      </c>
    </row>
    <row r="12" spans="1:13" ht="56" customHeight="1" x14ac:dyDescent="0.2">
      <c r="A12">
        <v>10</v>
      </c>
      <c r="B12" t="s">
        <v>1127</v>
      </c>
      <c r="C12" t="s">
        <v>1194</v>
      </c>
      <c r="D12" s="21" t="s">
        <v>1019</v>
      </c>
      <c r="E12" s="18" t="s">
        <v>999</v>
      </c>
      <c r="F12" s="18" t="b">
        <v>1</v>
      </c>
      <c r="G12" s="18" t="s">
        <v>1020</v>
      </c>
      <c r="H12" s="21" t="s">
        <v>1123</v>
      </c>
      <c r="I12" s="18" t="s">
        <v>999</v>
      </c>
      <c r="J12" s="18" t="b">
        <v>0</v>
      </c>
      <c r="K12" s="18">
        <v>5</v>
      </c>
      <c r="L12" s="18" t="b">
        <v>0</v>
      </c>
      <c r="M12" t="s">
        <v>233</v>
      </c>
    </row>
    <row r="13" spans="1:13" ht="56" customHeight="1" x14ac:dyDescent="0.2">
      <c r="A13">
        <v>11</v>
      </c>
      <c r="B13" t="s">
        <v>1127</v>
      </c>
      <c r="C13" t="s">
        <v>1195</v>
      </c>
      <c r="D13" s="21" t="s">
        <v>1019</v>
      </c>
      <c r="E13" s="18" t="s">
        <v>999</v>
      </c>
      <c r="F13" s="18" t="b">
        <v>1</v>
      </c>
      <c r="G13" s="18" t="s">
        <v>1020</v>
      </c>
      <c r="H13" s="21" t="s">
        <v>1124</v>
      </c>
      <c r="I13" s="18" t="s">
        <v>999</v>
      </c>
      <c r="J13" s="18" t="b">
        <v>0</v>
      </c>
      <c r="K13" s="18">
        <v>5</v>
      </c>
      <c r="L13" s="18" t="b">
        <v>0</v>
      </c>
      <c r="M13" t="s">
        <v>233</v>
      </c>
    </row>
    <row r="14" spans="1:13" ht="56" customHeight="1" x14ac:dyDescent="0.2">
      <c r="A14">
        <v>12</v>
      </c>
      <c r="B14" t="s">
        <v>1127</v>
      </c>
      <c r="C14" t="s">
        <v>1196</v>
      </c>
      <c r="D14" s="21" t="s">
        <v>1119</v>
      </c>
      <c r="E14" s="18" t="s">
        <v>999</v>
      </c>
      <c r="F14" s="18" t="b">
        <v>1</v>
      </c>
      <c r="G14" s="18" t="s">
        <v>1020</v>
      </c>
      <c r="H14" s="21" t="s">
        <v>1009</v>
      </c>
      <c r="I14" s="18" t="s">
        <v>1000</v>
      </c>
      <c r="J14" s="18">
        <v>2</v>
      </c>
      <c r="K14" s="18">
        <v>5</v>
      </c>
      <c r="L14" s="18" t="b">
        <v>0</v>
      </c>
      <c r="M14" t="s">
        <v>1010</v>
      </c>
    </row>
    <row r="15" spans="1:13" ht="27" customHeight="1" x14ac:dyDescent="0.2">
      <c r="A15">
        <v>13</v>
      </c>
      <c r="B15" t="s">
        <v>1127</v>
      </c>
      <c r="C15" t="s">
        <v>1197</v>
      </c>
      <c r="D15" t="s">
        <v>1011</v>
      </c>
      <c r="E15" s="18" t="s">
        <v>1008</v>
      </c>
      <c r="F15" s="18">
        <v>25</v>
      </c>
      <c r="I15" s="18">
        <v>0</v>
      </c>
      <c r="J15" s="18">
        <v>0</v>
      </c>
      <c r="K15" s="18">
        <v>5</v>
      </c>
      <c r="L15" s="18" t="b">
        <v>0</v>
      </c>
      <c r="M15" t="s">
        <v>1013</v>
      </c>
    </row>
    <row r="16" spans="1:13" ht="27" customHeight="1" x14ac:dyDescent="0.2">
      <c r="A16">
        <v>14</v>
      </c>
      <c r="B16" t="s">
        <v>1128</v>
      </c>
      <c r="C16" t="s">
        <v>1198</v>
      </c>
      <c r="D16" t="s">
        <v>1012</v>
      </c>
      <c r="E16" s="18" t="s">
        <v>1008</v>
      </c>
      <c r="F16" s="18">
        <v>15</v>
      </c>
      <c r="I16" s="18">
        <v>0</v>
      </c>
      <c r="J16" s="18">
        <v>0</v>
      </c>
      <c r="K16" s="18">
        <v>5</v>
      </c>
      <c r="L16" s="18" t="b">
        <v>0</v>
      </c>
      <c r="M16" t="s">
        <v>1014</v>
      </c>
    </row>
    <row r="17" spans="1:13" ht="27" customHeight="1" x14ac:dyDescent="0.2">
      <c r="A17">
        <v>15</v>
      </c>
      <c r="B17" t="s">
        <v>1127</v>
      </c>
      <c r="C17" t="s">
        <v>1199</v>
      </c>
      <c r="D17" t="s">
        <v>1015</v>
      </c>
      <c r="E17" s="18" t="s">
        <v>1008</v>
      </c>
      <c r="F17" s="18">
        <v>25</v>
      </c>
      <c r="I17" s="18">
        <v>0</v>
      </c>
      <c r="J17" s="18">
        <v>0</v>
      </c>
      <c r="K17" s="18">
        <v>5</v>
      </c>
      <c r="L17" s="18" t="b">
        <v>0</v>
      </c>
      <c r="M17" t="s">
        <v>1013</v>
      </c>
    </row>
    <row r="18" spans="1:13" ht="27" customHeight="1" x14ac:dyDescent="0.2">
      <c r="A18">
        <v>16</v>
      </c>
      <c r="B18" t="s">
        <v>1128</v>
      </c>
      <c r="C18" t="s">
        <v>1200</v>
      </c>
      <c r="D18" t="s">
        <v>1012</v>
      </c>
      <c r="E18" s="18" t="s">
        <v>1008</v>
      </c>
      <c r="F18" s="18">
        <v>15</v>
      </c>
      <c r="I18" s="18">
        <v>0</v>
      </c>
      <c r="J18" s="18">
        <v>0</v>
      </c>
      <c r="K18" s="18">
        <v>5</v>
      </c>
      <c r="L18" s="18" t="b">
        <v>0</v>
      </c>
      <c r="M18" t="s">
        <v>1014</v>
      </c>
    </row>
    <row r="19" spans="1:13" ht="27" customHeight="1" x14ac:dyDescent="0.2">
      <c r="A19">
        <v>17</v>
      </c>
      <c r="B19" t="s">
        <v>1127</v>
      </c>
      <c r="C19" t="s">
        <v>1201</v>
      </c>
      <c r="D19" t="s">
        <v>1016</v>
      </c>
      <c r="E19" s="18" t="s">
        <v>1008</v>
      </c>
      <c r="F19" s="18">
        <v>300</v>
      </c>
      <c r="I19" s="18">
        <v>0</v>
      </c>
      <c r="J19" s="18">
        <v>0</v>
      </c>
      <c r="K19" s="18">
        <v>5</v>
      </c>
      <c r="L19" s="18" t="b">
        <v>0</v>
      </c>
      <c r="M19" t="s">
        <v>1013</v>
      </c>
    </row>
    <row r="20" spans="1:13" ht="27" customHeight="1" x14ac:dyDescent="0.2">
      <c r="A20">
        <v>18</v>
      </c>
      <c r="B20" t="s">
        <v>1128</v>
      </c>
      <c r="C20" t="s">
        <v>1202</v>
      </c>
      <c r="D20" t="s">
        <v>1012</v>
      </c>
      <c r="E20" s="18" t="s">
        <v>1008</v>
      </c>
      <c r="F20" s="18">
        <v>5</v>
      </c>
      <c r="I20" s="18">
        <v>0</v>
      </c>
      <c r="J20" s="18">
        <v>0</v>
      </c>
      <c r="K20" s="18">
        <v>5</v>
      </c>
      <c r="L20" s="18" t="b">
        <v>0</v>
      </c>
      <c r="M20" t="s">
        <v>1014</v>
      </c>
    </row>
    <row r="21" spans="1:13" ht="27" customHeight="1" x14ac:dyDescent="0.2">
      <c r="A21">
        <v>19</v>
      </c>
      <c r="B21" t="s">
        <v>1127</v>
      </c>
      <c r="C21" t="s">
        <v>1203</v>
      </c>
      <c r="D21" t="s">
        <v>1017</v>
      </c>
      <c r="E21" s="18" t="s">
        <v>1008</v>
      </c>
      <c r="F21" s="18">
        <v>300</v>
      </c>
      <c r="I21" s="18">
        <v>0</v>
      </c>
      <c r="J21" s="18">
        <v>0</v>
      </c>
      <c r="K21" s="18">
        <v>5</v>
      </c>
      <c r="L21" s="18" t="b">
        <v>0</v>
      </c>
      <c r="M21" t="s">
        <v>1013</v>
      </c>
    </row>
    <row r="22" spans="1:13" ht="27" customHeight="1" x14ac:dyDescent="0.2">
      <c r="A22">
        <v>20</v>
      </c>
      <c r="B22" t="s">
        <v>1128</v>
      </c>
      <c r="C22" t="s">
        <v>1204</v>
      </c>
      <c r="D22" t="s">
        <v>1012</v>
      </c>
      <c r="E22" s="18" t="s">
        <v>1008</v>
      </c>
      <c r="F22" s="18">
        <v>20</v>
      </c>
      <c r="I22" s="18">
        <v>0</v>
      </c>
      <c r="J22" s="18">
        <v>0</v>
      </c>
      <c r="K22" s="18">
        <v>5</v>
      </c>
      <c r="L22" s="18" t="b">
        <v>0</v>
      </c>
      <c r="M22" t="s">
        <v>1014</v>
      </c>
    </row>
    <row r="23" spans="1:13" ht="27" customHeight="1" x14ac:dyDescent="0.2"/>
    <row r="24" spans="1:13" ht="27" customHeight="1" x14ac:dyDescent="0.2"/>
    <row r="25" spans="1:13" ht="27" customHeight="1" x14ac:dyDescent="0.2"/>
    <row r="26" spans="1:13" ht="27" customHeight="1" x14ac:dyDescent="0.2"/>
    <row r="27" spans="1:13" ht="27" customHeight="1" x14ac:dyDescent="0.2"/>
    <row r="28" spans="1:13" ht="27" customHeight="1" x14ac:dyDescent="0.2"/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352</v>
      </c>
    </row>
    <row r="2" spans="2:10" x14ac:dyDescent="0.2">
      <c r="B2" t="s">
        <v>242</v>
      </c>
      <c r="C2" t="s">
        <v>243</v>
      </c>
      <c r="D2" t="s">
        <v>244</v>
      </c>
    </row>
    <row r="3" spans="2:10" x14ac:dyDescent="0.2">
      <c r="B3" t="s">
        <v>245</v>
      </c>
      <c r="C3" t="s">
        <v>353</v>
      </c>
      <c r="D3" t="s">
        <v>246</v>
      </c>
    </row>
    <row r="7" spans="2:10" x14ac:dyDescent="0.2">
      <c r="B7" t="s">
        <v>258</v>
      </c>
      <c r="C7">
        <v>0</v>
      </c>
      <c r="D7" t="s">
        <v>259</v>
      </c>
    </row>
    <row r="8" spans="2:10" x14ac:dyDescent="0.2">
      <c r="C8" t="s">
        <v>260</v>
      </c>
      <c r="D8" t="s">
        <v>261</v>
      </c>
    </row>
    <row r="10" spans="2:10" x14ac:dyDescent="0.2">
      <c r="B10" t="s">
        <v>247</v>
      </c>
    </row>
    <row r="12" spans="2:10" x14ac:dyDescent="0.2">
      <c r="B12" t="s">
        <v>248</v>
      </c>
      <c r="C12" t="s">
        <v>249</v>
      </c>
      <c r="D12" s="190" t="s">
        <v>349</v>
      </c>
      <c r="E12" s="190"/>
      <c r="F12" t="s">
        <v>251</v>
      </c>
      <c r="H12" t="s">
        <v>250</v>
      </c>
    </row>
    <row r="13" spans="2:10" x14ac:dyDescent="0.2">
      <c r="B13" t="s">
        <v>252</v>
      </c>
      <c r="C13" t="s">
        <v>253</v>
      </c>
      <c r="D13" s="190" t="s">
        <v>349</v>
      </c>
      <c r="E13" s="190"/>
    </row>
    <row r="14" spans="2:10" x14ac:dyDescent="0.2">
      <c r="B14" t="s">
        <v>254</v>
      </c>
      <c r="C14" t="s">
        <v>255</v>
      </c>
      <c r="D14" s="190" t="s">
        <v>349</v>
      </c>
      <c r="E14" s="190"/>
      <c r="F14" t="s">
        <v>251</v>
      </c>
      <c r="H14" t="s">
        <v>250</v>
      </c>
      <c r="I14" t="s">
        <v>354</v>
      </c>
    </row>
    <row r="15" spans="2:10" x14ac:dyDescent="0.2">
      <c r="B15" t="s">
        <v>256</v>
      </c>
      <c r="C15" t="s">
        <v>257</v>
      </c>
      <c r="D15" s="190" t="s">
        <v>349</v>
      </c>
      <c r="E15" s="190"/>
      <c r="F15" t="s">
        <v>251</v>
      </c>
      <c r="H15" t="s">
        <v>250</v>
      </c>
    </row>
    <row r="16" spans="2:10" x14ac:dyDescent="0.2">
      <c r="B16" t="s">
        <v>343</v>
      </c>
      <c r="C16" t="s">
        <v>351</v>
      </c>
      <c r="D16" s="190" t="s">
        <v>351</v>
      </c>
      <c r="E16" s="190"/>
      <c r="F16" t="s">
        <v>251</v>
      </c>
      <c r="H16" t="s">
        <v>250</v>
      </c>
      <c r="J16" t="s">
        <v>350</v>
      </c>
    </row>
    <row r="19" spans="1:51" ht="22" customHeight="1" x14ac:dyDescent="0.2"/>
    <row r="20" spans="1:51" x14ac:dyDescent="0.2">
      <c r="A20" s="13"/>
      <c r="B20" s="189" t="s">
        <v>262</v>
      </c>
      <c r="C20" s="189"/>
      <c r="D20" s="189"/>
      <c r="E20" s="189"/>
      <c r="F20" s="189"/>
      <c r="G20" s="13"/>
      <c r="H20" s="189" t="s">
        <v>263</v>
      </c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3"/>
      <c r="AD20" s="189" t="s">
        <v>264</v>
      </c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326</v>
      </c>
      <c r="C22" s="23" t="s">
        <v>327</v>
      </c>
      <c r="D22" s="23" t="s">
        <v>328</v>
      </c>
      <c r="E22" s="23" t="s">
        <v>340</v>
      </c>
      <c r="F22" s="23" t="s">
        <v>341</v>
      </c>
      <c r="G22" s="22"/>
      <c r="H22" s="21" t="s">
        <v>306</v>
      </c>
      <c r="I22" s="21" t="s">
        <v>307</v>
      </c>
      <c r="J22" s="21" t="s">
        <v>308</v>
      </c>
      <c r="K22" s="21" t="s">
        <v>309</v>
      </c>
      <c r="L22" s="21" t="s">
        <v>315</v>
      </c>
      <c r="M22" s="21" t="s">
        <v>314</v>
      </c>
      <c r="N22" s="21" t="s">
        <v>296</v>
      </c>
      <c r="O22" s="21" t="s">
        <v>297</v>
      </c>
      <c r="P22" s="21" t="s">
        <v>310</v>
      </c>
      <c r="Q22" s="21" t="s">
        <v>311</v>
      </c>
      <c r="R22" s="21" t="s">
        <v>312</v>
      </c>
      <c r="S22" s="21" t="s">
        <v>313</v>
      </c>
      <c r="T22" s="21" t="s">
        <v>316</v>
      </c>
      <c r="U22" s="21" t="s">
        <v>317</v>
      </c>
      <c r="V22" s="21" t="s">
        <v>318</v>
      </c>
      <c r="W22" s="21" t="s">
        <v>319</v>
      </c>
      <c r="X22" s="21" t="s">
        <v>320</v>
      </c>
      <c r="Y22" s="21" t="s">
        <v>321</v>
      </c>
      <c r="Z22" s="21" t="s">
        <v>322</v>
      </c>
      <c r="AA22" s="21" t="s">
        <v>323</v>
      </c>
      <c r="AB22" s="21" t="s">
        <v>324</v>
      </c>
      <c r="AC22" s="22"/>
      <c r="AD22" s="23" t="s">
        <v>326</v>
      </c>
      <c r="AE22" s="23" t="s">
        <v>327</v>
      </c>
      <c r="AF22" s="23" t="s">
        <v>328</v>
      </c>
      <c r="AG22" s="23" t="s">
        <v>329</v>
      </c>
      <c r="AH22" s="23" t="s">
        <v>296</v>
      </c>
      <c r="AI22" s="23" t="s">
        <v>297</v>
      </c>
      <c r="AJ22" s="23" t="s">
        <v>317</v>
      </c>
      <c r="AK22" s="23" t="s">
        <v>318</v>
      </c>
      <c r="AL22" s="23" t="s">
        <v>319</v>
      </c>
      <c r="AM22" s="23" t="s">
        <v>332</v>
      </c>
      <c r="AN22" s="23" t="s">
        <v>333</v>
      </c>
      <c r="AO22" s="23" t="s">
        <v>334</v>
      </c>
      <c r="AP22" s="23" t="s">
        <v>290</v>
      </c>
      <c r="AQ22" s="23" t="s">
        <v>335</v>
      </c>
      <c r="AR22" s="23" t="s">
        <v>336</v>
      </c>
      <c r="AS22" s="23" t="s">
        <v>337</v>
      </c>
      <c r="AT22" s="23" t="s">
        <v>338</v>
      </c>
      <c r="AU22" s="23" t="s">
        <v>330</v>
      </c>
      <c r="AV22" s="23" t="s">
        <v>331</v>
      </c>
      <c r="AW22" s="23" t="s">
        <v>339</v>
      </c>
      <c r="AX22" s="23" t="s">
        <v>289</v>
      </c>
      <c r="AY22" s="22"/>
    </row>
    <row r="30" spans="1:51" x14ac:dyDescent="0.2">
      <c r="B30" t="s">
        <v>265</v>
      </c>
    </row>
    <row r="31" spans="1:51" x14ac:dyDescent="0.2">
      <c r="C31" s="18" t="s">
        <v>248</v>
      </c>
      <c r="D31" s="24" t="s">
        <v>341</v>
      </c>
      <c r="E31" s="18" t="s">
        <v>342</v>
      </c>
      <c r="F31" s="18">
        <v>1</v>
      </c>
      <c r="G31" s="18">
        <v>5</v>
      </c>
    </row>
    <row r="32" spans="1:51" x14ac:dyDescent="0.2">
      <c r="C32" s="18" t="s">
        <v>254</v>
      </c>
      <c r="D32" s="24" t="s">
        <v>291</v>
      </c>
      <c r="E32" s="18" t="s">
        <v>343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721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727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726</v>
      </c>
      <c r="P10">
        <f>HEX2DEC(O10)</f>
        <v>845</v>
      </c>
      <c r="Q10">
        <v>97</v>
      </c>
    </row>
    <row r="11" spans="15:17" x14ac:dyDescent="0.2">
      <c r="O11" t="s">
        <v>490</v>
      </c>
      <c r="P11">
        <f>HEX2DEC(O11)</f>
        <v>766</v>
      </c>
      <c r="Q11">
        <v>95.3</v>
      </c>
    </row>
    <row r="12" spans="15:17" x14ac:dyDescent="0.2">
      <c r="O12" t="s">
        <v>722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723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724</v>
      </c>
      <c r="P17">
        <f t="shared" si="1"/>
        <v>232</v>
      </c>
      <c r="Q17">
        <v>19</v>
      </c>
    </row>
    <row r="18" spans="15:17" x14ac:dyDescent="0.2">
      <c r="O18" t="s">
        <v>725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455</v>
      </c>
      <c r="H2" t="s">
        <v>451</v>
      </c>
      <c r="I2" t="s">
        <v>452</v>
      </c>
      <c r="J2" t="s">
        <v>456</v>
      </c>
      <c r="K2" t="s">
        <v>453</v>
      </c>
      <c r="L2" t="s">
        <v>454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342</v>
      </c>
      <c r="L8" t="s">
        <v>457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460</v>
      </c>
      <c r="B1">
        <v>0.93951600000000002</v>
      </c>
    </row>
    <row r="2" spans="1:5" x14ac:dyDescent="0.2">
      <c r="A2" t="s">
        <v>458</v>
      </c>
    </row>
    <row r="3" spans="1:5" x14ac:dyDescent="0.2">
      <c r="A3" t="s">
        <v>459</v>
      </c>
    </row>
    <row r="4" spans="1:5" x14ac:dyDescent="0.2">
      <c r="A4" t="s">
        <v>460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458</v>
      </c>
      <c r="E5">
        <v>0.94032300000000002</v>
      </c>
    </row>
    <row r="6" spans="1:5" x14ac:dyDescent="0.2">
      <c r="A6" t="s">
        <v>459</v>
      </c>
      <c r="E6">
        <v>0.94064499999999995</v>
      </c>
    </row>
    <row r="7" spans="1:5" x14ac:dyDescent="0.2">
      <c r="A7" t="s">
        <v>460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458</v>
      </c>
      <c r="E8">
        <v>0.941774</v>
      </c>
    </row>
    <row r="9" spans="1:5" x14ac:dyDescent="0.2">
      <c r="A9" t="s">
        <v>459</v>
      </c>
      <c r="E9">
        <v>0.94225800000000004</v>
      </c>
    </row>
    <row r="10" spans="1:5" x14ac:dyDescent="0.2">
      <c r="A10" t="s">
        <v>460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458</v>
      </c>
      <c r="E11">
        <v>0.94274199999999997</v>
      </c>
    </row>
    <row r="12" spans="1:5" x14ac:dyDescent="0.2">
      <c r="A12" t="s">
        <v>459</v>
      </c>
      <c r="E12">
        <v>0.94241900000000001</v>
      </c>
    </row>
    <row r="13" spans="1:5" x14ac:dyDescent="0.2">
      <c r="A13" t="s">
        <v>460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458</v>
      </c>
      <c r="E14">
        <v>0.94080600000000003</v>
      </c>
    </row>
    <row r="15" spans="1:5" x14ac:dyDescent="0.2">
      <c r="A15" t="s">
        <v>459</v>
      </c>
      <c r="E15">
        <v>0.94064499999999995</v>
      </c>
    </row>
    <row r="16" spans="1:5" x14ac:dyDescent="0.2">
      <c r="A16" t="s">
        <v>460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458</v>
      </c>
      <c r="E17">
        <v>0.93983899999999998</v>
      </c>
    </row>
    <row r="18" spans="1:5" x14ac:dyDescent="0.2">
      <c r="A18" t="s">
        <v>459</v>
      </c>
      <c r="E18">
        <v>0.94</v>
      </c>
    </row>
    <row r="19" spans="1:5" x14ac:dyDescent="0.2">
      <c r="A19" t="s">
        <v>460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458</v>
      </c>
      <c r="E20">
        <v>0.94112899999999999</v>
      </c>
    </row>
    <row r="21" spans="1:5" x14ac:dyDescent="0.2">
      <c r="A21" t="s">
        <v>459</v>
      </c>
      <c r="E21">
        <v>0.94161300000000003</v>
      </c>
    </row>
    <row r="22" spans="1:5" x14ac:dyDescent="0.2">
      <c r="A22" t="s">
        <v>460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458</v>
      </c>
      <c r="E23">
        <v>0.94306400000000001</v>
      </c>
    </row>
    <row r="24" spans="1:5" x14ac:dyDescent="0.2">
      <c r="A24" t="s">
        <v>459</v>
      </c>
      <c r="E24">
        <v>0.94322600000000001</v>
      </c>
    </row>
    <row r="25" spans="1:5" x14ac:dyDescent="0.2">
      <c r="A25" t="s">
        <v>460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458</v>
      </c>
      <c r="E26">
        <v>0.94338699999999998</v>
      </c>
    </row>
    <row r="27" spans="1:5" x14ac:dyDescent="0.2">
      <c r="A27" t="s">
        <v>459</v>
      </c>
      <c r="E27">
        <v>0.94338699999999998</v>
      </c>
    </row>
    <row r="28" spans="1:5" x14ac:dyDescent="0.2">
      <c r="A28" t="s">
        <v>460</v>
      </c>
      <c r="B28">
        <v>0.94161300000000003</v>
      </c>
      <c r="C28">
        <f>B25-B28</f>
        <v>8.059999999999734E-4</v>
      </c>
    </row>
    <row r="29" spans="1:5" x14ac:dyDescent="0.2">
      <c r="A29" t="s">
        <v>458</v>
      </c>
    </row>
    <row r="30" spans="1:5" x14ac:dyDescent="0.2">
      <c r="A30" t="s">
        <v>459</v>
      </c>
    </row>
    <row r="31" spans="1:5" x14ac:dyDescent="0.2">
      <c r="A31" t="s">
        <v>460</v>
      </c>
      <c r="B31">
        <v>0.94080600000000003</v>
      </c>
      <c r="C31">
        <f>B28-B31</f>
        <v>8.0700000000000216E-4</v>
      </c>
    </row>
    <row r="32" spans="1:5" x14ac:dyDescent="0.2">
      <c r="A32" t="s">
        <v>458</v>
      </c>
    </row>
    <row r="33" spans="1:3" x14ac:dyDescent="0.2">
      <c r="A33" t="s">
        <v>459</v>
      </c>
    </row>
    <row r="34" spans="1:3" x14ac:dyDescent="0.2">
      <c r="A34" t="s">
        <v>460</v>
      </c>
      <c r="B34">
        <v>0.94064499999999995</v>
      </c>
      <c r="C34">
        <f>B31-B34</f>
        <v>1.6100000000007775E-4</v>
      </c>
    </row>
    <row r="35" spans="1:3" x14ac:dyDescent="0.2">
      <c r="A35" t="s">
        <v>458</v>
      </c>
    </row>
    <row r="36" spans="1:3" x14ac:dyDescent="0.2">
      <c r="A36" t="s">
        <v>459</v>
      </c>
    </row>
    <row r="37" spans="1:3" x14ac:dyDescent="0.2">
      <c r="A37" t="s">
        <v>460</v>
      </c>
      <c r="B37">
        <v>0.94016100000000002</v>
      </c>
      <c r="C37">
        <f>B34-B37</f>
        <v>4.8399999999992893E-4</v>
      </c>
    </row>
    <row r="38" spans="1:3" x14ac:dyDescent="0.2">
      <c r="A38" t="s">
        <v>458</v>
      </c>
    </row>
    <row r="39" spans="1:3" x14ac:dyDescent="0.2">
      <c r="A39" t="s">
        <v>459</v>
      </c>
    </row>
    <row r="40" spans="1:3" x14ac:dyDescent="0.2">
      <c r="A40" t="s">
        <v>460</v>
      </c>
      <c r="B40">
        <v>0.93983899999999998</v>
      </c>
      <c r="C40">
        <f>B37-B40</f>
        <v>3.2200000000004447E-4</v>
      </c>
    </row>
    <row r="41" spans="1:3" x14ac:dyDescent="0.2">
      <c r="A41" t="s">
        <v>458</v>
      </c>
    </row>
    <row r="42" spans="1:3" x14ac:dyDescent="0.2">
      <c r="A42" t="s">
        <v>459</v>
      </c>
    </row>
    <row r="43" spans="1:3" x14ac:dyDescent="0.2">
      <c r="A43" t="s">
        <v>460</v>
      </c>
      <c r="B43">
        <v>0.94</v>
      </c>
      <c r="C43">
        <f>B40-B43</f>
        <v>-1.6099999999996673E-4</v>
      </c>
    </row>
    <row r="44" spans="1:3" x14ac:dyDescent="0.2">
      <c r="A44" t="s">
        <v>458</v>
      </c>
    </row>
    <row r="45" spans="1:3" x14ac:dyDescent="0.2">
      <c r="A45" t="s">
        <v>459</v>
      </c>
    </row>
    <row r="46" spans="1:3" x14ac:dyDescent="0.2">
      <c r="A46" t="s">
        <v>460</v>
      </c>
      <c r="B46">
        <v>0.94064499999999995</v>
      </c>
      <c r="C46">
        <f>B43-B46</f>
        <v>-6.4500000000000668E-4</v>
      </c>
    </row>
    <row r="47" spans="1:3" x14ac:dyDescent="0.2">
      <c r="A47" t="s">
        <v>458</v>
      </c>
    </row>
    <row r="48" spans="1:3" x14ac:dyDescent="0.2">
      <c r="A48" t="s">
        <v>459</v>
      </c>
    </row>
    <row r="49" spans="1:29" x14ac:dyDescent="0.2">
      <c r="A49" t="s">
        <v>460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458</v>
      </c>
    </row>
    <row r="51" spans="1:29" x14ac:dyDescent="0.2">
      <c r="A51" t="s">
        <v>459</v>
      </c>
    </row>
    <row r="52" spans="1:29" x14ac:dyDescent="0.2">
      <c r="A52" t="s">
        <v>460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458</v>
      </c>
    </row>
    <row r="54" spans="1:29" x14ac:dyDescent="0.2">
      <c r="A54" t="s">
        <v>459</v>
      </c>
    </row>
    <row r="55" spans="1:29" x14ac:dyDescent="0.2">
      <c r="A55" t="s">
        <v>460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458</v>
      </c>
    </row>
    <row r="57" spans="1:29" x14ac:dyDescent="0.2">
      <c r="A57" t="s">
        <v>459</v>
      </c>
    </row>
    <row r="58" spans="1:29" x14ac:dyDescent="0.2">
      <c r="A58" t="s">
        <v>460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458</v>
      </c>
    </row>
    <row r="60" spans="1:29" x14ac:dyDescent="0.2">
      <c r="A60" t="s">
        <v>459</v>
      </c>
    </row>
    <row r="61" spans="1:29" x14ac:dyDescent="0.2">
      <c r="A61" t="s">
        <v>460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458</v>
      </c>
    </row>
    <row r="63" spans="1:29" x14ac:dyDescent="0.2">
      <c r="A63" t="s">
        <v>459</v>
      </c>
    </row>
    <row r="64" spans="1:29" x14ac:dyDescent="0.2">
      <c r="A64" t="s">
        <v>460</v>
      </c>
      <c r="B64">
        <v>0.94306400000000001</v>
      </c>
      <c r="C64">
        <f>B61-B64</f>
        <v>1.6199999999999548E-4</v>
      </c>
    </row>
    <row r="65" spans="1:26" x14ac:dyDescent="0.2">
      <c r="A65" t="s">
        <v>458</v>
      </c>
    </row>
    <row r="66" spans="1:26" x14ac:dyDescent="0.2">
      <c r="A66" t="s">
        <v>459</v>
      </c>
    </row>
    <row r="67" spans="1:26" x14ac:dyDescent="0.2">
      <c r="A67" t="s">
        <v>460</v>
      </c>
      <c r="B67">
        <v>0.94338699999999998</v>
      </c>
      <c r="C67">
        <f>B64-B67</f>
        <v>-3.2299999999996221E-4</v>
      </c>
    </row>
    <row r="68" spans="1:26" x14ac:dyDescent="0.2">
      <c r="A68" t="s">
        <v>458</v>
      </c>
    </row>
    <row r="69" spans="1:26" x14ac:dyDescent="0.2">
      <c r="A69" t="s">
        <v>459</v>
      </c>
    </row>
    <row r="70" spans="1:26" x14ac:dyDescent="0.2">
      <c r="A70" t="s">
        <v>460</v>
      </c>
      <c r="B70">
        <v>0.94338699999999998</v>
      </c>
      <c r="C70">
        <f>B67-B70</f>
        <v>0</v>
      </c>
    </row>
    <row r="71" spans="1:26" x14ac:dyDescent="0.2">
      <c r="A71" t="s">
        <v>458</v>
      </c>
    </row>
    <row r="72" spans="1:26" x14ac:dyDescent="0.2">
      <c r="A72" t="s">
        <v>459</v>
      </c>
    </row>
    <row r="73" spans="1:26" x14ac:dyDescent="0.2">
      <c r="A73" t="s">
        <v>460</v>
      </c>
      <c r="B73">
        <v>0.94290300000000005</v>
      </c>
      <c r="C73">
        <f>B70-B73</f>
        <v>4.8399999999992893E-4</v>
      </c>
    </row>
    <row r="74" spans="1:26" x14ac:dyDescent="0.2">
      <c r="A74" t="s">
        <v>458</v>
      </c>
    </row>
    <row r="75" spans="1:26" x14ac:dyDescent="0.2">
      <c r="A75" t="s">
        <v>459</v>
      </c>
    </row>
    <row r="76" spans="1:26" x14ac:dyDescent="0.2">
      <c r="A76" t="s">
        <v>460</v>
      </c>
      <c r="B76">
        <v>0.94209699999999996</v>
      </c>
      <c r="C76">
        <f>B73-B76</f>
        <v>8.0600000000008443E-4</v>
      </c>
    </row>
    <row r="77" spans="1:26" x14ac:dyDescent="0.2">
      <c r="A77" t="s">
        <v>458</v>
      </c>
    </row>
    <row r="78" spans="1:26" x14ac:dyDescent="0.2">
      <c r="A78" t="s">
        <v>459</v>
      </c>
      <c r="W78">
        <v>2.0739999999999998</v>
      </c>
      <c r="X78">
        <v>1.95</v>
      </c>
    </row>
    <row r="79" spans="1:26" x14ac:dyDescent="0.2">
      <c r="A79" t="s">
        <v>460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458</v>
      </c>
    </row>
    <row r="81" spans="1:26" x14ac:dyDescent="0.2">
      <c r="A81" t="s">
        <v>459</v>
      </c>
    </row>
    <row r="82" spans="1:26" x14ac:dyDescent="0.2">
      <c r="A82" t="s">
        <v>460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458</v>
      </c>
    </row>
    <row r="84" spans="1:26" x14ac:dyDescent="0.2">
      <c r="A84" t="s">
        <v>459</v>
      </c>
    </row>
    <row r="85" spans="1:26" x14ac:dyDescent="0.2">
      <c r="A85" t="s">
        <v>460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458</v>
      </c>
    </row>
    <row r="87" spans="1:26" x14ac:dyDescent="0.2">
      <c r="A87" t="s">
        <v>459</v>
      </c>
    </row>
    <row r="88" spans="1:26" x14ac:dyDescent="0.2">
      <c r="A88" t="s">
        <v>460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458</v>
      </c>
    </row>
    <row r="90" spans="1:26" x14ac:dyDescent="0.2">
      <c r="A90" t="s">
        <v>459</v>
      </c>
    </row>
    <row r="91" spans="1:26" x14ac:dyDescent="0.2">
      <c r="A91" t="s">
        <v>460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458</v>
      </c>
    </row>
    <row r="93" spans="1:26" x14ac:dyDescent="0.2">
      <c r="A93" t="s">
        <v>460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459</v>
      </c>
    </row>
    <row r="95" spans="1:26" x14ac:dyDescent="0.2">
      <c r="A95" t="s">
        <v>458</v>
      </c>
    </row>
    <row r="96" spans="1:26" x14ac:dyDescent="0.2">
      <c r="A96" t="s">
        <v>460</v>
      </c>
      <c r="B96">
        <v>0.93983899999999998</v>
      </c>
      <c r="C96">
        <f>B93-B96</f>
        <v>0</v>
      </c>
    </row>
    <row r="97" spans="1:23" x14ac:dyDescent="0.2">
      <c r="A97" t="s">
        <v>459</v>
      </c>
    </row>
    <row r="98" spans="1:23" x14ac:dyDescent="0.2">
      <c r="A98" t="s">
        <v>458</v>
      </c>
    </row>
    <row r="99" spans="1:23" x14ac:dyDescent="0.2">
      <c r="A99" t="s">
        <v>460</v>
      </c>
      <c r="B99">
        <v>0.94</v>
      </c>
    </row>
    <row r="100" spans="1:23" x14ac:dyDescent="0.2">
      <c r="A100" t="s">
        <v>459</v>
      </c>
    </row>
    <row r="101" spans="1:23" x14ac:dyDescent="0.2">
      <c r="A101" t="s">
        <v>458</v>
      </c>
    </row>
    <row r="102" spans="1:23" x14ac:dyDescent="0.2">
      <c r="A102" t="s">
        <v>460</v>
      </c>
      <c r="B102">
        <v>0.94032199999999999</v>
      </c>
      <c r="V102" t="s">
        <v>462</v>
      </c>
      <c r="W102">
        <v>0.34</v>
      </c>
    </row>
    <row r="103" spans="1:23" x14ac:dyDescent="0.2">
      <c r="A103" t="s">
        <v>459</v>
      </c>
    </row>
    <row r="104" spans="1:23" x14ac:dyDescent="0.2">
      <c r="A104" t="s">
        <v>458</v>
      </c>
    </row>
    <row r="105" spans="1:23" x14ac:dyDescent="0.2">
      <c r="A105" t="s">
        <v>460</v>
      </c>
      <c r="B105">
        <v>0.94048399999999999</v>
      </c>
      <c r="V105" t="s">
        <v>463</v>
      </c>
      <c r="W105">
        <v>9.6199999999999994E-2</v>
      </c>
    </row>
    <row r="106" spans="1:23" x14ac:dyDescent="0.2">
      <c r="A106" t="s">
        <v>459</v>
      </c>
    </row>
    <row r="107" spans="1:23" x14ac:dyDescent="0.2">
      <c r="A107" t="s">
        <v>458</v>
      </c>
    </row>
    <row r="108" spans="1:23" x14ac:dyDescent="0.2">
      <c r="A108" t="s">
        <v>460</v>
      </c>
      <c r="B108">
        <v>0.94064499999999995</v>
      </c>
    </row>
    <row r="109" spans="1:23" x14ac:dyDescent="0.2">
      <c r="A109" t="s">
        <v>459</v>
      </c>
    </row>
    <row r="110" spans="1:23" x14ac:dyDescent="0.2">
      <c r="A110" t="s">
        <v>458</v>
      </c>
    </row>
    <row r="111" spans="1:23" x14ac:dyDescent="0.2">
      <c r="A111" t="s">
        <v>460</v>
      </c>
      <c r="B111">
        <v>0.94064499999999995</v>
      </c>
      <c r="V111" s="29" t="s">
        <v>461</v>
      </c>
    </row>
    <row r="112" spans="1:23" x14ac:dyDescent="0.2">
      <c r="A112" t="s">
        <v>458</v>
      </c>
    </row>
    <row r="113" spans="1:22" x14ac:dyDescent="0.2">
      <c r="A113" t="s">
        <v>460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458</v>
      </c>
      <c r="V114">
        <f t="shared" ref="V114:V121" si="0">((E5-$W$102)/$W$105)+0.1</f>
        <v>6.3403638253638244</v>
      </c>
    </row>
    <row r="115" spans="1:22" x14ac:dyDescent="0.2">
      <c r="A115" t="s">
        <v>459</v>
      </c>
      <c r="V115">
        <f t="shared" si="0"/>
        <v>6.3437110187110175</v>
      </c>
    </row>
    <row r="116" spans="1:22" x14ac:dyDescent="0.2">
      <c r="A116" t="s">
        <v>459</v>
      </c>
      <c r="V116">
        <f t="shared" si="0"/>
        <v>6.3504158004157993</v>
      </c>
    </row>
    <row r="117" spans="1:22" x14ac:dyDescent="0.2">
      <c r="A117" t="s">
        <v>460</v>
      </c>
      <c r="B117">
        <v>0.93967699999999998</v>
      </c>
      <c r="V117">
        <f t="shared" si="0"/>
        <v>6.3554469854469859</v>
      </c>
    </row>
    <row r="118" spans="1:22" x14ac:dyDescent="0.2">
      <c r="A118" t="s">
        <v>459</v>
      </c>
      <c r="V118">
        <f t="shared" si="0"/>
        <v>6.3604781704781699</v>
      </c>
    </row>
    <row r="119" spans="1:22" x14ac:dyDescent="0.2">
      <c r="A119" t="s">
        <v>458</v>
      </c>
      <c r="V119">
        <f t="shared" si="0"/>
        <v>6.3638357588357595</v>
      </c>
    </row>
    <row r="120" spans="1:22" x14ac:dyDescent="0.2">
      <c r="A120" t="s">
        <v>460</v>
      </c>
      <c r="B120">
        <v>0.93935500000000005</v>
      </c>
      <c r="V120">
        <f t="shared" si="0"/>
        <v>6.3655093555093547</v>
      </c>
    </row>
    <row r="121" spans="1:22" x14ac:dyDescent="0.2">
      <c r="A121" t="s">
        <v>459</v>
      </c>
      <c r="V121">
        <f t="shared" si="0"/>
        <v>6.3621517671517678</v>
      </c>
    </row>
    <row r="122" spans="1:22" x14ac:dyDescent="0.2">
      <c r="A122" t="s">
        <v>458</v>
      </c>
    </row>
    <row r="123" spans="1:22" x14ac:dyDescent="0.2">
      <c r="A123" t="s">
        <v>460</v>
      </c>
      <c r="B123">
        <v>0.93903199999999998</v>
      </c>
    </row>
    <row r="124" spans="1:22" x14ac:dyDescent="0.2">
      <c r="A124" t="s">
        <v>459</v>
      </c>
    </row>
    <row r="125" spans="1:22" x14ac:dyDescent="0.2">
      <c r="A125" t="s">
        <v>458</v>
      </c>
    </row>
    <row r="126" spans="1:22" x14ac:dyDescent="0.2">
      <c r="A126" t="s">
        <v>460</v>
      </c>
      <c r="B126">
        <v>0.93838699999999997</v>
      </c>
    </row>
    <row r="127" spans="1:22" x14ac:dyDescent="0.2">
      <c r="A127" t="s">
        <v>459</v>
      </c>
    </row>
    <row r="128" spans="1:22" x14ac:dyDescent="0.2">
      <c r="A128" t="s">
        <v>458</v>
      </c>
    </row>
    <row r="129" spans="1:2" x14ac:dyDescent="0.2">
      <c r="A129" t="s">
        <v>460</v>
      </c>
      <c r="B129">
        <v>0.93774199999999996</v>
      </c>
    </row>
    <row r="130" spans="1:2" x14ac:dyDescent="0.2">
      <c r="A130" t="s">
        <v>459</v>
      </c>
    </row>
    <row r="131" spans="1:2" x14ac:dyDescent="0.2">
      <c r="A131" t="s">
        <v>458</v>
      </c>
    </row>
    <row r="132" spans="1:2" x14ac:dyDescent="0.2">
      <c r="A132" t="s">
        <v>460</v>
      </c>
      <c r="B132">
        <v>0.937581</v>
      </c>
    </row>
    <row r="133" spans="1:2" x14ac:dyDescent="0.2">
      <c r="A133" t="s">
        <v>458</v>
      </c>
    </row>
    <row r="134" spans="1:2" x14ac:dyDescent="0.2">
      <c r="A134" t="s">
        <v>459</v>
      </c>
    </row>
    <row r="135" spans="1:2" x14ac:dyDescent="0.2">
      <c r="A135" t="s">
        <v>460</v>
      </c>
      <c r="B135">
        <v>0.937581</v>
      </c>
    </row>
    <row r="136" spans="1:2" x14ac:dyDescent="0.2">
      <c r="A136" t="s">
        <v>458</v>
      </c>
    </row>
    <row r="137" spans="1:2" x14ac:dyDescent="0.2">
      <c r="A137" t="s">
        <v>459</v>
      </c>
    </row>
    <row r="138" spans="1:2" x14ac:dyDescent="0.2">
      <c r="A138" t="s">
        <v>460</v>
      </c>
      <c r="B138">
        <v>0.937419</v>
      </c>
    </row>
    <row r="139" spans="1:2" x14ac:dyDescent="0.2">
      <c r="A139" t="s">
        <v>458</v>
      </c>
    </row>
    <row r="140" spans="1:2" x14ac:dyDescent="0.2">
      <c r="A140" t="s">
        <v>459</v>
      </c>
    </row>
    <row r="141" spans="1:2" x14ac:dyDescent="0.2">
      <c r="A141" t="s">
        <v>460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565</v>
      </c>
      <c r="L1" s="33" t="s">
        <v>565</v>
      </c>
      <c r="N1" s="33" t="s">
        <v>566</v>
      </c>
    </row>
    <row r="2" spans="1:24" x14ac:dyDescent="0.2">
      <c r="A2" s="30" t="s">
        <v>472</v>
      </c>
      <c r="K2">
        <v>13</v>
      </c>
      <c r="L2" s="33">
        <f>HEX2DEC(K2)</f>
        <v>19</v>
      </c>
      <c r="M2" t="s">
        <v>488</v>
      </c>
      <c r="N2" s="33">
        <f>HEX2DEC(M2)</f>
        <v>3017</v>
      </c>
      <c r="O2" t="s">
        <v>489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473</v>
      </c>
      <c r="K3" t="s">
        <v>497</v>
      </c>
      <c r="L3" s="33">
        <f t="shared" ref="L3:L62" si="0">HEX2DEC(K3)</f>
        <v>28</v>
      </c>
      <c r="M3" t="s">
        <v>498</v>
      </c>
      <c r="N3" s="33">
        <f t="shared" ref="N3:N62" si="1">HEX2DEC(M3)</f>
        <v>3015</v>
      </c>
      <c r="O3" t="s">
        <v>499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474</v>
      </c>
      <c r="K4" t="s">
        <v>502</v>
      </c>
      <c r="L4" s="33">
        <f t="shared" si="0"/>
        <v>122</v>
      </c>
      <c r="M4" t="s">
        <v>498</v>
      </c>
      <c r="N4" s="33">
        <f t="shared" si="1"/>
        <v>3015</v>
      </c>
      <c r="O4" t="s">
        <v>503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475</v>
      </c>
      <c r="K5">
        <v>77</v>
      </c>
      <c r="L5" s="33">
        <f t="shared" si="0"/>
        <v>119</v>
      </c>
      <c r="M5" t="s">
        <v>488</v>
      </c>
      <c r="N5" s="33">
        <f t="shared" si="1"/>
        <v>3017</v>
      </c>
      <c r="O5" t="s">
        <v>503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476</v>
      </c>
      <c r="K6">
        <v>77</v>
      </c>
      <c r="L6" s="33">
        <f t="shared" si="0"/>
        <v>119</v>
      </c>
      <c r="M6" t="s">
        <v>506</v>
      </c>
      <c r="N6" s="33">
        <f t="shared" si="1"/>
        <v>3016</v>
      </c>
      <c r="O6" t="s">
        <v>507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464</v>
      </c>
      <c r="K7">
        <v>77</v>
      </c>
      <c r="L7" s="33">
        <f t="shared" si="0"/>
        <v>119</v>
      </c>
      <c r="M7" t="s">
        <v>506</v>
      </c>
      <c r="N7" s="33">
        <f t="shared" si="1"/>
        <v>3016</v>
      </c>
      <c r="O7" t="s">
        <v>504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474</v>
      </c>
      <c r="K8">
        <v>76</v>
      </c>
      <c r="L8" s="33">
        <f t="shared" si="0"/>
        <v>118</v>
      </c>
      <c r="M8" t="s">
        <v>506</v>
      </c>
      <c r="N8" s="33">
        <f t="shared" si="1"/>
        <v>3016</v>
      </c>
      <c r="O8" t="s">
        <v>510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465</v>
      </c>
      <c r="K9">
        <v>75</v>
      </c>
      <c r="L9" s="33">
        <f t="shared" si="0"/>
        <v>117</v>
      </c>
      <c r="M9" t="s">
        <v>506</v>
      </c>
      <c r="N9" s="33">
        <f t="shared" si="1"/>
        <v>3016</v>
      </c>
      <c r="O9" t="s">
        <v>514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477</v>
      </c>
      <c r="D10" s="33"/>
      <c r="E10" s="33"/>
      <c r="G10" s="33" t="s">
        <v>567</v>
      </c>
      <c r="K10">
        <v>74</v>
      </c>
      <c r="L10" s="33">
        <f t="shared" si="0"/>
        <v>116</v>
      </c>
      <c r="M10" t="s">
        <v>506</v>
      </c>
      <c r="N10" s="33">
        <f t="shared" si="1"/>
        <v>3016</v>
      </c>
      <c r="O10" t="s">
        <v>518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478</v>
      </c>
      <c r="E11" s="33"/>
      <c r="K11">
        <v>71</v>
      </c>
      <c r="L11" s="33">
        <f t="shared" si="0"/>
        <v>113</v>
      </c>
      <c r="M11" t="s">
        <v>506</v>
      </c>
      <c r="N11" s="33">
        <f t="shared" si="1"/>
        <v>3016</v>
      </c>
      <c r="O11" t="s">
        <v>522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479</v>
      </c>
      <c r="B12" t="s">
        <v>568</v>
      </c>
      <c r="K12">
        <v>69</v>
      </c>
      <c r="L12" s="33">
        <f t="shared" si="0"/>
        <v>105</v>
      </c>
      <c r="M12" t="s">
        <v>506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480</v>
      </c>
      <c r="K13" t="s">
        <v>528</v>
      </c>
      <c r="L13" s="33">
        <f t="shared" si="0"/>
        <v>95</v>
      </c>
      <c r="M13" t="s">
        <v>506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481</v>
      </c>
      <c r="K14">
        <v>54</v>
      </c>
      <c r="L14" s="33">
        <f t="shared" si="0"/>
        <v>84</v>
      </c>
      <c r="M14" t="s">
        <v>498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482</v>
      </c>
      <c r="K15">
        <v>49</v>
      </c>
      <c r="L15" s="33">
        <f t="shared" si="0"/>
        <v>73</v>
      </c>
      <c r="M15" t="s">
        <v>498</v>
      </c>
      <c r="N15" s="33">
        <f t="shared" si="1"/>
        <v>3015</v>
      </c>
      <c r="O15" t="s">
        <v>534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483</v>
      </c>
      <c r="K16">
        <v>44</v>
      </c>
      <c r="L16" s="33">
        <f t="shared" si="0"/>
        <v>68</v>
      </c>
      <c r="M16" t="s">
        <v>506</v>
      </c>
      <c r="N16" s="33">
        <f t="shared" si="1"/>
        <v>3016</v>
      </c>
      <c r="O16" t="s">
        <v>538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325</v>
      </c>
      <c r="K17">
        <v>43</v>
      </c>
      <c r="L17" s="33">
        <f t="shared" si="0"/>
        <v>67</v>
      </c>
      <c r="M17" t="s">
        <v>506</v>
      </c>
      <c r="N17" s="33">
        <f t="shared" si="1"/>
        <v>3016</v>
      </c>
      <c r="O17" t="s">
        <v>536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484</v>
      </c>
      <c r="K18">
        <v>43</v>
      </c>
      <c r="L18" s="33">
        <f t="shared" si="0"/>
        <v>67</v>
      </c>
      <c r="M18" t="s">
        <v>498</v>
      </c>
      <c r="N18" s="33">
        <f t="shared" si="1"/>
        <v>3015</v>
      </c>
      <c r="O18" t="s">
        <v>544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485</v>
      </c>
      <c r="K19">
        <v>43</v>
      </c>
      <c r="L19" s="33">
        <f t="shared" si="0"/>
        <v>67</v>
      </c>
      <c r="M19" t="s">
        <v>498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486</v>
      </c>
      <c r="K20">
        <v>43</v>
      </c>
      <c r="L20" s="33">
        <f t="shared" si="0"/>
        <v>67</v>
      </c>
      <c r="M20" t="s">
        <v>506</v>
      </c>
      <c r="N20" s="33">
        <f t="shared" si="1"/>
        <v>3016</v>
      </c>
      <c r="O20" t="s">
        <v>544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466</v>
      </c>
      <c r="K21">
        <v>43</v>
      </c>
      <c r="L21" s="33">
        <f t="shared" si="0"/>
        <v>67</v>
      </c>
      <c r="M21" t="s">
        <v>498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325</v>
      </c>
      <c r="K22">
        <v>43</v>
      </c>
      <c r="L22" s="33">
        <f t="shared" si="0"/>
        <v>67</v>
      </c>
      <c r="M22" t="s">
        <v>506</v>
      </c>
      <c r="N22" s="33">
        <f t="shared" si="1"/>
        <v>3016</v>
      </c>
      <c r="O22" t="s">
        <v>536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487</v>
      </c>
      <c r="K23">
        <v>43</v>
      </c>
      <c r="L23" s="33">
        <f t="shared" si="0"/>
        <v>67</v>
      </c>
      <c r="M23" t="s">
        <v>506</v>
      </c>
      <c r="N23" s="33">
        <f t="shared" si="1"/>
        <v>3016</v>
      </c>
      <c r="O23" t="s">
        <v>536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506</v>
      </c>
      <c r="N24" s="33">
        <f t="shared" si="1"/>
        <v>3016</v>
      </c>
      <c r="O24" t="s">
        <v>536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467</v>
      </c>
      <c r="K25">
        <v>42</v>
      </c>
      <c r="L25" s="33">
        <f t="shared" si="0"/>
        <v>66</v>
      </c>
      <c r="M25" t="s">
        <v>561</v>
      </c>
      <c r="N25" s="33">
        <f t="shared" si="1"/>
        <v>3014</v>
      </c>
      <c r="O25" t="s">
        <v>536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468</v>
      </c>
      <c r="K26">
        <v>14</v>
      </c>
      <c r="L26" s="175">
        <v>20</v>
      </c>
      <c r="M26" s="175" t="s">
        <v>569</v>
      </c>
      <c r="N26" s="175">
        <v>2041</v>
      </c>
      <c r="O26">
        <f>P26*((N26/1000)/60)</f>
        <v>0.17259237333333335</v>
      </c>
      <c r="P26" s="124">
        <f>((((L26/(N26/1000))*2))*$H$56)*$H$57</f>
        <v>5.0737591376776097</v>
      </c>
      <c r="Q26" s="175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469</v>
      </c>
      <c r="K27">
        <v>14</v>
      </c>
      <c r="L27" s="175">
        <v>20</v>
      </c>
      <c r="M27" s="175" t="s">
        <v>569</v>
      </c>
      <c r="N27" s="175">
        <v>1021</v>
      </c>
      <c r="O27">
        <f>P27*((N27/1000)/60)+O26</f>
        <v>0.34518474666666671</v>
      </c>
      <c r="P27" s="124">
        <f t="shared" ref="P27:P62" si="9">((((L27/(N27/1000))*2))*$H$56)*$H$57</f>
        <v>10.142548873653283</v>
      </c>
      <c r="Q27" s="175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470</v>
      </c>
      <c r="K28">
        <v>14</v>
      </c>
      <c r="L28" s="36">
        <f t="shared" si="0"/>
        <v>20</v>
      </c>
      <c r="M28" t="s">
        <v>569</v>
      </c>
      <c r="N28" s="36">
        <f t="shared" si="1"/>
        <v>2038</v>
      </c>
      <c r="O28">
        <f t="shared" ref="O28:O62" si="11">P28*((N28/1000)/60)+O27</f>
        <v>0.51777712000000009</v>
      </c>
      <c r="P28" s="124">
        <f t="shared" si="9"/>
        <v>5.0812278704612366</v>
      </c>
      <c r="Q28" s="175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569</v>
      </c>
      <c r="N29" s="36">
        <f t="shared" si="1"/>
        <v>2038</v>
      </c>
      <c r="O29">
        <f t="shared" si="11"/>
        <v>0.69036949333333342</v>
      </c>
      <c r="P29" s="124">
        <f t="shared" si="9"/>
        <v>5.0812278704612366</v>
      </c>
      <c r="Q29" s="175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471</v>
      </c>
      <c r="K30">
        <v>14</v>
      </c>
      <c r="L30" s="36">
        <f t="shared" si="0"/>
        <v>20</v>
      </c>
      <c r="M30" t="s">
        <v>569</v>
      </c>
      <c r="N30" s="36">
        <f t="shared" si="1"/>
        <v>2038</v>
      </c>
      <c r="O30">
        <f t="shared" si="11"/>
        <v>0.86296186666666674</v>
      </c>
      <c r="P30" s="124">
        <f t="shared" si="9"/>
        <v>5.0812278704612366</v>
      </c>
      <c r="Q30" s="175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569</v>
      </c>
      <c r="N31" s="36">
        <f t="shared" si="1"/>
        <v>2038</v>
      </c>
      <c r="O31">
        <f t="shared" si="11"/>
        <v>1.0355542400000002</v>
      </c>
      <c r="P31" s="124">
        <f t="shared" si="9"/>
        <v>5.0812278704612366</v>
      </c>
      <c r="Q31" s="175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569</v>
      </c>
      <c r="N32" s="36">
        <f t="shared" si="1"/>
        <v>2038</v>
      </c>
      <c r="O32">
        <f t="shared" si="11"/>
        <v>1.1995169946666668</v>
      </c>
      <c r="P32" s="124">
        <f t="shared" si="9"/>
        <v>4.8271664769381752</v>
      </c>
      <c r="Q32" s="175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4" t="s">
        <v>1021</v>
      </c>
      <c r="B33" s="175"/>
      <c r="C33" s="175"/>
      <c r="D33" s="175"/>
      <c r="E33" s="175"/>
      <c r="F33" s="175"/>
      <c r="G33" s="175"/>
      <c r="H33" s="175"/>
      <c r="I33" s="175"/>
      <c r="J33" s="175"/>
      <c r="K33">
        <v>14</v>
      </c>
      <c r="L33" s="36">
        <f t="shared" si="0"/>
        <v>20</v>
      </c>
      <c r="M33" t="s">
        <v>569</v>
      </c>
      <c r="N33" s="36">
        <f t="shared" si="1"/>
        <v>2038</v>
      </c>
      <c r="O33">
        <f t="shared" si="11"/>
        <v>1.3721093680000003</v>
      </c>
      <c r="P33" s="124">
        <f t="shared" si="9"/>
        <v>5.0812278704612366</v>
      </c>
      <c r="Q33" s="175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4" t="s">
        <v>1022</v>
      </c>
      <c r="B34" s="175"/>
      <c r="C34" s="175"/>
      <c r="D34" s="175"/>
      <c r="E34" s="175"/>
      <c r="F34" s="175"/>
      <c r="G34" s="175"/>
      <c r="H34" s="175"/>
      <c r="I34" s="175"/>
      <c r="J34" s="175"/>
      <c r="K34">
        <v>14</v>
      </c>
      <c r="L34" s="36">
        <f t="shared" si="0"/>
        <v>20</v>
      </c>
      <c r="M34" t="s">
        <v>569</v>
      </c>
      <c r="N34" s="36">
        <f t="shared" si="1"/>
        <v>2038</v>
      </c>
      <c r="O34">
        <f t="shared" si="11"/>
        <v>1.5447017413333337</v>
      </c>
      <c r="P34" s="124">
        <f t="shared" si="9"/>
        <v>5.0812278704612366</v>
      </c>
      <c r="Q34" s="175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614</v>
      </c>
      <c r="N35" s="36">
        <f t="shared" si="1"/>
        <v>2041</v>
      </c>
      <c r="O35">
        <f t="shared" si="11"/>
        <v>1.7172941146666671</v>
      </c>
      <c r="P35" s="124">
        <f t="shared" si="9"/>
        <v>5.0737591376776097</v>
      </c>
      <c r="Q35" s="175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619</v>
      </c>
      <c r="N36" s="36">
        <f t="shared" si="1"/>
        <v>2039</v>
      </c>
      <c r="O36">
        <f t="shared" si="11"/>
        <v>1.8898864880000006</v>
      </c>
      <c r="P36" s="124">
        <f t="shared" si="9"/>
        <v>5.0787358509073073</v>
      </c>
      <c r="Q36" s="175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619</v>
      </c>
      <c r="N37" s="36">
        <f t="shared" si="1"/>
        <v>2039</v>
      </c>
      <c r="O37">
        <f t="shared" si="11"/>
        <v>2.062478861333334</v>
      </c>
      <c r="P37" s="124">
        <f t="shared" si="9"/>
        <v>5.0787358509073073</v>
      </c>
      <c r="Q37" s="175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569</v>
      </c>
      <c r="N38" s="36">
        <f t="shared" si="1"/>
        <v>2038</v>
      </c>
      <c r="O38">
        <f t="shared" si="11"/>
        <v>2.2350712346666675</v>
      </c>
      <c r="P38" s="124">
        <f t="shared" si="9"/>
        <v>5.0812278704612366</v>
      </c>
      <c r="Q38" s="175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569</v>
      </c>
      <c r="N39" s="36">
        <f t="shared" si="1"/>
        <v>2038</v>
      </c>
      <c r="O39">
        <f t="shared" si="11"/>
        <v>2.3990339893333341</v>
      </c>
      <c r="P39" s="124">
        <f t="shared" si="9"/>
        <v>4.8271664769381752</v>
      </c>
      <c r="Q39" s="175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569</v>
      </c>
      <c r="N40" s="36">
        <f t="shared" si="1"/>
        <v>2038</v>
      </c>
      <c r="O40">
        <f t="shared" si="11"/>
        <v>2.5716263626666676</v>
      </c>
      <c r="P40" s="124">
        <f t="shared" si="9"/>
        <v>5.0812278704612366</v>
      </c>
      <c r="Q40" s="175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569</v>
      </c>
      <c r="N41" s="36">
        <f t="shared" si="1"/>
        <v>2038</v>
      </c>
      <c r="O41">
        <f t="shared" si="11"/>
        <v>2.744218736000001</v>
      </c>
      <c r="P41" s="124">
        <f t="shared" si="9"/>
        <v>5.0812278704612366</v>
      </c>
      <c r="Q41" s="175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569</v>
      </c>
      <c r="N42" s="36">
        <f t="shared" si="1"/>
        <v>2038</v>
      </c>
      <c r="O42">
        <f t="shared" si="11"/>
        <v>2.9168111093333344</v>
      </c>
      <c r="P42" s="124">
        <f t="shared" si="9"/>
        <v>5.0812278704612366</v>
      </c>
      <c r="Q42" s="175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4" t="s">
        <v>1023</v>
      </c>
      <c r="B43" s="175" t="s">
        <v>1024</v>
      </c>
      <c r="C43" s="175" t="s">
        <v>1025</v>
      </c>
      <c r="D43" s="175" t="s">
        <v>1026</v>
      </c>
      <c r="E43" s="175" t="s">
        <v>1030</v>
      </c>
      <c r="F43" s="175" t="s">
        <v>1027</v>
      </c>
      <c r="G43" s="175" t="s">
        <v>1028</v>
      </c>
      <c r="H43" s="175"/>
      <c r="I43" s="175"/>
      <c r="J43" s="175"/>
      <c r="K43">
        <v>14</v>
      </c>
      <c r="L43" s="36">
        <f t="shared" si="0"/>
        <v>20</v>
      </c>
      <c r="M43" t="s">
        <v>569</v>
      </c>
      <c r="N43" s="36">
        <f t="shared" si="1"/>
        <v>2038</v>
      </c>
      <c r="O43">
        <f t="shared" si="11"/>
        <v>3.0894034826666679</v>
      </c>
      <c r="P43" s="124">
        <f t="shared" si="9"/>
        <v>5.0812278704612366</v>
      </c>
      <c r="Q43" s="175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4">
        <f>L26/N26</f>
        <v>9.7991180793728563E-3</v>
      </c>
      <c r="B44" s="175">
        <f>A44*60</f>
        <v>0.58794708476237134</v>
      </c>
      <c r="C44" s="175">
        <f>(B44*60)</f>
        <v>35.276825085742281</v>
      </c>
      <c r="D44" s="175">
        <f>C44*0.5</f>
        <v>17.638412542871141</v>
      </c>
      <c r="E44" s="175">
        <f>D44*E47</f>
        <v>38.232659018400007</v>
      </c>
      <c r="F44" s="175">
        <f>E44*0.2641720524</f>
        <v>10.100000001600099</v>
      </c>
      <c r="G44" s="175">
        <f>F44*60</f>
        <v>606.00000009600592</v>
      </c>
      <c r="H44" s="175"/>
      <c r="I44" s="175"/>
      <c r="J44" s="175"/>
      <c r="K44">
        <v>13</v>
      </c>
      <c r="L44" s="36">
        <f t="shared" si="0"/>
        <v>19</v>
      </c>
      <c r="M44" t="s">
        <v>569</v>
      </c>
      <c r="N44" s="36">
        <f t="shared" si="1"/>
        <v>2038</v>
      </c>
      <c r="O44">
        <f t="shared" si="11"/>
        <v>3.2533662373333345</v>
      </c>
      <c r="P44" s="124">
        <f t="shared" si="9"/>
        <v>4.8271664769381752</v>
      </c>
      <c r="Q44" s="175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4"/>
      <c r="B45" s="175"/>
      <c r="C45" s="175"/>
      <c r="D45" s="175"/>
      <c r="E45" s="175"/>
      <c r="F45" s="175"/>
      <c r="G45" s="175"/>
      <c r="H45" s="175"/>
      <c r="I45" s="175"/>
      <c r="J45" s="175"/>
      <c r="K45">
        <v>14</v>
      </c>
      <c r="L45" s="36">
        <f t="shared" si="0"/>
        <v>20</v>
      </c>
      <c r="M45" t="s">
        <v>569</v>
      </c>
      <c r="N45" s="36">
        <f t="shared" si="1"/>
        <v>2038</v>
      </c>
      <c r="O45">
        <f t="shared" si="11"/>
        <v>3.425958610666668</v>
      </c>
      <c r="P45" s="124">
        <f t="shared" si="9"/>
        <v>5.0812278704612366</v>
      </c>
      <c r="Q45" s="175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569</v>
      </c>
      <c r="N46" s="36">
        <f t="shared" si="1"/>
        <v>2038</v>
      </c>
      <c r="O46">
        <f t="shared" si="11"/>
        <v>3.5899213653333346</v>
      </c>
      <c r="P46" s="124">
        <f t="shared" si="9"/>
        <v>4.8271664769381752</v>
      </c>
      <c r="Q46" s="175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6" t="s">
        <v>1029</v>
      </c>
      <c r="E47" s="176">
        <f>E46/D44</f>
        <v>2.167579362682067</v>
      </c>
      <c r="K47">
        <v>14</v>
      </c>
      <c r="L47" s="36">
        <f t="shared" si="0"/>
        <v>20</v>
      </c>
      <c r="M47" t="s">
        <v>569</v>
      </c>
      <c r="N47" s="36">
        <f t="shared" si="1"/>
        <v>2038</v>
      </c>
      <c r="O47">
        <f t="shared" si="11"/>
        <v>3.7625137386666681</v>
      </c>
      <c r="P47" s="124">
        <f t="shared" si="9"/>
        <v>5.0812278704612366</v>
      </c>
      <c r="Q47" s="175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6">
        <f>1/E47</f>
        <v>0.46134412294950261</v>
      </c>
      <c r="K48">
        <v>14</v>
      </c>
      <c r="L48" s="36">
        <f t="shared" si="0"/>
        <v>20</v>
      </c>
      <c r="M48" t="s">
        <v>639</v>
      </c>
      <c r="N48" s="36">
        <f t="shared" si="1"/>
        <v>2040</v>
      </c>
      <c r="O48">
        <f t="shared" si="11"/>
        <v>3.9351061120000015</v>
      </c>
      <c r="P48" s="124">
        <f t="shared" si="9"/>
        <v>5.0762462745098054</v>
      </c>
      <c r="Q48" s="175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619</v>
      </c>
      <c r="N49" s="36">
        <f t="shared" si="1"/>
        <v>2039</v>
      </c>
      <c r="O49">
        <f t="shared" si="11"/>
        <v>4.1076984853333345</v>
      </c>
      <c r="P49" s="124">
        <f t="shared" si="9"/>
        <v>5.0787358509073073</v>
      </c>
      <c r="Q49" s="175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1031</v>
      </c>
      <c r="B50" t="s">
        <v>1032</v>
      </c>
      <c r="E50">
        <f>(E48/60)/1000</f>
        <v>7.689068715825043E-6</v>
      </c>
      <c r="K50">
        <v>14</v>
      </c>
      <c r="L50" s="36">
        <f t="shared" si="0"/>
        <v>20</v>
      </c>
      <c r="M50" t="s">
        <v>569</v>
      </c>
      <c r="N50" s="36">
        <f t="shared" si="1"/>
        <v>2038</v>
      </c>
      <c r="O50">
        <f t="shared" si="11"/>
        <v>4.2802908586666675</v>
      </c>
      <c r="P50" s="124">
        <f t="shared" si="9"/>
        <v>5.0812278704612366</v>
      </c>
      <c r="Q50" s="175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569</v>
      </c>
      <c r="N51" s="36">
        <f t="shared" si="1"/>
        <v>2038</v>
      </c>
      <c r="O51">
        <f t="shared" si="11"/>
        <v>4.4442536133333341</v>
      </c>
      <c r="P51" s="124">
        <f t="shared" si="9"/>
        <v>4.8271664769381752</v>
      </c>
      <c r="Q51" s="175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619</v>
      </c>
      <c r="N52" s="36">
        <f t="shared" si="1"/>
        <v>2039</v>
      </c>
      <c r="O52">
        <f t="shared" si="11"/>
        <v>4.6168459866666671</v>
      </c>
      <c r="P52" s="124">
        <f t="shared" si="9"/>
        <v>5.0787358509073073</v>
      </c>
      <c r="Q52" s="175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7" t="s">
        <v>1033</v>
      </c>
      <c r="B53" s="57"/>
      <c r="C53" s="57"/>
      <c r="D53" s="57"/>
      <c r="E53" s="57"/>
      <c r="F53" s="57"/>
      <c r="G53" s="57"/>
      <c r="H53" s="57"/>
      <c r="I53" s="57"/>
      <c r="J53" s="124">
        <f>N26/1000</f>
        <v>2.0409999999999999</v>
      </c>
      <c r="K53">
        <v>14</v>
      </c>
      <c r="L53" s="36">
        <f t="shared" si="0"/>
        <v>20</v>
      </c>
      <c r="M53" t="s">
        <v>569</v>
      </c>
      <c r="N53" s="36">
        <f t="shared" si="1"/>
        <v>2038</v>
      </c>
      <c r="O53">
        <f t="shared" si="11"/>
        <v>4.7894383600000001</v>
      </c>
      <c r="P53" s="124">
        <f t="shared" si="9"/>
        <v>5.0812278704612366</v>
      </c>
      <c r="Q53" s="175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7" t="s">
        <v>1034</v>
      </c>
      <c r="B54" s="57"/>
      <c r="C54" s="57"/>
      <c r="D54" s="57"/>
      <c r="E54" s="57"/>
      <c r="F54" s="57"/>
      <c r="G54" s="57"/>
      <c r="H54" s="57"/>
      <c r="I54" s="57"/>
      <c r="J54" s="124">
        <f>L26/J53</f>
        <v>9.7991180793728567</v>
      </c>
      <c r="K54">
        <v>14</v>
      </c>
      <c r="L54" s="36">
        <f t="shared" si="0"/>
        <v>20</v>
      </c>
      <c r="M54" t="s">
        <v>569</v>
      </c>
      <c r="N54" s="36">
        <f t="shared" si="1"/>
        <v>2038</v>
      </c>
      <c r="O54">
        <f t="shared" si="11"/>
        <v>4.9620307333333331</v>
      </c>
      <c r="P54" s="124">
        <f t="shared" si="9"/>
        <v>5.0812278704612366</v>
      </c>
      <c r="Q54" s="175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7" t="s">
        <v>1035</v>
      </c>
      <c r="B55" s="57"/>
      <c r="C55" s="57"/>
      <c r="D55" s="57"/>
      <c r="E55" s="57"/>
      <c r="F55" s="57"/>
      <c r="G55" s="57"/>
      <c r="H55" s="57"/>
      <c r="I55" s="57"/>
      <c r="J55" s="124">
        <f>2*J54</f>
        <v>19.598236158745713</v>
      </c>
      <c r="K55">
        <v>14</v>
      </c>
      <c r="L55" s="36">
        <f t="shared" si="0"/>
        <v>20</v>
      </c>
      <c r="M55" t="s">
        <v>569</v>
      </c>
      <c r="N55" s="36">
        <f t="shared" si="1"/>
        <v>2038</v>
      </c>
      <c r="O55">
        <f t="shared" si="11"/>
        <v>5.1346231066666661</v>
      </c>
      <c r="P55" s="124">
        <f t="shared" si="9"/>
        <v>5.0812278704612366</v>
      </c>
      <c r="Q55" s="175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7" t="s">
        <v>1036</v>
      </c>
      <c r="B56" s="57"/>
      <c r="C56" s="57"/>
      <c r="D56" s="57"/>
      <c r="E56" s="57"/>
      <c r="F56" s="57"/>
      <c r="G56" s="57"/>
      <c r="H56" s="57">
        <v>0.98</v>
      </c>
      <c r="I56" s="57"/>
      <c r="J56" s="124">
        <f>J55*$H$56</f>
        <v>19.206271435570798</v>
      </c>
      <c r="K56">
        <v>13</v>
      </c>
      <c r="L56" s="36">
        <f t="shared" si="0"/>
        <v>19</v>
      </c>
      <c r="M56" t="s">
        <v>569</v>
      </c>
      <c r="N56" s="36">
        <f t="shared" si="1"/>
        <v>2038</v>
      </c>
      <c r="O56">
        <f t="shared" si="11"/>
        <v>5.2985858613333328</v>
      </c>
      <c r="P56" s="124">
        <f t="shared" si="9"/>
        <v>4.8271664769381752</v>
      </c>
      <c r="Q56" s="175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7" t="s">
        <v>1037</v>
      </c>
      <c r="B57" s="57"/>
      <c r="C57" s="57"/>
      <c r="D57" s="57"/>
      <c r="E57" s="57"/>
      <c r="F57" s="57" t="s">
        <v>1041</v>
      </c>
      <c r="G57" s="57"/>
      <c r="H57" s="57">
        <v>0.26417200000000002</v>
      </c>
      <c r="I57" s="57"/>
      <c r="J57" s="124">
        <f>J56*$H$57</f>
        <v>5.0737591376776097</v>
      </c>
      <c r="K57">
        <v>14</v>
      </c>
      <c r="L57" s="36">
        <f t="shared" si="0"/>
        <v>20</v>
      </c>
      <c r="M57" t="s">
        <v>569</v>
      </c>
      <c r="N57" s="36">
        <f t="shared" si="1"/>
        <v>2038</v>
      </c>
      <c r="O57">
        <f t="shared" si="11"/>
        <v>5.4711782346666658</v>
      </c>
      <c r="P57" s="124">
        <f t="shared" si="9"/>
        <v>5.0812278704612366</v>
      </c>
      <c r="Q57" s="175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7"/>
      <c r="B58" s="57"/>
      <c r="C58" s="57"/>
      <c r="D58" s="57"/>
      <c r="E58" s="57"/>
      <c r="F58" s="57"/>
      <c r="G58" s="57"/>
      <c r="H58" s="57"/>
      <c r="I58" s="57"/>
      <c r="J58" s="124"/>
      <c r="K58">
        <v>14</v>
      </c>
      <c r="L58" s="36">
        <f t="shared" si="0"/>
        <v>20</v>
      </c>
      <c r="M58" t="s">
        <v>569</v>
      </c>
      <c r="N58" s="36">
        <f t="shared" si="1"/>
        <v>2038</v>
      </c>
      <c r="O58">
        <f t="shared" si="11"/>
        <v>5.6437706079999987</v>
      </c>
      <c r="P58" s="124">
        <f t="shared" si="9"/>
        <v>5.0812278704612366</v>
      </c>
      <c r="Q58" s="175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7" t="s">
        <v>1038</v>
      </c>
      <c r="B59" s="57"/>
      <c r="C59" s="57"/>
      <c r="D59" s="57"/>
      <c r="E59" s="57"/>
      <c r="F59" s="57"/>
      <c r="G59" s="57"/>
      <c r="H59" s="57"/>
      <c r="I59" s="57"/>
      <c r="J59" s="124"/>
      <c r="K59">
        <v>14</v>
      </c>
      <c r="L59" s="36">
        <f t="shared" si="0"/>
        <v>20</v>
      </c>
      <c r="M59" t="s">
        <v>619</v>
      </c>
      <c r="N59" s="36">
        <f t="shared" si="1"/>
        <v>2039</v>
      </c>
      <c r="O59">
        <f t="shared" si="11"/>
        <v>5.8163629813333317</v>
      </c>
      <c r="P59" s="124">
        <f t="shared" si="9"/>
        <v>5.0787358509073073</v>
      </c>
      <c r="Q59" s="175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7" t="s">
        <v>1039</v>
      </c>
      <c r="B60" s="57"/>
      <c r="C60" s="57"/>
      <c r="D60" s="57"/>
      <c r="E60" s="57"/>
      <c r="F60" s="57"/>
      <c r="G60" s="57"/>
      <c r="H60" s="57"/>
      <c r="I60" s="57"/>
      <c r="J60" s="124">
        <f>J57*(J53/60)</f>
        <v>0.17259237333333335</v>
      </c>
      <c r="K60">
        <v>14</v>
      </c>
      <c r="L60" s="36">
        <f t="shared" si="0"/>
        <v>20</v>
      </c>
      <c r="M60" t="s">
        <v>619</v>
      </c>
      <c r="N60" s="36">
        <f t="shared" si="1"/>
        <v>2039</v>
      </c>
      <c r="O60">
        <f t="shared" si="11"/>
        <v>5.9889553546666647</v>
      </c>
      <c r="P60" s="124">
        <f t="shared" si="9"/>
        <v>5.0787358509073073</v>
      </c>
      <c r="Q60" s="175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7" t="s">
        <v>1040</v>
      </c>
      <c r="B61" s="57"/>
      <c r="C61" s="57"/>
      <c r="D61" s="57"/>
      <c r="E61" s="57"/>
      <c r="F61" s="57"/>
      <c r="G61" s="57"/>
      <c r="H61" s="57"/>
      <c r="I61" s="57"/>
      <c r="J61" s="124"/>
      <c r="K61">
        <v>14</v>
      </c>
      <c r="L61" s="36">
        <f t="shared" si="0"/>
        <v>20</v>
      </c>
      <c r="M61" t="s">
        <v>614</v>
      </c>
      <c r="N61" s="36">
        <f t="shared" si="1"/>
        <v>2041</v>
      </c>
      <c r="O61">
        <f t="shared" si="11"/>
        <v>6.1615477279999977</v>
      </c>
      <c r="P61" s="124">
        <f t="shared" si="9"/>
        <v>5.0737591376776097</v>
      </c>
      <c r="Q61" s="175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619</v>
      </c>
      <c r="N62" s="36">
        <f t="shared" si="1"/>
        <v>2039</v>
      </c>
      <c r="O62">
        <f t="shared" si="11"/>
        <v>6.3341401013333307</v>
      </c>
      <c r="P62" s="124">
        <f t="shared" si="9"/>
        <v>5.0787358509073073</v>
      </c>
      <c r="Q62" s="175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488</v>
      </c>
      <c r="C80">
        <v>1</v>
      </c>
      <c r="D80" t="s">
        <v>489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490</v>
      </c>
      <c r="N80">
        <v>0</v>
      </c>
      <c r="O80">
        <v>0</v>
      </c>
      <c r="Q80">
        <v>0</v>
      </c>
      <c r="R80">
        <v>0</v>
      </c>
      <c r="S80" t="s">
        <v>491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492</v>
      </c>
    </row>
    <row r="81" spans="1:33" hidden="1" x14ac:dyDescent="0.2">
      <c r="A81" t="s">
        <v>493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458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494</v>
      </c>
      <c r="AD82" t="s">
        <v>495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458</v>
      </c>
    </row>
    <row r="84" spans="1:33" hidden="1" x14ac:dyDescent="0.2">
      <c r="A84">
        <v>13</v>
      </c>
      <c r="B84" t="s">
        <v>488</v>
      </c>
      <c r="C84">
        <v>0</v>
      </c>
      <c r="D84" t="s">
        <v>489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496</v>
      </c>
      <c r="N84">
        <v>0</v>
      </c>
      <c r="O84">
        <v>0</v>
      </c>
      <c r="Q84">
        <v>0</v>
      </c>
      <c r="R84">
        <v>0</v>
      </c>
      <c r="S84" t="s">
        <v>491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492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494</v>
      </c>
      <c r="AD85" t="s">
        <v>495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493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458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494</v>
      </c>
      <c r="AD87" t="s">
        <v>495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497</v>
      </c>
      <c r="B88" t="s">
        <v>498</v>
      </c>
      <c r="C88">
        <v>1</v>
      </c>
      <c r="D88" t="s">
        <v>499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500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492</v>
      </c>
    </row>
    <row r="89" spans="1:33" hidden="1" x14ac:dyDescent="0.2">
      <c r="A89" t="s">
        <v>493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458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494</v>
      </c>
      <c r="AD90" t="s">
        <v>495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458</v>
      </c>
    </row>
    <row r="92" spans="1:33" hidden="1" x14ac:dyDescent="0.2">
      <c r="A92" t="s">
        <v>497</v>
      </c>
      <c r="B92" t="s">
        <v>498</v>
      </c>
      <c r="C92">
        <v>0</v>
      </c>
      <c r="D92" t="s">
        <v>501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500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492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494</v>
      </c>
      <c r="AD93" t="s">
        <v>495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458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494</v>
      </c>
      <c r="AD95" t="s">
        <v>495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502</v>
      </c>
      <c r="B96" t="s">
        <v>498</v>
      </c>
      <c r="C96">
        <v>1</v>
      </c>
      <c r="D96" t="s">
        <v>503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500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492</v>
      </c>
    </row>
    <row r="97" spans="1:33" hidden="1" x14ac:dyDescent="0.2">
      <c r="A97" t="s">
        <v>493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458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494</v>
      </c>
      <c r="AD98" t="s">
        <v>495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458</v>
      </c>
    </row>
    <row r="100" spans="1:33" hidden="1" x14ac:dyDescent="0.2">
      <c r="A100" t="s">
        <v>502</v>
      </c>
      <c r="B100" t="s">
        <v>498</v>
      </c>
      <c r="C100">
        <v>0</v>
      </c>
      <c r="D100" t="s">
        <v>504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500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492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494</v>
      </c>
      <c r="AD101" t="s">
        <v>495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458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494</v>
      </c>
      <c r="AD103" t="s">
        <v>495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488</v>
      </c>
      <c r="C104">
        <v>1</v>
      </c>
      <c r="D104" t="s">
        <v>503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491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492</v>
      </c>
    </row>
    <row r="105" spans="1:33" hidden="1" x14ac:dyDescent="0.2">
      <c r="A105" t="s">
        <v>493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458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494</v>
      </c>
      <c r="AD106" t="s">
        <v>495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493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458</v>
      </c>
    </row>
    <row r="108" spans="1:33" hidden="1" x14ac:dyDescent="0.2">
      <c r="A108">
        <v>77</v>
      </c>
      <c r="B108" t="s">
        <v>488</v>
      </c>
      <c r="C108">
        <v>0</v>
      </c>
      <c r="D108" t="s">
        <v>505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491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492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494</v>
      </c>
      <c r="AD109" t="s">
        <v>495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458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494</v>
      </c>
      <c r="AD111" t="s">
        <v>495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506</v>
      </c>
      <c r="C112">
        <v>1</v>
      </c>
      <c r="D112" t="s">
        <v>507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508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492</v>
      </c>
    </row>
    <row r="113" spans="1:33" hidden="1" x14ac:dyDescent="0.2">
      <c r="A113" t="s">
        <v>493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458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494</v>
      </c>
      <c r="AD114" t="s">
        <v>495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493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458</v>
      </c>
    </row>
    <row r="116" spans="1:33" hidden="1" x14ac:dyDescent="0.2">
      <c r="A116">
        <v>77</v>
      </c>
      <c r="B116" t="s">
        <v>506</v>
      </c>
      <c r="C116">
        <v>0</v>
      </c>
      <c r="D116" t="s">
        <v>505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508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492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494</v>
      </c>
      <c r="AD117" t="s">
        <v>495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458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494</v>
      </c>
      <c r="AD119" t="s">
        <v>495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506</v>
      </c>
      <c r="C120">
        <v>1</v>
      </c>
      <c r="D120" t="s">
        <v>504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509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492</v>
      </c>
    </row>
    <row r="121" spans="1:33" hidden="1" x14ac:dyDescent="0.2">
      <c r="A121" t="s">
        <v>493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458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494</v>
      </c>
      <c r="AD122" t="s">
        <v>495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493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458</v>
      </c>
    </row>
    <row r="124" spans="1:33" hidden="1" x14ac:dyDescent="0.2">
      <c r="A124">
        <v>77</v>
      </c>
      <c r="B124" t="s">
        <v>506</v>
      </c>
      <c r="C124">
        <v>0</v>
      </c>
      <c r="D124" t="s">
        <v>504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509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492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494</v>
      </c>
      <c r="AD125" t="s">
        <v>495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493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458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494</v>
      </c>
      <c r="AD127" t="s">
        <v>495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506</v>
      </c>
      <c r="C128">
        <v>1</v>
      </c>
      <c r="D128" t="s">
        <v>510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511</v>
      </c>
      <c r="N128">
        <v>0</v>
      </c>
      <c r="O128">
        <v>0</v>
      </c>
      <c r="Q128">
        <v>0</v>
      </c>
      <c r="R128">
        <v>0</v>
      </c>
      <c r="S128" t="s">
        <v>509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492</v>
      </c>
    </row>
    <row r="129" spans="1:33" hidden="1" x14ac:dyDescent="0.2">
      <c r="A129" t="s">
        <v>493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458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494</v>
      </c>
      <c r="AD130" t="s">
        <v>495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458</v>
      </c>
    </row>
    <row r="132" spans="1:33" hidden="1" x14ac:dyDescent="0.2">
      <c r="A132">
        <v>76</v>
      </c>
      <c r="B132" t="s">
        <v>506</v>
      </c>
      <c r="C132">
        <v>0</v>
      </c>
      <c r="D132" t="s">
        <v>505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512</v>
      </c>
      <c r="N132">
        <v>0</v>
      </c>
      <c r="O132">
        <v>0</v>
      </c>
      <c r="Q132">
        <v>0</v>
      </c>
      <c r="R132">
        <v>0</v>
      </c>
      <c r="S132" t="s">
        <v>513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492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494</v>
      </c>
      <c r="AD133" t="s">
        <v>495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458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494</v>
      </c>
      <c r="AD135" t="s">
        <v>495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506</v>
      </c>
      <c r="C136">
        <v>1</v>
      </c>
      <c r="D136" t="s">
        <v>514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515</v>
      </c>
      <c r="N136">
        <v>0</v>
      </c>
      <c r="O136">
        <v>0</v>
      </c>
      <c r="Q136">
        <v>0</v>
      </c>
      <c r="R136">
        <v>0</v>
      </c>
      <c r="S136" t="s">
        <v>516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492</v>
      </c>
    </row>
    <row r="137" spans="1:33" hidden="1" x14ac:dyDescent="0.2">
      <c r="A137" t="s">
        <v>493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458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494</v>
      </c>
      <c r="AD138" t="s">
        <v>495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458</v>
      </c>
    </row>
    <row r="140" spans="1:33" hidden="1" x14ac:dyDescent="0.2">
      <c r="A140">
        <v>75</v>
      </c>
      <c r="B140" t="s">
        <v>506</v>
      </c>
      <c r="C140">
        <v>0</v>
      </c>
      <c r="D140" t="s">
        <v>510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517</v>
      </c>
      <c r="N140">
        <v>0</v>
      </c>
      <c r="O140">
        <v>0</v>
      </c>
      <c r="Q140">
        <v>0</v>
      </c>
      <c r="R140">
        <v>0</v>
      </c>
      <c r="S140" t="s">
        <v>516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492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494</v>
      </c>
      <c r="AD141" t="s">
        <v>495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493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458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494</v>
      </c>
      <c r="AD143" t="s">
        <v>495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506</v>
      </c>
      <c r="C144">
        <v>1</v>
      </c>
      <c r="D144" t="s">
        <v>518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519</v>
      </c>
      <c r="N144">
        <v>0</v>
      </c>
      <c r="O144">
        <v>0</v>
      </c>
      <c r="Q144">
        <v>0</v>
      </c>
      <c r="R144">
        <v>0</v>
      </c>
      <c r="S144" t="s">
        <v>516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492</v>
      </c>
    </row>
    <row r="145" spans="1:33" hidden="1" x14ac:dyDescent="0.2">
      <c r="A145" t="s">
        <v>493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458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494</v>
      </c>
      <c r="AD146" t="s">
        <v>495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458</v>
      </c>
    </row>
    <row r="148" spans="1:33" hidden="1" x14ac:dyDescent="0.2">
      <c r="A148">
        <v>74</v>
      </c>
      <c r="B148" t="s">
        <v>506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520</v>
      </c>
      <c r="N148">
        <v>0</v>
      </c>
      <c r="O148">
        <v>0</v>
      </c>
      <c r="Q148">
        <v>0</v>
      </c>
      <c r="R148">
        <v>0</v>
      </c>
      <c r="S148" t="s">
        <v>521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492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494</v>
      </c>
      <c r="AD149" t="s">
        <v>495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493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458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494</v>
      </c>
      <c r="AD151" t="s">
        <v>495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506</v>
      </c>
      <c r="C152">
        <v>1</v>
      </c>
      <c r="D152" t="s">
        <v>522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523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492</v>
      </c>
    </row>
    <row r="153" spans="1:33" hidden="1" x14ac:dyDescent="0.2">
      <c r="A153" t="s">
        <v>493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458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494</v>
      </c>
      <c r="AD154" t="s">
        <v>495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493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458</v>
      </c>
    </row>
    <row r="156" spans="1:33" hidden="1" x14ac:dyDescent="0.2">
      <c r="A156">
        <v>71</v>
      </c>
      <c r="B156" t="s">
        <v>506</v>
      </c>
      <c r="C156">
        <v>0</v>
      </c>
      <c r="D156" t="s">
        <v>524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492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494</v>
      </c>
      <c r="AD157" t="s">
        <v>495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493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458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494</v>
      </c>
      <c r="AD159" t="s">
        <v>495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506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526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492</v>
      </c>
    </row>
    <row r="161" spans="1:33" hidden="1" x14ac:dyDescent="0.2">
      <c r="A161" t="s">
        <v>493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458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494</v>
      </c>
      <c r="AD162" t="s">
        <v>495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493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458</v>
      </c>
    </row>
    <row r="164" spans="1:33" hidden="1" x14ac:dyDescent="0.2">
      <c r="A164">
        <v>69</v>
      </c>
      <c r="B164" t="s">
        <v>506</v>
      </c>
      <c r="C164">
        <v>0</v>
      </c>
      <c r="D164" t="s">
        <v>527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492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494</v>
      </c>
      <c r="AD165" t="s">
        <v>495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493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458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494</v>
      </c>
      <c r="AD167" t="s">
        <v>495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528</v>
      </c>
      <c r="B168" t="s">
        <v>506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529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492</v>
      </c>
    </row>
    <row r="169" spans="1:33" hidden="1" x14ac:dyDescent="0.2">
      <c r="A169" t="s">
        <v>493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458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494</v>
      </c>
      <c r="AD170" t="s">
        <v>495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493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458</v>
      </c>
    </row>
    <row r="172" spans="1:33" hidden="1" x14ac:dyDescent="0.2">
      <c r="A172" t="s">
        <v>528</v>
      </c>
      <c r="B172" t="s">
        <v>506</v>
      </c>
      <c r="C172">
        <v>0</v>
      </c>
      <c r="D172" t="s">
        <v>530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531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492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494</v>
      </c>
      <c r="AD173" t="s">
        <v>495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493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458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494</v>
      </c>
      <c r="AD175" t="s">
        <v>495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498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492</v>
      </c>
    </row>
    <row r="177" spans="1:33" hidden="1" x14ac:dyDescent="0.2">
      <c r="A177" t="s">
        <v>493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458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494</v>
      </c>
      <c r="AD178" t="s">
        <v>495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493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458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494</v>
      </c>
      <c r="AD180" t="s">
        <v>495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498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533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492</v>
      </c>
    </row>
    <row r="182" spans="1:33" hidden="1" x14ac:dyDescent="0.2">
      <c r="A182" t="s">
        <v>493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458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494</v>
      </c>
      <c r="AD183" t="s">
        <v>495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493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458</v>
      </c>
    </row>
    <row r="185" spans="1:33" x14ac:dyDescent="0.2">
      <c r="A185">
        <v>49</v>
      </c>
      <c r="B185" t="s">
        <v>498</v>
      </c>
      <c r="C185">
        <v>1</v>
      </c>
      <c r="D185" t="s">
        <v>534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492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494</v>
      </c>
      <c r="AD186" t="s">
        <v>495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493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458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494</v>
      </c>
      <c r="AD188" t="s">
        <v>495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498</v>
      </c>
      <c r="C189">
        <v>0</v>
      </c>
      <c r="D189" t="s">
        <v>536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492</v>
      </c>
    </row>
    <row r="190" spans="1:33" hidden="1" x14ac:dyDescent="0.2">
      <c r="A190" t="s">
        <v>493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458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494</v>
      </c>
      <c r="AD191" t="s">
        <v>495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493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458</v>
      </c>
    </row>
    <row r="193" spans="1:33" x14ac:dyDescent="0.2">
      <c r="A193">
        <v>44</v>
      </c>
      <c r="B193" t="s">
        <v>506</v>
      </c>
      <c r="C193">
        <v>1</v>
      </c>
      <c r="D193" t="s">
        <v>538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539</v>
      </c>
      <c r="N193">
        <v>0</v>
      </c>
      <c r="O193">
        <v>0</v>
      </c>
      <c r="Q193">
        <v>0</v>
      </c>
      <c r="R193">
        <v>0</v>
      </c>
      <c r="S193" t="s">
        <v>540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492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494</v>
      </c>
      <c r="AD194" t="s">
        <v>495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458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494</v>
      </c>
      <c r="AD196" t="s">
        <v>495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506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541</v>
      </c>
      <c r="N197">
        <v>0</v>
      </c>
      <c r="O197">
        <v>0</v>
      </c>
      <c r="Q197">
        <v>0</v>
      </c>
      <c r="R197">
        <v>0</v>
      </c>
      <c r="S197" t="s">
        <v>540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492</v>
      </c>
    </row>
    <row r="198" spans="1:33" hidden="1" x14ac:dyDescent="0.2">
      <c r="A198" t="s">
        <v>493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458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494</v>
      </c>
      <c r="AD199" t="s">
        <v>495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493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458</v>
      </c>
    </row>
    <row r="201" spans="1:33" x14ac:dyDescent="0.2">
      <c r="A201">
        <v>43</v>
      </c>
      <c r="B201" t="s">
        <v>506</v>
      </c>
      <c r="C201">
        <v>1</v>
      </c>
      <c r="D201" t="s">
        <v>536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542</v>
      </c>
      <c r="N201">
        <v>0</v>
      </c>
      <c r="O201">
        <v>0</v>
      </c>
      <c r="Q201">
        <v>0</v>
      </c>
      <c r="R201">
        <v>0</v>
      </c>
      <c r="S201" t="s">
        <v>543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492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494</v>
      </c>
      <c r="AD202" t="s">
        <v>495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493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458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494</v>
      </c>
      <c r="AD204" t="s">
        <v>495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506</v>
      </c>
      <c r="C205">
        <v>0</v>
      </c>
      <c r="D205" t="s">
        <v>544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545</v>
      </c>
      <c r="N205">
        <v>0</v>
      </c>
      <c r="O205">
        <v>0</v>
      </c>
      <c r="Q205">
        <v>0</v>
      </c>
      <c r="R205">
        <v>0</v>
      </c>
      <c r="S205" t="s">
        <v>546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492</v>
      </c>
    </row>
    <row r="206" spans="1:33" hidden="1" x14ac:dyDescent="0.2">
      <c r="A206" t="s">
        <v>493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458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494</v>
      </c>
      <c r="AD207" t="s">
        <v>495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493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458</v>
      </c>
    </row>
    <row r="209" spans="1:33" x14ac:dyDescent="0.2">
      <c r="A209">
        <v>43</v>
      </c>
      <c r="B209" t="s">
        <v>498</v>
      </c>
      <c r="C209">
        <v>1</v>
      </c>
      <c r="D209" t="s">
        <v>544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547</v>
      </c>
      <c r="N209">
        <v>0</v>
      </c>
      <c r="O209">
        <v>0</v>
      </c>
      <c r="Q209">
        <v>0</v>
      </c>
      <c r="R209">
        <v>0</v>
      </c>
      <c r="S209" t="s">
        <v>546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492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494</v>
      </c>
      <c r="AD210" t="s">
        <v>495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493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458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494</v>
      </c>
      <c r="AD212" t="s">
        <v>495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498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548</v>
      </c>
      <c r="N213">
        <v>0</v>
      </c>
      <c r="O213">
        <v>0</v>
      </c>
      <c r="Q213">
        <v>0</v>
      </c>
      <c r="R213">
        <v>0</v>
      </c>
      <c r="S213" t="s">
        <v>549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492</v>
      </c>
    </row>
    <row r="214" spans="1:33" hidden="1" x14ac:dyDescent="0.2">
      <c r="A214" t="s">
        <v>493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458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494</v>
      </c>
      <c r="AD215" t="s">
        <v>495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493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458</v>
      </c>
    </row>
    <row r="217" spans="1:33" x14ac:dyDescent="0.2">
      <c r="A217">
        <v>43</v>
      </c>
      <c r="B217" t="s">
        <v>498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550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492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494</v>
      </c>
      <c r="AD218" t="s">
        <v>495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493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458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494</v>
      </c>
      <c r="AD220" t="s">
        <v>495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498</v>
      </c>
      <c r="C221">
        <v>0</v>
      </c>
      <c r="D221" t="s">
        <v>536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551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492</v>
      </c>
    </row>
    <row r="222" spans="1:33" hidden="1" x14ac:dyDescent="0.2">
      <c r="A222" t="s">
        <v>493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458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494</v>
      </c>
      <c r="AD223" t="s">
        <v>495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493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458</v>
      </c>
    </row>
    <row r="225" spans="1:33" x14ac:dyDescent="0.2">
      <c r="A225">
        <v>43</v>
      </c>
      <c r="B225" t="s">
        <v>506</v>
      </c>
      <c r="C225">
        <v>1</v>
      </c>
      <c r="D225" t="s">
        <v>544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552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492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494</v>
      </c>
      <c r="AD226" t="s">
        <v>495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493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458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494</v>
      </c>
      <c r="AD228" t="s">
        <v>495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506</v>
      </c>
      <c r="C229">
        <v>0</v>
      </c>
      <c r="D229" t="s">
        <v>536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553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492</v>
      </c>
    </row>
    <row r="230" spans="1:33" hidden="1" x14ac:dyDescent="0.2">
      <c r="A230" t="s">
        <v>493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458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494</v>
      </c>
      <c r="AD231" t="s">
        <v>495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493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458</v>
      </c>
    </row>
    <row r="233" spans="1:33" x14ac:dyDescent="0.2">
      <c r="A233">
        <v>43</v>
      </c>
      <c r="B233" t="s">
        <v>498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553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492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494</v>
      </c>
      <c r="AD234" t="s">
        <v>495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493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458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494</v>
      </c>
      <c r="AD236" t="s">
        <v>495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498</v>
      </c>
      <c r="C237">
        <v>0</v>
      </c>
      <c r="D237" t="s">
        <v>538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554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492</v>
      </c>
    </row>
    <row r="238" spans="1:33" hidden="1" x14ac:dyDescent="0.2">
      <c r="A238" t="s">
        <v>493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458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494</v>
      </c>
      <c r="AD239" t="s">
        <v>495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493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458</v>
      </c>
    </row>
    <row r="241" spans="1:33" x14ac:dyDescent="0.2">
      <c r="A241">
        <v>43</v>
      </c>
      <c r="B241" t="s">
        <v>506</v>
      </c>
      <c r="C241">
        <v>1</v>
      </c>
      <c r="D241" t="s">
        <v>536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492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494</v>
      </c>
      <c r="AD242" t="s">
        <v>495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493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458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494</v>
      </c>
      <c r="AD244" t="s">
        <v>495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506</v>
      </c>
      <c r="C245">
        <v>0</v>
      </c>
      <c r="D245" t="s">
        <v>536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492</v>
      </c>
    </row>
    <row r="246" spans="1:33" hidden="1" x14ac:dyDescent="0.2">
      <c r="A246" t="s">
        <v>493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458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494</v>
      </c>
      <c r="AD247" t="s">
        <v>495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458</v>
      </c>
    </row>
    <row r="249" spans="1:33" x14ac:dyDescent="0.2">
      <c r="A249">
        <v>43</v>
      </c>
      <c r="B249" t="s">
        <v>506</v>
      </c>
      <c r="C249">
        <v>1</v>
      </c>
      <c r="D249" t="s">
        <v>536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492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494</v>
      </c>
      <c r="AD250" t="s">
        <v>495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493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458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494</v>
      </c>
      <c r="AD252" t="s">
        <v>495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506</v>
      </c>
      <c r="C253">
        <v>0</v>
      </c>
      <c r="D253" t="s">
        <v>538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557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492</v>
      </c>
    </row>
    <row r="254" spans="1:33" hidden="1" x14ac:dyDescent="0.2">
      <c r="A254" t="s">
        <v>493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458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494</v>
      </c>
      <c r="AD255" t="s">
        <v>495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493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458</v>
      </c>
    </row>
    <row r="257" spans="1:33" x14ac:dyDescent="0.2">
      <c r="A257">
        <v>43</v>
      </c>
      <c r="B257" t="s">
        <v>506</v>
      </c>
      <c r="C257">
        <v>1</v>
      </c>
      <c r="D257" t="s">
        <v>536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558</v>
      </c>
      <c r="N257">
        <v>0</v>
      </c>
      <c r="O257">
        <v>0</v>
      </c>
      <c r="Q257">
        <v>0</v>
      </c>
      <c r="R257">
        <v>0</v>
      </c>
      <c r="S257" t="s">
        <v>557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492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494</v>
      </c>
      <c r="AD258" t="s">
        <v>495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493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458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494</v>
      </c>
      <c r="AD260" t="s">
        <v>495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506</v>
      </c>
      <c r="C261">
        <v>0</v>
      </c>
      <c r="D261" t="s">
        <v>544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559</v>
      </c>
      <c r="N261">
        <v>0</v>
      </c>
      <c r="O261">
        <v>0</v>
      </c>
      <c r="Q261">
        <v>0</v>
      </c>
      <c r="R261">
        <v>0</v>
      </c>
      <c r="S261" t="s">
        <v>560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492</v>
      </c>
    </row>
    <row r="262" spans="1:33" hidden="1" x14ac:dyDescent="0.2">
      <c r="A262" t="s">
        <v>493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458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494</v>
      </c>
      <c r="AD263" t="s">
        <v>495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493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458</v>
      </c>
    </row>
    <row r="265" spans="1:33" x14ac:dyDescent="0.2">
      <c r="A265" s="33">
        <v>42</v>
      </c>
      <c r="B265" t="s">
        <v>561</v>
      </c>
      <c r="C265">
        <v>1</v>
      </c>
      <c r="D265" t="s">
        <v>536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562</v>
      </c>
      <c r="N265">
        <v>0</v>
      </c>
      <c r="O265">
        <v>0</v>
      </c>
      <c r="Q265">
        <v>0</v>
      </c>
      <c r="R265">
        <v>0</v>
      </c>
      <c r="S265" t="s">
        <v>563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492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494</v>
      </c>
      <c r="AD266" t="s">
        <v>495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493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458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494</v>
      </c>
      <c r="AD268" t="s">
        <v>495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561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564</v>
      </c>
      <c r="N269">
        <v>0</v>
      </c>
      <c r="O269">
        <v>0</v>
      </c>
      <c r="Q269">
        <v>0</v>
      </c>
      <c r="R269">
        <v>0</v>
      </c>
      <c r="S269" t="s">
        <v>563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492</v>
      </c>
    </row>
    <row r="270" spans="1:33" hidden="1" x14ac:dyDescent="0.2">
      <c r="A270" t="s">
        <v>493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458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494</v>
      </c>
      <c r="AD271" t="s">
        <v>495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569</v>
      </c>
      <c r="C272">
        <v>1</v>
      </c>
      <c r="D272" t="s">
        <v>570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571</v>
      </c>
      <c r="N272">
        <v>0</v>
      </c>
      <c r="O272">
        <v>0</v>
      </c>
      <c r="Q272">
        <v>0</v>
      </c>
      <c r="R272">
        <v>0</v>
      </c>
      <c r="S272" t="s">
        <v>572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459</v>
      </c>
    </row>
    <row r="273" spans="1:32" hidden="1" x14ac:dyDescent="0.2">
      <c r="A273" t="s">
        <v>573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458</v>
      </c>
    </row>
    <row r="274" spans="1:32" hidden="1" x14ac:dyDescent="0.2">
      <c r="A274" t="s">
        <v>574</v>
      </c>
      <c r="B274" t="s">
        <v>575</v>
      </c>
      <c r="C274" t="s">
        <v>576</v>
      </c>
      <c r="D274" t="s">
        <v>577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578</v>
      </c>
      <c r="AC275" t="s">
        <v>495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569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579</v>
      </c>
      <c r="N276">
        <v>0</v>
      </c>
      <c r="O276">
        <v>0</v>
      </c>
      <c r="Q276">
        <v>0</v>
      </c>
      <c r="R276">
        <v>0</v>
      </c>
      <c r="S276" t="s">
        <v>572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459</v>
      </c>
    </row>
    <row r="277" spans="1:32" hidden="1" x14ac:dyDescent="0.2">
      <c r="A277" t="s">
        <v>573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458</v>
      </c>
    </row>
    <row r="278" spans="1:32" hidden="1" x14ac:dyDescent="0.2">
      <c r="A278" t="s">
        <v>574</v>
      </c>
      <c r="B278" t="s">
        <v>580</v>
      </c>
      <c r="C278" t="s">
        <v>576</v>
      </c>
      <c r="D278" t="s">
        <v>577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578</v>
      </c>
      <c r="AC279" t="s">
        <v>495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569</v>
      </c>
      <c r="C280">
        <v>1</v>
      </c>
      <c r="D280" t="s">
        <v>581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582</v>
      </c>
      <c r="N280">
        <v>0</v>
      </c>
      <c r="O280">
        <v>0</v>
      </c>
      <c r="Q280">
        <v>0</v>
      </c>
      <c r="R280">
        <v>0</v>
      </c>
      <c r="S280" t="s">
        <v>572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459</v>
      </c>
    </row>
    <row r="281" spans="1:32" hidden="1" x14ac:dyDescent="0.2">
      <c r="A281" t="s">
        <v>573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458</v>
      </c>
    </row>
    <row r="282" spans="1:32" hidden="1" x14ac:dyDescent="0.2">
      <c r="A282" t="s">
        <v>574</v>
      </c>
      <c r="B282" t="s">
        <v>583</v>
      </c>
      <c r="C282" t="s">
        <v>576</v>
      </c>
      <c r="D282" t="s">
        <v>577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578</v>
      </c>
      <c r="AC283" t="s">
        <v>495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569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584</v>
      </c>
      <c r="N284">
        <v>0</v>
      </c>
      <c r="O284">
        <v>0</v>
      </c>
      <c r="Q284">
        <v>0</v>
      </c>
      <c r="R284">
        <v>0</v>
      </c>
      <c r="S284" t="s">
        <v>572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459</v>
      </c>
    </row>
    <row r="285" spans="1:32" hidden="1" x14ac:dyDescent="0.2">
      <c r="A285" t="s">
        <v>573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458</v>
      </c>
    </row>
    <row r="286" spans="1:32" hidden="1" x14ac:dyDescent="0.2">
      <c r="A286" t="s">
        <v>574</v>
      </c>
      <c r="B286" t="s">
        <v>585</v>
      </c>
      <c r="C286" t="s">
        <v>576</v>
      </c>
      <c r="D286" t="s">
        <v>577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578</v>
      </c>
      <c r="AC287" t="s">
        <v>495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569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586</v>
      </c>
      <c r="N288">
        <v>0</v>
      </c>
      <c r="O288">
        <v>0</v>
      </c>
      <c r="Q288">
        <v>0</v>
      </c>
      <c r="R288">
        <v>0</v>
      </c>
      <c r="S288" t="s">
        <v>572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459</v>
      </c>
    </row>
    <row r="289" spans="1:32" hidden="1" x14ac:dyDescent="0.2">
      <c r="A289" t="s">
        <v>573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458</v>
      </c>
    </row>
    <row r="290" spans="1:32" hidden="1" x14ac:dyDescent="0.2">
      <c r="A290" t="s">
        <v>574</v>
      </c>
      <c r="B290" t="s">
        <v>587</v>
      </c>
      <c r="C290" t="s">
        <v>576</v>
      </c>
      <c r="D290" t="s">
        <v>577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578</v>
      </c>
      <c r="AC291" t="s">
        <v>495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569</v>
      </c>
      <c r="C292">
        <v>0</v>
      </c>
      <c r="D292" t="s">
        <v>570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588</v>
      </c>
      <c r="N292">
        <v>0</v>
      </c>
      <c r="O292">
        <v>0</v>
      </c>
      <c r="Q292">
        <v>0</v>
      </c>
      <c r="R292">
        <v>0</v>
      </c>
      <c r="S292" t="s">
        <v>589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459</v>
      </c>
    </row>
    <row r="293" spans="1:32" hidden="1" x14ac:dyDescent="0.2">
      <c r="A293" t="s">
        <v>573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458</v>
      </c>
    </row>
    <row r="294" spans="1:32" hidden="1" x14ac:dyDescent="0.2">
      <c r="A294" t="s">
        <v>574</v>
      </c>
      <c r="B294" t="s">
        <v>575</v>
      </c>
      <c r="C294" t="s">
        <v>576</v>
      </c>
      <c r="D294" t="s">
        <v>577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578</v>
      </c>
      <c r="AC295" t="s">
        <v>495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569</v>
      </c>
      <c r="C296">
        <v>1</v>
      </c>
      <c r="D296" t="s">
        <v>590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591</v>
      </c>
      <c r="N296">
        <v>0</v>
      </c>
      <c r="O296">
        <v>0</v>
      </c>
      <c r="Q296">
        <v>0</v>
      </c>
      <c r="R296">
        <v>0</v>
      </c>
      <c r="S296" t="s">
        <v>572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459</v>
      </c>
    </row>
    <row r="297" spans="1:32" hidden="1" x14ac:dyDescent="0.2">
      <c r="A297" t="s">
        <v>573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458</v>
      </c>
    </row>
    <row r="298" spans="1:32" hidden="1" x14ac:dyDescent="0.2">
      <c r="A298" t="s">
        <v>574</v>
      </c>
      <c r="B298" t="s">
        <v>592</v>
      </c>
      <c r="C298" t="s">
        <v>576</v>
      </c>
      <c r="D298" t="s">
        <v>577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578</v>
      </c>
      <c r="AC299" t="s">
        <v>495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569</v>
      </c>
      <c r="C300">
        <v>0</v>
      </c>
      <c r="D300" t="s">
        <v>593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594</v>
      </c>
      <c r="N300">
        <v>0</v>
      </c>
      <c r="O300">
        <v>0</v>
      </c>
      <c r="Q300">
        <v>0</v>
      </c>
      <c r="R300">
        <v>0</v>
      </c>
      <c r="S300" t="s">
        <v>572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459</v>
      </c>
    </row>
    <row r="301" spans="1:32" hidden="1" x14ac:dyDescent="0.2">
      <c r="A301" t="s">
        <v>573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458</v>
      </c>
    </row>
    <row r="302" spans="1:32" hidden="1" x14ac:dyDescent="0.2">
      <c r="A302" t="s">
        <v>574</v>
      </c>
      <c r="B302" t="s">
        <v>595</v>
      </c>
      <c r="C302" t="s">
        <v>576</v>
      </c>
      <c r="D302" t="s">
        <v>577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578</v>
      </c>
      <c r="AC303" t="s">
        <v>495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569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596</v>
      </c>
      <c r="N304">
        <v>0</v>
      </c>
      <c r="O304">
        <v>0</v>
      </c>
      <c r="Q304">
        <v>0</v>
      </c>
      <c r="R304">
        <v>0</v>
      </c>
      <c r="S304" t="s">
        <v>572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459</v>
      </c>
    </row>
    <row r="305" spans="1:32" hidden="1" x14ac:dyDescent="0.2">
      <c r="A305" t="s">
        <v>573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458</v>
      </c>
    </row>
    <row r="306" spans="1:32" hidden="1" x14ac:dyDescent="0.2">
      <c r="A306" t="s">
        <v>574</v>
      </c>
      <c r="B306" t="s">
        <v>580</v>
      </c>
      <c r="C306" t="s">
        <v>576</v>
      </c>
      <c r="D306" t="s">
        <v>577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578</v>
      </c>
      <c r="AC307" t="s">
        <v>495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569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597</v>
      </c>
      <c r="N308">
        <v>0</v>
      </c>
      <c r="O308">
        <v>0</v>
      </c>
      <c r="Q308">
        <v>0</v>
      </c>
      <c r="R308">
        <v>0</v>
      </c>
      <c r="S308" t="s">
        <v>572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459</v>
      </c>
    </row>
    <row r="309" spans="1:32" hidden="1" x14ac:dyDescent="0.2">
      <c r="A309" t="s">
        <v>573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458</v>
      </c>
    </row>
    <row r="310" spans="1:32" hidden="1" x14ac:dyDescent="0.2">
      <c r="A310" t="s">
        <v>574</v>
      </c>
      <c r="B310" t="s">
        <v>598</v>
      </c>
      <c r="C310" t="s">
        <v>576</v>
      </c>
      <c r="D310" t="s">
        <v>577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578</v>
      </c>
      <c r="AC311" t="s">
        <v>495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569</v>
      </c>
      <c r="C312">
        <v>1</v>
      </c>
      <c r="D312" t="s">
        <v>599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600</v>
      </c>
      <c r="N312">
        <v>0</v>
      </c>
      <c r="O312">
        <v>0</v>
      </c>
      <c r="Q312">
        <v>0</v>
      </c>
      <c r="R312">
        <v>0</v>
      </c>
      <c r="S312" t="s">
        <v>572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459</v>
      </c>
    </row>
    <row r="313" spans="1:32" hidden="1" x14ac:dyDescent="0.2">
      <c r="A313" t="s">
        <v>573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458</v>
      </c>
    </row>
    <row r="314" spans="1:32" hidden="1" x14ac:dyDescent="0.2">
      <c r="A314" t="s">
        <v>574</v>
      </c>
      <c r="B314" t="s">
        <v>601</v>
      </c>
      <c r="C314" t="s">
        <v>576</v>
      </c>
      <c r="D314" t="s">
        <v>577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578</v>
      </c>
      <c r="AC315" t="s">
        <v>495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569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602</v>
      </c>
      <c r="N316">
        <v>0</v>
      </c>
      <c r="O316">
        <v>0</v>
      </c>
      <c r="Q316">
        <v>0</v>
      </c>
      <c r="R316">
        <v>0</v>
      </c>
      <c r="S316" t="s">
        <v>572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459</v>
      </c>
    </row>
    <row r="317" spans="1:32" hidden="1" x14ac:dyDescent="0.2">
      <c r="A317" t="s">
        <v>573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458</v>
      </c>
    </row>
    <row r="318" spans="1:32" hidden="1" x14ac:dyDescent="0.2">
      <c r="A318" t="s">
        <v>574</v>
      </c>
      <c r="B318" t="s">
        <v>603</v>
      </c>
      <c r="C318" t="s">
        <v>576</v>
      </c>
      <c r="D318" t="s">
        <v>577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578</v>
      </c>
      <c r="AC319" t="s">
        <v>495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569</v>
      </c>
      <c r="C320">
        <v>1</v>
      </c>
      <c r="D320" t="s">
        <v>593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604</v>
      </c>
      <c r="N320">
        <v>0</v>
      </c>
      <c r="O320">
        <v>0</v>
      </c>
      <c r="Q320">
        <v>0</v>
      </c>
      <c r="R320">
        <v>0</v>
      </c>
      <c r="S320" t="s">
        <v>572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459</v>
      </c>
    </row>
    <row r="321" spans="1:32" hidden="1" x14ac:dyDescent="0.2">
      <c r="A321" t="s">
        <v>573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458</v>
      </c>
    </row>
    <row r="322" spans="1:32" hidden="1" x14ac:dyDescent="0.2">
      <c r="A322" t="s">
        <v>574</v>
      </c>
      <c r="B322" t="s">
        <v>595</v>
      </c>
      <c r="C322" t="s">
        <v>576</v>
      </c>
      <c r="D322" t="s">
        <v>577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578</v>
      </c>
      <c r="AC323" t="s">
        <v>495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569</v>
      </c>
      <c r="C324">
        <v>0</v>
      </c>
      <c r="D324" t="s">
        <v>570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605</v>
      </c>
      <c r="N324">
        <v>0</v>
      </c>
      <c r="O324">
        <v>0</v>
      </c>
      <c r="Q324">
        <v>0</v>
      </c>
      <c r="R324">
        <v>0</v>
      </c>
      <c r="S324" t="s">
        <v>572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459</v>
      </c>
    </row>
    <row r="325" spans="1:32" hidden="1" x14ac:dyDescent="0.2">
      <c r="A325" t="s">
        <v>573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458</v>
      </c>
    </row>
    <row r="326" spans="1:32" hidden="1" x14ac:dyDescent="0.2">
      <c r="A326" t="s">
        <v>574</v>
      </c>
      <c r="B326" t="s">
        <v>575</v>
      </c>
      <c r="C326" t="s">
        <v>576</v>
      </c>
      <c r="D326" t="s">
        <v>577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578</v>
      </c>
      <c r="AC327" t="s">
        <v>495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569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606</v>
      </c>
      <c r="N328">
        <v>0</v>
      </c>
      <c r="O328">
        <v>0</v>
      </c>
      <c r="Q328">
        <v>0</v>
      </c>
      <c r="R328">
        <v>0</v>
      </c>
      <c r="S328" t="s">
        <v>572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459</v>
      </c>
    </row>
    <row r="329" spans="1:32" hidden="1" x14ac:dyDescent="0.2">
      <c r="A329" t="s">
        <v>573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458</v>
      </c>
    </row>
    <row r="330" spans="1:32" hidden="1" x14ac:dyDescent="0.2">
      <c r="A330" t="s">
        <v>574</v>
      </c>
      <c r="B330" t="s">
        <v>607</v>
      </c>
      <c r="C330" t="s">
        <v>576</v>
      </c>
      <c r="D330" t="s">
        <v>577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578</v>
      </c>
      <c r="AC331" t="s">
        <v>495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569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608</v>
      </c>
      <c r="N332">
        <v>0</v>
      </c>
      <c r="O332">
        <v>0</v>
      </c>
      <c r="Q332">
        <v>0</v>
      </c>
      <c r="R332">
        <v>0</v>
      </c>
      <c r="S332" t="s">
        <v>572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459</v>
      </c>
    </row>
    <row r="333" spans="1:32" hidden="1" x14ac:dyDescent="0.2">
      <c r="A333" t="s">
        <v>573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458</v>
      </c>
    </row>
    <row r="334" spans="1:32" hidden="1" x14ac:dyDescent="0.2">
      <c r="A334" t="s">
        <v>574</v>
      </c>
      <c r="B334" t="s">
        <v>607</v>
      </c>
      <c r="C334" t="s">
        <v>576</v>
      </c>
      <c r="D334" t="s">
        <v>577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578</v>
      </c>
      <c r="AC335" t="s">
        <v>495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569</v>
      </c>
      <c r="C336">
        <v>1</v>
      </c>
      <c r="D336" t="s">
        <v>609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610</v>
      </c>
      <c r="N336">
        <v>0</v>
      </c>
      <c r="O336">
        <v>0</v>
      </c>
      <c r="Q336">
        <v>0</v>
      </c>
      <c r="R336">
        <v>0</v>
      </c>
      <c r="S336" t="s">
        <v>572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459</v>
      </c>
    </row>
    <row r="337" spans="1:32" hidden="1" x14ac:dyDescent="0.2">
      <c r="A337" t="s">
        <v>573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458</v>
      </c>
    </row>
    <row r="338" spans="1:32" hidden="1" x14ac:dyDescent="0.2">
      <c r="A338" t="s">
        <v>574</v>
      </c>
      <c r="B338" t="s">
        <v>611</v>
      </c>
      <c r="C338" t="s">
        <v>576</v>
      </c>
      <c r="D338" t="s">
        <v>577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578</v>
      </c>
      <c r="AC339" t="s">
        <v>495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569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612</v>
      </c>
      <c r="N340">
        <v>0</v>
      </c>
      <c r="O340">
        <v>0</v>
      </c>
      <c r="Q340">
        <v>0</v>
      </c>
      <c r="R340">
        <v>0</v>
      </c>
      <c r="S340" t="s">
        <v>613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459</v>
      </c>
    </row>
    <row r="341" spans="1:32" hidden="1" x14ac:dyDescent="0.2">
      <c r="A341" t="s">
        <v>573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458</v>
      </c>
    </row>
    <row r="342" spans="1:32" hidden="1" x14ac:dyDescent="0.2">
      <c r="A342" t="s">
        <v>574</v>
      </c>
      <c r="B342" t="s">
        <v>607</v>
      </c>
      <c r="C342" t="s">
        <v>576</v>
      </c>
      <c r="D342" t="s">
        <v>577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578</v>
      </c>
      <c r="AC343" t="s">
        <v>495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614</v>
      </c>
      <c r="C344">
        <v>1</v>
      </c>
      <c r="D344" t="s">
        <v>615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616</v>
      </c>
      <c r="N344">
        <v>0</v>
      </c>
      <c r="O344">
        <v>0</v>
      </c>
      <c r="Q344">
        <v>0</v>
      </c>
      <c r="R344">
        <v>0</v>
      </c>
      <c r="S344" t="s">
        <v>572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459</v>
      </c>
    </row>
    <row r="345" spans="1:32" hidden="1" x14ac:dyDescent="0.2">
      <c r="A345" t="s">
        <v>573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458</v>
      </c>
    </row>
    <row r="346" spans="1:32" hidden="1" x14ac:dyDescent="0.2">
      <c r="A346" t="s">
        <v>574</v>
      </c>
      <c r="B346" t="s">
        <v>617</v>
      </c>
      <c r="C346" t="s">
        <v>576</v>
      </c>
      <c r="D346" t="s">
        <v>577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578</v>
      </c>
      <c r="AC347" t="s">
        <v>495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614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618</v>
      </c>
      <c r="N348">
        <v>0</v>
      </c>
      <c r="O348">
        <v>0</v>
      </c>
      <c r="Q348">
        <v>0</v>
      </c>
      <c r="R348">
        <v>0</v>
      </c>
      <c r="S348" t="s">
        <v>572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459</v>
      </c>
    </row>
    <row r="349" spans="1:32" hidden="1" x14ac:dyDescent="0.2">
      <c r="A349" t="s">
        <v>573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458</v>
      </c>
    </row>
    <row r="350" spans="1:32" hidden="1" x14ac:dyDescent="0.2">
      <c r="A350" t="s">
        <v>574</v>
      </c>
      <c r="B350" t="s">
        <v>587</v>
      </c>
      <c r="C350" t="s">
        <v>576</v>
      </c>
      <c r="D350" t="s">
        <v>577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578</v>
      </c>
      <c r="AC351" t="s">
        <v>495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619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620</v>
      </c>
      <c r="N352">
        <v>0</v>
      </c>
      <c r="O352">
        <v>0</v>
      </c>
      <c r="Q352">
        <v>0</v>
      </c>
      <c r="R352">
        <v>0</v>
      </c>
      <c r="S352" t="s">
        <v>572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459</v>
      </c>
    </row>
    <row r="353" spans="1:32" hidden="1" x14ac:dyDescent="0.2">
      <c r="A353" t="s">
        <v>573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458</v>
      </c>
    </row>
    <row r="354" spans="1:32" hidden="1" x14ac:dyDescent="0.2">
      <c r="A354" t="s">
        <v>574</v>
      </c>
      <c r="B354" t="s">
        <v>621</v>
      </c>
      <c r="C354" t="s">
        <v>576</v>
      </c>
      <c r="D354" t="s">
        <v>577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578</v>
      </c>
      <c r="AC355" t="s">
        <v>495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619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622</v>
      </c>
      <c r="N356">
        <v>0</v>
      </c>
      <c r="O356">
        <v>0</v>
      </c>
      <c r="Q356">
        <v>0</v>
      </c>
      <c r="R356">
        <v>0</v>
      </c>
      <c r="S356" t="s">
        <v>572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459</v>
      </c>
    </row>
    <row r="357" spans="1:32" hidden="1" x14ac:dyDescent="0.2">
      <c r="A357" t="s">
        <v>573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458</v>
      </c>
    </row>
    <row r="358" spans="1:32" hidden="1" x14ac:dyDescent="0.2">
      <c r="A358" t="s">
        <v>574</v>
      </c>
      <c r="B358" t="s">
        <v>598</v>
      </c>
      <c r="C358" t="s">
        <v>576</v>
      </c>
      <c r="D358" t="s">
        <v>577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578</v>
      </c>
      <c r="AC359" t="s">
        <v>495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619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623</v>
      </c>
      <c r="N360">
        <v>0</v>
      </c>
      <c r="O360">
        <v>0</v>
      </c>
      <c r="Q360">
        <v>0</v>
      </c>
      <c r="R360">
        <v>0</v>
      </c>
      <c r="S360" t="s">
        <v>572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459</v>
      </c>
    </row>
    <row r="361" spans="1:32" hidden="1" x14ac:dyDescent="0.2">
      <c r="A361" t="s">
        <v>573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458</v>
      </c>
    </row>
    <row r="362" spans="1:32" hidden="1" x14ac:dyDescent="0.2">
      <c r="A362" t="s">
        <v>574</v>
      </c>
      <c r="B362" t="s">
        <v>624</v>
      </c>
      <c r="C362" t="s">
        <v>576</v>
      </c>
      <c r="D362" t="s">
        <v>577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578</v>
      </c>
      <c r="AC363" t="s">
        <v>495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619</v>
      </c>
      <c r="C364">
        <v>0</v>
      </c>
      <c r="D364" t="s">
        <v>615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625</v>
      </c>
      <c r="N364">
        <v>0</v>
      </c>
      <c r="O364">
        <v>0</v>
      </c>
      <c r="Q364">
        <v>0</v>
      </c>
      <c r="R364">
        <v>0</v>
      </c>
      <c r="S364" t="s">
        <v>572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459</v>
      </c>
    </row>
    <row r="365" spans="1:32" hidden="1" x14ac:dyDescent="0.2">
      <c r="A365" t="s">
        <v>573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458</v>
      </c>
    </row>
    <row r="366" spans="1:32" hidden="1" x14ac:dyDescent="0.2">
      <c r="A366" t="s">
        <v>574</v>
      </c>
      <c r="B366" t="s">
        <v>617</v>
      </c>
      <c r="C366" t="s">
        <v>576</v>
      </c>
      <c r="D366" t="s">
        <v>577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578</v>
      </c>
      <c r="AC367" t="s">
        <v>495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569</v>
      </c>
      <c r="C368">
        <v>1</v>
      </c>
      <c r="D368" t="s">
        <v>590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626</v>
      </c>
      <c r="N368">
        <v>0</v>
      </c>
      <c r="O368">
        <v>0</v>
      </c>
      <c r="Q368">
        <v>0</v>
      </c>
      <c r="R368">
        <v>0</v>
      </c>
      <c r="S368" t="s">
        <v>572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459</v>
      </c>
    </row>
    <row r="369" spans="1:32" hidden="1" x14ac:dyDescent="0.2">
      <c r="A369" t="s">
        <v>573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458</v>
      </c>
    </row>
    <row r="370" spans="1:32" hidden="1" x14ac:dyDescent="0.2">
      <c r="A370" t="s">
        <v>574</v>
      </c>
      <c r="B370" t="s">
        <v>592</v>
      </c>
      <c r="C370" t="s">
        <v>576</v>
      </c>
      <c r="D370" t="s">
        <v>577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578</v>
      </c>
      <c r="AC371" t="s">
        <v>495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569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627</v>
      </c>
      <c r="N372">
        <v>0</v>
      </c>
      <c r="O372">
        <v>0</v>
      </c>
      <c r="Q372">
        <v>0</v>
      </c>
      <c r="R372">
        <v>0</v>
      </c>
      <c r="S372" t="s">
        <v>572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459</v>
      </c>
    </row>
    <row r="373" spans="1:32" hidden="1" x14ac:dyDescent="0.2">
      <c r="A373" t="s">
        <v>573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458</v>
      </c>
    </row>
    <row r="374" spans="1:32" hidden="1" x14ac:dyDescent="0.2">
      <c r="A374" t="s">
        <v>574</v>
      </c>
      <c r="B374" t="s">
        <v>587</v>
      </c>
      <c r="C374" t="s">
        <v>576</v>
      </c>
      <c r="D374" t="s">
        <v>577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578</v>
      </c>
      <c r="AC375" t="s">
        <v>495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569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628</v>
      </c>
      <c r="N376">
        <v>0</v>
      </c>
      <c r="O376">
        <v>0</v>
      </c>
      <c r="Q376">
        <v>0</v>
      </c>
      <c r="R376">
        <v>0</v>
      </c>
      <c r="S376" t="s">
        <v>572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459</v>
      </c>
    </row>
    <row r="377" spans="1:32" hidden="1" x14ac:dyDescent="0.2">
      <c r="A377" t="s">
        <v>573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458</v>
      </c>
    </row>
    <row r="378" spans="1:32" hidden="1" x14ac:dyDescent="0.2">
      <c r="A378" t="s">
        <v>574</v>
      </c>
      <c r="B378" t="s">
        <v>587</v>
      </c>
      <c r="C378" t="s">
        <v>576</v>
      </c>
      <c r="D378" t="s">
        <v>577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578</v>
      </c>
      <c r="AC379" t="s">
        <v>495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569</v>
      </c>
      <c r="C380">
        <v>0</v>
      </c>
      <c r="D380" t="s">
        <v>581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629</v>
      </c>
      <c r="N380">
        <v>0</v>
      </c>
      <c r="O380">
        <v>0</v>
      </c>
      <c r="Q380">
        <v>0</v>
      </c>
      <c r="R380">
        <v>0</v>
      </c>
      <c r="S380" t="s">
        <v>572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459</v>
      </c>
    </row>
    <row r="381" spans="1:32" hidden="1" x14ac:dyDescent="0.2">
      <c r="A381" t="s">
        <v>573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458</v>
      </c>
    </row>
    <row r="382" spans="1:32" hidden="1" x14ac:dyDescent="0.2">
      <c r="A382" t="s">
        <v>574</v>
      </c>
      <c r="B382" t="s">
        <v>583</v>
      </c>
      <c r="C382" t="s">
        <v>576</v>
      </c>
      <c r="D382" t="s">
        <v>577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578</v>
      </c>
      <c r="AC383" t="s">
        <v>495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458</v>
      </c>
    </row>
    <row r="385" spans="1:32" x14ac:dyDescent="0.2">
      <c r="A385">
        <v>14</v>
      </c>
      <c r="B385" t="s">
        <v>569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630</v>
      </c>
      <c r="N385">
        <v>0</v>
      </c>
      <c r="O385">
        <v>0</v>
      </c>
      <c r="Q385">
        <v>0</v>
      </c>
      <c r="R385">
        <v>0</v>
      </c>
      <c r="S385" t="s">
        <v>613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459</v>
      </c>
    </row>
    <row r="386" spans="1:32" hidden="1" x14ac:dyDescent="0.2">
      <c r="A386" t="s">
        <v>574</v>
      </c>
      <c r="B386" t="s">
        <v>631</v>
      </c>
      <c r="C386" t="s">
        <v>576</v>
      </c>
      <c r="D386" t="s">
        <v>577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578</v>
      </c>
      <c r="AC387" t="s">
        <v>495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573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458</v>
      </c>
    </row>
    <row r="389" spans="1:32" hidden="1" x14ac:dyDescent="0.2">
      <c r="A389">
        <v>14</v>
      </c>
      <c r="B389" t="s">
        <v>569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632</v>
      </c>
      <c r="N389">
        <v>0</v>
      </c>
      <c r="O389">
        <v>0</v>
      </c>
      <c r="Q389">
        <v>0</v>
      </c>
      <c r="R389">
        <v>0</v>
      </c>
      <c r="S389" t="s">
        <v>613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459</v>
      </c>
    </row>
    <row r="390" spans="1:32" hidden="1" x14ac:dyDescent="0.2">
      <c r="A390" t="s">
        <v>574</v>
      </c>
      <c r="B390" t="s">
        <v>587</v>
      </c>
      <c r="C390" t="s">
        <v>576</v>
      </c>
      <c r="D390" t="s">
        <v>577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578</v>
      </c>
      <c r="AC391" t="s">
        <v>495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573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458</v>
      </c>
    </row>
    <row r="393" spans="1:32" x14ac:dyDescent="0.2">
      <c r="A393">
        <v>14</v>
      </c>
      <c r="B393" t="s">
        <v>569</v>
      </c>
      <c r="C393">
        <v>1</v>
      </c>
      <c r="D393" t="s">
        <v>615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633</v>
      </c>
      <c r="N393">
        <v>0</v>
      </c>
      <c r="O393">
        <v>0</v>
      </c>
      <c r="Q393">
        <v>0</v>
      </c>
      <c r="R393">
        <v>0</v>
      </c>
      <c r="S393" t="s">
        <v>572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459</v>
      </c>
    </row>
    <row r="394" spans="1:32" hidden="1" x14ac:dyDescent="0.2">
      <c r="A394" t="s">
        <v>574</v>
      </c>
      <c r="B394" t="s">
        <v>617</v>
      </c>
      <c r="C394" t="s">
        <v>576</v>
      </c>
      <c r="D394" t="s">
        <v>577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578</v>
      </c>
      <c r="AC395" t="s">
        <v>495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573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458</v>
      </c>
    </row>
    <row r="397" spans="1:32" hidden="1" x14ac:dyDescent="0.2">
      <c r="A397">
        <v>14</v>
      </c>
      <c r="B397" t="s">
        <v>569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634</v>
      </c>
      <c r="N397">
        <v>0</v>
      </c>
      <c r="O397">
        <v>0</v>
      </c>
      <c r="Q397">
        <v>0</v>
      </c>
      <c r="R397">
        <v>0</v>
      </c>
      <c r="S397" t="s">
        <v>613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459</v>
      </c>
    </row>
    <row r="398" spans="1:32" hidden="1" x14ac:dyDescent="0.2">
      <c r="A398" t="s">
        <v>574</v>
      </c>
      <c r="B398" t="s">
        <v>603</v>
      </c>
      <c r="C398" t="s">
        <v>576</v>
      </c>
      <c r="D398" t="s">
        <v>577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578</v>
      </c>
      <c r="AC399" t="s">
        <v>495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573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458</v>
      </c>
    </row>
    <row r="401" spans="1:32" hidden="1" x14ac:dyDescent="0.2">
      <c r="A401" t="s">
        <v>574</v>
      </c>
      <c r="B401" t="s">
        <v>603</v>
      </c>
      <c r="C401" t="s">
        <v>576</v>
      </c>
      <c r="D401" t="s">
        <v>577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578</v>
      </c>
      <c r="AC402" t="s">
        <v>495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569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635</v>
      </c>
      <c r="N403">
        <v>0</v>
      </c>
      <c r="O403">
        <v>0</v>
      </c>
      <c r="Q403">
        <v>0</v>
      </c>
      <c r="R403">
        <v>0</v>
      </c>
      <c r="S403" t="s">
        <v>613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459</v>
      </c>
    </row>
    <row r="404" spans="1:32" hidden="1" x14ac:dyDescent="0.2">
      <c r="A404" t="s">
        <v>573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458</v>
      </c>
    </row>
    <row r="405" spans="1:32" hidden="1" x14ac:dyDescent="0.2">
      <c r="A405">
        <v>14</v>
      </c>
      <c r="B405" t="s">
        <v>569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636</v>
      </c>
      <c r="N405">
        <v>0</v>
      </c>
      <c r="O405">
        <v>0</v>
      </c>
      <c r="Q405">
        <v>0</v>
      </c>
      <c r="R405">
        <v>0</v>
      </c>
      <c r="S405" t="s">
        <v>572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459</v>
      </c>
    </row>
    <row r="406" spans="1:32" hidden="1" x14ac:dyDescent="0.2">
      <c r="A406" t="s">
        <v>574</v>
      </c>
      <c r="B406" t="s">
        <v>621</v>
      </c>
      <c r="C406" t="s">
        <v>576</v>
      </c>
      <c r="D406" t="s">
        <v>577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578</v>
      </c>
      <c r="AC407" t="s">
        <v>495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573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458</v>
      </c>
    </row>
    <row r="409" spans="1:32" hidden="1" x14ac:dyDescent="0.2">
      <c r="A409" t="s">
        <v>574</v>
      </c>
      <c r="B409" t="s">
        <v>621</v>
      </c>
      <c r="C409" t="s">
        <v>576</v>
      </c>
      <c r="D409" t="s">
        <v>577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578</v>
      </c>
      <c r="AC410" t="s">
        <v>495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569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572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459</v>
      </c>
    </row>
    <row r="412" spans="1:32" hidden="1" x14ac:dyDescent="0.2">
      <c r="A412" t="s">
        <v>573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458</v>
      </c>
    </row>
    <row r="413" spans="1:32" hidden="1" x14ac:dyDescent="0.2">
      <c r="A413" t="s">
        <v>574</v>
      </c>
      <c r="B413" t="s">
        <v>598</v>
      </c>
      <c r="C413" t="s">
        <v>576</v>
      </c>
      <c r="D413" t="s">
        <v>577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578</v>
      </c>
      <c r="AC414" t="s">
        <v>495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569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572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459</v>
      </c>
    </row>
    <row r="416" spans="1:32" hidden="1" x14ac:dyDescent="0.2">
      <c r="A416" t="s">
        <v>573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458</v>
      </c>
    </row>
    <row r="417" spans="1:32" hidden="1" x14ac:dyDescent="0.2">
      <c r="A417" t="s">
        <v>574</v>
      </c>
      <c r="B417" t="s">
        <v>621</v>
      </c>
      <c r="C417" t="s">
        <v>576</v>
      </c>
      <c r="D417" t="s">
        <v>577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578</v>
      </c>
      <c r="AC418" t="s">
        <v>495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569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613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459</v>
      </c>
    </row>
    <row r="420" spans="1:32" hidden="1" x14ac:dyDescent="0.2">
      <c r="A420" t="s">
        <v>573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458</v>
      </c>
    </row>
    <row r="421" spans="1:32" hidden="1" x14ac:dyDescent="0.2">
      <c r="A421" t="s">
        <v>574</v>
      </c>
      <c r="B421" t="s">
        <v>607</v>
      </c>
      <c r="C421" t="s">
        <v>576</v>
      </c>
      <c r="D421" t="s">
        <v>577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578</v>
      </c>
      <c r="AC422" t="s">
        <v>495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569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572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459</v>
      </c>
    </row>
    <row r="424" spans="1:32" hidden="1" x14ac:dyDescent="0.2">
      <c r="A424" t="s">
        <v>573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458</v>
      </c>
    </row>
    <row r="425" spans="1:32" hidden="1" x14ac:dyDescent="0.2">
      <c r="A425" t="s">
        <v>574</v>
      </c>
      <c r="B425" t="s">
        <v>624</v>
      </c>
      <c r="C425" t="s">
        <v>576</v>
      </c>
      <c r="D425" t="s">
        <v>577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578</v>
      </c>
      <c r="AC426" t="s">
        <v>495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569</v>
      </c>
      <c r="C427">
        <v>1</v>
      </c>
      <c r="D427" t="s">
        <v>637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572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459</v>
      </c>
    </row>
    <row r="428" spans="1:32" hidden="1" x14ac:dyDescent="0.2">
      <c r="A428" t="s">
        <v>573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458</v>
      </c>
    </row>
    <row r="429" spans="1:32" hidden="1" x14ac:dyDescent="0.2">
      <c r="A429" t="s">
        <v>574</v>
      </c>
      <c r="B429" t="s">
        <v>638</v>
      </c>
      <c r="C429" t="s">
        <v>576</v>
      </c>
      <c r="D429" t="s">
        <v>577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578</v>
      </c>
      <c r="AC430" t="s">
        <v>495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569</v>
      </c>
      <c r="C431">
        <v>0</v>
      </c>
      <c r="D431" t="s">
        <v>590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613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459</v>
      </c>
    </row>
    <row r="432" spans="1:32" hidden="1" x14ac:dyDescent="0.2">
      <c r="A432" t="s">
        <v>573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458</v>
      </c>
    </row>
    <row r="433" spans="1:32" hidden="1" x14ac:dyDescent="0.2">
      <c r="A433" t="s">
        <v>574</v>
      </c>
      <c r="B433" t="s">
        <v>592</v>
      </c>
      <c r="C433" t="s">
        <v>576</v>
      </c>
      <c r="D433" t="s">
        <v>577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578</v>
      </c>
      <c r="AC434" t="s">
        <v>495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569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572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459</v>
      </c>
    </row>
    <row r="436" spans="1:32" hidden="1" x14ac:dyDescent="0.2">
      <c r="A436" t="s">
        <v>573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458</v>
      </c>
    </row>
    <row r="437" spans="1:32" hidden="1" x14ac:dyDescent="0.2">
      <c r="A437" t="s">
        <v>574</v>
      </c>
      <c r="B437" t="s">
        <v>603</v>
      </c>
      <c r="C437" t="s">
        <v>576</v>
      </c>
      <c r="D437" t="s">
        <v>577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578</v>
      </c>
      <c r="AC438" t="s">
        <v>495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569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572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459</v>
      </c>
    </row>
    <row r="440" spans="1:32" hidden="1" x14ac:dyDescent="0.2">
      <c r="A440" t="s">
        <v>573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458</v>
      </c>
    </row>
    <row r="441" spans="1:32" hidden="1" x14ac:dyDescent="0.2">
      <c r="A441" t="s">
        <v>574</v>
      </c>
      <c r="B441" t="s">
        <v>607</v>
      </c>
      <c r="C441" t="s">
        <v>576</v>
      </c>
      <c r="D441" t="s">
        <v>577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578</v>
      </c>
      <c r="AC442" t="s">
        <v>495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569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572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459</v>
      </c>
    </row>
    <row r="444" spans="1:32" hidden="1" x14ac:dyDescent="0.2">
      <c r="A444" t="s">
        <v>573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458</v>
      </c>
    </row>
    <row r="445" spans="1:32" hidden="1" x14ac:dyDescent="0.2">
      <c r="A445" t="s">
        <v>574</v>
      </c>
      <c r="B445" t="s">
        <v>580</v>
      </c>
      <c r="C445" t="s">
        <v>576</v>
      </c>
      <c r="D445" t="s">
        <v>577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578</v>
      </c>
      <c r="AC446" t="s">
        <v>495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569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572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459</v>
      </c>
    </row>
    <row r="448" spans="1:32" hidden="1" x14ac:dyDescent="0.2">
      <c r="A448" t="s">
        <v>573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458</v>
      </c>
    </row>
    <row r="449" spans="1:32" hidden="1" x14ac:dyDescent="0.2">
      <c r="A449" t="s">
        <v>574</v>
      </c>
      <c r="B449" t="s">
        <v>598</v>
      </c>
      <c r="C449" t="s">
        <v>576</v>
      </c>
      <c r="D449" t="s">
        <v>577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578</v>
      </c>
      <c r="AC450" t="s">
        <v>495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639</v>
      </c>
      <c r="C451">
        <v>1</v>
      </c>
      <c r="D451" t="s">
        <v>590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640</v>
      </c>
      <c r="N451">
        <v>0</v>
      </c>
      <c r="O451">
        <v>0</v>
      </c>
      <c r="Q451">
        <v>0</v>
      </c>
      <c r="R451">
        <v>0</v>
      </c>
      <c r="S451" t="s">
        <v>572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459</v>
      </c>
    </row>
    <row r="452" spans="1:32" hidden="1" x14ac:dyDescent="0.2">
      <c r="A452" t="s">
        <v>573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458</v>
      </c>
    </row>
    <row r="453" spans="1:32" hidden="1" x14ac:dyDescent="0.2">
      <c r="A453" t="s">
        <v>574</v>
      </c>
      <c r="B453" t="s">
        <v>592</v>
      </c>
      <c r="C453" t="s">
        <v>576</v>
      </c>
      <c r="D453" t="s">
        <v>577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578</v>
      </c>
      <c r="AC454" t="s">
        <v>495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639</v>
      </c>
      <c r="C455">
        <v>0</v>
      </c>
      <c r="D455" t="s">
        <v>641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642</v>
      </c>
      <c r="N455">
        <v>0</v>
      </c>
      <c r="O455">
        <v>0</v>
      </c>
      <c r="Q455">
        <v>0</v>
      </c>
      <c r="R455">
        <v>0</v>
      </c>
      <c r="S455" t="s">
        <v>572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459</v>
      </c>
    </row>
    <row r="456" spans="1:32" hidden="1" x14ac:dyDescent="0.2">
      <c r="A456" t="s">
        <v>573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458</v>
      </c>
    </row>
    <row r="457" spans="1:32" hidden="1" x14ac:dyDescent="0.2">
      <c r="A457" t="s">
        <v>574</v>
      </c>
      <c r="B457" t="s">
        <v>643</v>
      </c>
      <c r="C457" t="s">
        <v>576</v>
      </c>
      <c r="D457" t="s">
        <v>577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578</v>
      </c>
      <c r="AC458" t="s">
        <v>495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619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644</v>
      </c>
      <c r="N459">
        <v>0</v>
      </c>
      <c r="O459">
        <v>0</v>
      </c>
      <c r="Q459">
        <v>0</v>
      </c>
      <c r="R459">
        <v>0</v>
      </c>
      <c r="S459" t="s">
        <v>572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459</v>
      </c>
    </row>
    <row r="460" spans="1:32" hidden="1" x14ac:dyDescent="0.2">
      <c r="A460" t="s">
        <v>573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458</v>
      </c>
    </row>
    <row r="461" spans="1:32" hidden="1" x14ac:dyDescent="0.2">
      <c r="A461" t="s">
        <v>574</v>
      </c>
      <c r="B461" t="s">
        <v>587</v>
      </c>
      <c r="C461" t="s">
        <v>576</v>
      </c>
      <c r="D461" t="s">
        <v>577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578</v>
      </c>
      <c r="AC462" t="s">
        <v>495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619</v>
      </c>
      <c r="C463">
        <v>0</v>
      </c>
      <c r="D463" t="s">
        <v>590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645</v>
      </c>
      <c r="N463">
        <v>0</v>
      </c>
      <c r="O463">
        <v>0</v>
      </c>
      <c r="Q463">
        <v>0</v>
      </c>
      <c r="R463">
        <v>0</v>
      </c>
      <c r="S463" t="s">
        <v>572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459</v>
      </c>
    </row>
    <row r="464" spans="1:32" hidden="1" x14ac:dyDescent="0.2">
      <c r="A464" t="s">
        <v>573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458</v>
      </c>
    </row>
    <row r="465" spans="1:32" hidden="1" x14ac:dyDescent="0.2">
      <c r="A465" t="s">
        <v>574</v>
      </c>
      <c r="B465" t="s">
        <v>592</v>
      </c>
      <c r="C465" t="s">
        <v>576</v>
      </c>
      <c r="D465" t="s">
        <v>577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578</v>
      </c>
      <c r="AC466" t="s">
        <v>495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569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646</v>
      </c>
      <c r="N467">
        <v>0</v>
      </c>
      <c r="O467">
        <v>0</v>
      </c>
      <c r="Q467">
        <v>0</v>
      </c>
      <c r="R467">
        <v>0</v>
      </c>
      <c r="S467" t="s">
        <v>572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459</v>
      </c>
    </row>
    <row r="468" spans="1:32" hidden="1" x14ac:dyDescent="0.2">
      <c r="A468" t="s">
        <v>573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458</v>
      </c>
    </row>
    <row r="469" spans="1:32" hidden="1" x14ac:dyDescent="0.2">
      <c r="A469" t="s">
        <v>574</v>
      </c>
      <c r="B469" t="s">
        <v>631</v>
      </c>
      <c r="C469" t="s">
        <v>576</v>
      </c>
      <c r="D469" t="s">
        <v>577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578</v>
      </c>
      <c r="AC470" t="s">
        <v>495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569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647</v>
      </c>
      <c r="N471">
        <v>0</v>
      </c>
      <c r="O471">
        <v>0</v>
      </c>
      <c r="Q471">
        <v>0</v>
      </c>
      <c r="R471">
        <v>0</v>
      </c>
      <c r="S471" t="s">
        <v>613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459</v>
      </c>
    </row>
    <row r="472" spans="1:32" hidden="1" x14ac:dyDescent="0.2">
      <c r="A472" t="s">
        <v>573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458</v>
      </c>
    </row>
    <row r="473" spans="1:32" hidden="1" x14ac:dyDescent="0.2">
      <c r="A473" t="s">
        <v>574</v>
      </c>
      <c r="B473" t="s">
        <v>621</v>
      </c>
      <c r="C473" t="s">
        <v>576</v>
      </c>
      <c r="D473" t="s">
        <v>577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578</v>
      </c>
      <c r="AC474" t="s">
        <v>495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569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648</v>
      </c>
      <c r="N475">
        <v>0</v>
      </c>
      <c r="O475">
        <v>0</v>
      </c>
      <c r="Q475">
        <v>0</v>
      </c>
      <c r="R475">
        <v>0</v>
      </c>
      <c r="S475" t="s">
        <v>613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459</v>
      </c>
    </row>
    <row r="476" spans="1:32" hidden="1" x14ac:dyDescent="0.2">
      <c r="A476" t="s">
        <v>573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458</v>
      </c>
    </row>
    <row r="477" spans="1:32" hidden="1" x14ac:dyDescent="0.2">
      <c r="A477" t="s">
        <v>574</v>
      </c>
      <c r="B477" t="s">
        <v>585</v>
      </c>
      <c r="C477" t="s">
        <v>576</v>
      </c>
      <c r="D477" t="s">
        <v>577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578</v>
      </c>
      <c r="AC478" t="s">
        <v>495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569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649</v>
      </c>
      <c r="N479">
        <v>0</v>
      </c>
      <c r="O479">
        <v>0</v>
      </c>
      <c r="Q479">
        <v>0</v>
      </c>
      <c r="R479">
        <v>0</v>
      </c>
      <c r="S479" t="s">
        <v>613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459</v>
      </c>
    </row>
    <row r="480" spans="1:32" hidden="1" x14ac:dyDescent="0.2">
      <c r="A480" t="s">
        <v>573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458</v>
      </c>
    </row>
    <row r="481" spans="1:32" hidden="1" x14ac:dyDescent="0.2">
      <c r="A481" t="s">
        <v>574</v>
      </c>
      <c r="B481" t="s">
        <v>631</v>
      </c>
      <c r="C481" t="s">
        <v>576</v>
      </c>
      <c r="D481" t="s">
        <v>577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578</v>
      </c>
      <c r="AC482" t="s">
        <v>495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619</v>
      </c>
      <c r="C483">
        <v>1</v>
      </c>
      <c r="D483" t="s">
        <v>593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650</v>
      </c>
      <c r="N483">
        <v>0</v>
      </c>
      <c r="O483">
        <v>0</v>
      </c>
      <c r="Q483">
        <v>0</v>
      </c>
      <c r="R483">
        <v>0</v>
      </c>
      <c r="S483" t="s">
        <v>613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459</v>
      </c>
    </row>
    <row r="484" spans="1:32" hidden="1" x14ac:dyDescent="0.2">
      <c r="A484" t="s">
        <v>573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458</v>
      </c>
    </row>
    <row r="485" spans="1:32" hidden="1" x14ac:dyDescent="0.2">
      <c r="A485" t="s">
        <v>574</v>
      </c>
      <c r="B485" t="s">
        <v>595</v>
      </c>
      <c r="C485" t="s">
        <v>576</v>
      </c>
      <c r="D485" t="s">
        <v>577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578</v>
      </c>
      <c r="AC486" t="s">
        <v>495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619</v>
      </c>
      <c r="C487">
        <v>0</v>
      </c>
      <c r="D487" t="s">
        <v>570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651</v>
      </c>
      <c r="N487">
        <v>0</v>
      </c>
      <c r="O487">
        <v>0</v>
      </c>
      <c r="Q487">
        <v>0</v>
      </c>
      <c r="R487">
        <v>0</v>
      </c>
      <c r="S487" t="s">
        <v>613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459</v>
      </c>
    </row>
    <row r="488" spans="1:32" hidden="1" x14ac:dyDescent="0.2">
      <c r="A488" t="s">
        <v>573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458</v>
      </c>
    </row>
    <row r="489" spans="1:32" hidden="1" x14ac:dyDescent="0.2">
      <c r="A489" t="s">
        <v>574</v>
      </c>
      <c r="B489" t="s">
        <v>575</v>
      </c>
      <c r="C489" t="s">
        <v>576</v>
      </c>
      <c r="D489" t="s">
        <v>577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578</v>
      </c>
      <c r="AC490" t="s">
        <v>495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569</v>
      </c>
      <c r="C491">
        <v>1</v>
      </c>
      <c r="D491" t="s">
        <v>570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652</v>
      </c>
      <c r="N491">
        <v>0</v>
      </c>
      <c r="O491">
        <v>0</v>
      </c>
      <c r="Q491">
        <v>0</v>
      </c>
      <c r="R491">
        <v>0</v>
      </c>
      <c r="S491" t="s">
        <v>613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459</v>
      </c>
    </row>
    <row r="492" spans="1:32" hidden="1" x14ac:dyDescent="0.2">
      <c r="A492" t="s">
        <v>573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458</v>
      </c>
    </row>
    <row r="493" spans="1:32" hidden="1" x14ac:dyDescent="0.2">
      <c r="A493" t="s">
        <v>574</v>
      </c>
      <c r="B493" t="s">
        <v>575</v>
      </c>
      <c r="C493" t="s">
        <v>576</v>
      </c>
      <c r="D493" t="s">
        <v>577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578</v>
      </c>
      <c r="AC494" t="s">
        <v>495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569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653</v>
      </c>
      <c r="N495">
        <v>0</v>
      </c>
      <c r="O495">
        <v>0</v>
      </c>
      <c r="Q495">
        <v>0</v>
      </c>
      <c r="R495">
        <v>0</v>
      </c>
      <c r="S495" t="s">
        <v>613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459</v>
      </c>
    </row>
    <row r="496" spans="1:32" hidden="1" x14ac:dyDescent="0.2">
      <c r="A496" t="s">
        <v>573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458</v>
      </c>
    </row>
    <row r="497" spans="1:32" hidden="1" x14ac:dyDescent="0.2">
      <c r="A497" t="s">
        <v>574</v>
      </c>
      <c r="B497" t="s">
        <v>587</v>
      </c>
      <c r="C497" t="s">
        <v>576</v>
      </c>
      <c r="D497" t="s">
        <v>577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578</v>
      </c>
      <c r="AC498" t="s">
        <v>495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569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654</v>
      </c>
      <c r="N499">
        <v>0</v>
      </c>
      <c r="O499">
        <v>0</v>
      </c>
      <c r="Q499">
        <v>0</v>
      </c>
      <c r="R499">
        <v>0</v>
      </c>
      <c r="S499" t="s">
        <v>613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459</v>
      </c>
    </row>
    <row r="500" spans="1:32" hidden="1" x14ac:dyDescent="0.2">
      <c r="A500" t="s">
        <v>573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458</v>
      </c>
    </row>
    <row r="501" spans="1:32" hidden="1" x14ac:dyDescent="0.2">
      <c r="A501" t="s">
        <v>574</v>
      </c>
      <c r="B501" t="s">
        <v>624</v>
      </c>
      <c r="C501" t="s">
        <v>576</v>
      </c>
      <c r="D501" t="s">
        <v>577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578</v>
      </c>
      <c r="AC502" t="s">
        <v>495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569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655</v>
      </c>
      <c r="N503">
        <v>0</v>
      </c>
      <c r="O503">
        <v>0</v>
      </c>
      <c r="Q503">
        <v>0</v>
      </c>
      <c r="R503">
        <v>0</v>
      </c>
      <c r="S503" t="s">
        <v>613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459</v>
      </c>
    </row>
    <row r="504" spans="1:32" hidden="1" x14ac:dyDescent="0.2">
      <c r="A504" t="s">
        <v>573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458</v>
      </c>
    </row>
    <row r="505" spans="1:32" hidden="1" x14ac:dyDescent="0.2">
      <c r="A505" t="s">
        <v>574</v>
      </c>
      <c r="B505" t="s">
        <v>621</v>
      </c>
      <c r="C505" t="s">
        <v>576</v>
      </c>
      <c r="D505" t="s">
        <v>577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578</v>
      </c>
      <c r="AC506" t="s">
        <v>495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569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656</v>
      </c>
      <c r="N507">
        <v>0</v>
      </c>
      <c r="O507">
        <v>0</v>
      </c>
      <c r="Q507">
        <v>0</v>
      </c>
      <c r="R507">
        <v>0</v>
      </c>
      <c r="S507" t="s">
        <v>613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459</v>
      </c>
    </row>
    <row r="508" spans="1:32" hidden="1" x14ac:dyDescent="0.2">
      <c r="A508" t="s">
        <v>573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458</v>
      </c>
    </row>
    <row r="509" spans="1:32" hidden="1" x14ac:dyDescent="0.2">
      <c r="A509" t="s">
        <v>574</v>
      </c>
      <c r="B509" t="s">
        <v>598</v>
      </c>
      <c r="C509" t="s">
        <v>576</v>
      </c>
      <c r="D509" t="s">
        <v>577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578</v>
      </c>
      <c r="AC510" t="s">
        <v>495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569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657</v>
      </c>
      <c r="N511">
        <v>0</v>
      </c>
      <c r="O511">
        <v>0</v>
      </c>
      <c r="Q511">
        <v>0</v>
      </c>
      <c r="R511">
        <v>0</v>
      </c>
      <c r="S511" t="s">
        <v>613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459</v>
      </c>
    </row>
    <row r="512" spans="1:32" hidden="1" x14ac:dyDescent="0.2">
      <c r="A512" t="s">
        <v>573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458</v>
      </c>
    </row>
    <row r="513" spans="1:32" hidden="1" x14ac:dyDescent="0.2">
      <c r="A513" t="s">
        <v>574</v>
      </c>
      <c r="B513" t="s">
        <v>624</v>
      </c>
      <c r="C513" t="s">
        <v>576</v>
      </c>
      <c r="D513" t="s">
        <v>577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578</v>
      </c>
      <c r="AC514" t="s">
        <v>495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569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658</v>
      </c>
      <c r="N515">
        <v>0</v>
      </c>
      <c r="O515">
        <v>0</v>
      </c>
      <c r="Q515">
        <v>0</v>
      </c>
      <c r="R515">
        <v>0</v>
      </c>
      <c r="S515" t="s">
        <v>613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459</v>
      </c>
    </row>
    <row r="516" spans="1:32" hidden="1" x14ac:dyDescent="0.2">
      <c r="A516" t="s">
        <v>573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458</v>
      </c>
    </row>
    <row r="517" spans="1:32" hidden="1" x14ac:dyDescent="0.2">
      <c r="A517" t="s">
        <v>574</v>
      </c>
      <c r="B517" t="s">
        <v>587</v>
      </c>
      <c r="C517" t="s">
        <v>576</v>
      </c>
      <c r="D517" t="s">
        <v>577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578</v>
      </c>
      <c r="AC518" t="s">
        <v>495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569</v>
      </c>
      <c r="C519">
        <v>0</v>
      </c>
      <c r="D519" t="s">
        <v>641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659</v>
      </c>
      <c r="N519">
        <v>0</v>
      </c>
      <c r="O519">
        <v>0</v>
      </c>
      <c r="Q519">
        <v>0</v>
      </c>
      <c r="R519">
        <v>0</v>
      </c>
      <c r="S519" t="s">
        <v>572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459</v>
      </c>
    </row>
    <row r="520" spans="1:32" hidden="1" x14ac:dyDescent="0.2">
      <c r="A520" t="s">
        <v>573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458</v>
      </c>
    </row>
    <row r="521" spans="1:32" hidden="1" x14ac:dyDescent="0.2">
      <c r="A521" t="s">
        <v>574</v>
      </c>
      <c r="B521" t="s">
        <v>643</v>
      </c>
      <c r="C521" t="s">
        <v>576</v>
      </c>
      <c r="D521" t="s">
        <v>577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578</v>
      </c>
      <c r="AC522" t="s">
        <v>495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569</v>
      </c>
      <c r="C523">
        <v>1</v>
      </c>
      <c r="D523" t="s">
        <v>590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660</v>
      </c>
      <c r="N523">
        <v>0</v>
      </c>
      <c r="O523">
        <v>0</v>
      </c>
      <c r="Q523">
        <v>0</v>
      </c>
      <c r="R523">
        <v>0</v>
      </c>
      <c r="S523" t="s">
        <v>613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459</v>
      </c>
    </row>
    <row r="524" spans="1:32" hidden="1" x14ac:dyDescent="0.2">
      <c r="A524" t="s">
        <v>573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458</v>
      </c>
    </row>
    <row r="525" spans="1:32" hidden="1" x14ac:dyDescent="0.2">
      <c r="A525" t="s">
        <v>574</v>
      </c>
      <c r="B525" t="s">
        <v>592</v>
      </c>
      <c r="C525" t="s">
        <v>576</v>
      </c>
      <c r="D525" t="s">
        <v>577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578</v>
      </c>
      <c r="AC526" t="s">
        <v>495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569</v>
      </c>
      <c r="C527">
        <v>0</v>
      </c>
      <c r="D527" t="s">
        <v>593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661</v>
      </c>
      <c r="N527">
        <v>0</v>
      </c>
      <c r="O527">
        <v>0</v>
      </c>
      <c r="Q527">
        <v>0</v>
      </c>
      <c r="R527">
        <v>0</v>
      </c>
      <c r="S527" t="s">
        <v>613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459</v>
      </c>
    </row>
    <row r="528" spans="1:32" hidden="1" x14ac:dyDescent="0.2">
      <c r="A528" t="s">
        <v>573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458</v>
      </c>
    </row>
    <row r="529" spans="1:32" hidden="1" x14ac:dyDescent="0.2">
      <c r="A529" t="s">
        <v>574</v>
      </c>
      <c r="B529" t="s">
        <v>595</v>
      </c>
      <c r="C529" t="s">
        <v>576</v>
      </c>
      <c r="D529" t="s">
        <v>577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578</v>
      </c>
      <c r="AC530" t="s">
        <v>495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569</v>
      </c>
      <c r="C531">
        <v>1</v>
      </c>
      <c r="D531" t="s">
        <v>570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662</v>
      </c>
      <c r="N531">
        <v>0</v>
      </c>
      <c r="O531">
        <v>0</v>
      </c>
      <c r="Q531">
        <v>0</v>
      </c>
      <c r="R531">
        <v>0</v>
      </c>
      <c r="S531" t="s">
        <v>613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459</v>
      </c>
    </row>
    <row r="532" spans="1:32" hidden="1" x14ac:dyDescent="0.2">
      <c r="A532" t="s">
        <v>573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458</v>
      </c>
    </row>
    <row r="533" spans="1:32" hidden="1" x14ac:dyDescent="0.2">
      <c r="A533" t="s">
        <v>574</v>
      </c>
      <c r="B533" t="s">
        <v>575</v>
      </c>
      <c r="C533" t="s">
        <v>576</v>
      </c>
      <c r="D533" t="s">
        <v>577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578</v>
      </c>
      <c r="AC534" t="s">
        <v>495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569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663</v>
      </c>
      <c r="N535">
        <v>0</v>
      </c>
      <c r="O535">
        <v>0</v>
      </c>
      <c r="Q535">
        <v>0</v>
      </c>
      <c r="R535">
        <v>0</v>
      </c>
      <c r="S535" t="s">
        <v>613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459</v>
      </c>
    </row>
    <row r="536" spans="1:32" hidden="1" x14ac:dyDescent="0.2">
      <c r="A536" t="s">
        <v>573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458</v>
      </c>
    </row>
    <row r="537" spans="1:32" hidden="1" x14ac:dyDescent="0.2">
      <c r="A537" t="s">
        <v>574</v>
      </c>
      <c r="B537" t="s">
        <v>580</v>
      </c>
      <c r="C537" t="s">
        <v>576</v>
      </c>
      <c r="D537" t="s">
        <v>577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578</v>
      </c>
      <c r="AC538" t="s">
        <v>495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619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613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459</v>
      </c>
    </row>
    <row r="540" spans="1:32" hidden="1" x14ac:dyDescent="0.2">
      <c r="A540" t="s">
        <v>573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458</v>
      </c>
    </row>
    <row r="541" spans="1:32" hidden="1" x14ac:dyDescent="0.2">
      <c r="A541" t="s">
        <v>574</v>
      </c>
      <c r="B541" t="s">
        <v>621</v>
      </c>
      <c r="C541" t="s">
        <v>576</v>
      </c>
      <c r="D541" t="s">
        <v>577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578</v>
      </c>
      <c r="AC542" t="s">
        <v>495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619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613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459</v>
      </c>
    </row>
    <row r="544" spans="1:32" hidden="1" x14ac:dyDescent="0.2">
      <c r="A544" t="s">
        <v>573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458</v>
      </c>
    </row>
    <row r="545" spans="1:32" hidden="1" x14ac:dyDescent="0.2">
      <c r="A545" t="s">
        <v>574</v>
      </c>
      <c r="B545" t="s">
        <v>603</v>
      </c>
      <c r="C545" t="s">
        <v>576</v>
      </c>
      <c r="D545" t="s">
        <v>577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578</v>
      </c>
      <c r="AC546" t="s">
        <v>495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619</v>
      </c>
      <c r="C547">
        <v>1</v>
      </c>
      <c r="D547" t="s">
        <v>637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613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459</v>
      </c>
    </row>
    <row r="548" spans="1:32" hidden="1" x14ac:dyDescent="0.2">
      <c r="A548" t="s">
        <v>573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458</v>
      </c>
    </row>
    <row r="549" spans="1:32" hidden="1" x14ac:dyDescent="0.2">
      <c r="A549" t="s">
        <v>574</v>
      </c>
      <c r="B549" t="s">
        <v>638</v>
      </c>
      <c r="C549" t="s">
        <v>576</v>
      </c>
      <c r="D549" t="s">
        <v>577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578</v>
      </c>
      <c r="AC550" t="s">
        <v>495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619</v>
      </c>
      <c r="C551">
        <v>0</v>
      </c>
      <c r="D551" t="s">
        <v>590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613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459</v>
      </c>
    </row>
    <row r="552" spans="1:32" hidden="1" x14ac:dyDescent="0.2">
      <c r="A552" t="s">
        <v>573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458</v>
      </c>
    </row>
    <row r="553" spans="1:32" hidden="1" x14ac:dyDescent="0.2">
      <c r="A553" t="s">
        <v>574</v>
      </c>
      <c r="B553" t="s">
        <v>592</v>
      </c>
      <c r="C553" t="s">
        <v>576</v>
      </c>
      <c r="D553" t="s">
        <v>577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578</v>
      </c>
      <c r="AC554" t="s">
        <v>495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614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613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459</v>
      </c>
    </row>
    <row r="556" spans="1:32" hidden="1" x14ac:dyDescent="0.2">
      <c r="A556" t="s">
        <v>573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458</v>
      </c>
    </row>
    <row r="557" spans="1:32" hidden="1" x14ac:dyDescent="0.2">
      <c r="A557" t="s">
        <v>574</v>
      </c>
      <c r="B557" t="s">
        <v>624</v>
      </c>
      <c r="C557" t="s">
        <v>576</v>
      </c>
      <c r="D557" t="s">
        <v>577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578</v>
      </c>
      <c r="AC558" t="s">
        <v>495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614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664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459</v>
      </c>
    </row>
    <row r="560" spans="1:32" hidden="1" x14ac:dyDescent="0.2">
      <c r="A560" t="s">
        <v>573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458</v>
      </c>
    </row>
    <row r="561" spans="1:32" hidden="1" x14ac:dyDescent="0.2">
      <c r="A561" t="s">
        <v>574</v>
      </c>
      <c r="B561" t="s">
        <v>621</v>
      </c>
      <c r="C561" t="s">
        <v>576</v>
      </c>
      <c r="D561" t="s">
        <v>577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578</v>
      </c>
      <c r="AC562" t="s">
        <v>495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619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613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459</v>
      </c>
    </row>
    <row r="564" spans="1:32" hidden="1" x14ac:dyDescent="0.2">
      <c r="A564" t="s">
        <v>573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458</v>
      </c>
    </row>
    <row r="565" spans="1:32" hidden="1" x14ac:dyDescent="0.2">
      <c r="A565" t="s">
        <v>574</v>
      </c>
      <c r="B565" t="s">
        <v>585</v>
      </c>
      <c r="C565" t="s">
        <v>576</v>
      </c>
      <c r="D565" t="s">
        <v>577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578</v>
      </c>
      <c r="AC566" t="s">
        <v>495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665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705</v>
      </c>
      <c r="P8" t="s">
        <v>701</v>
      </c>
      <c r="R8" t="s">
        <v>695</v>
      </c>
      <c r="T8" t="s">
        <v>696</v>
      </c>
      <c r="V8" t="s">
        <v>697</v>
      </c>
      <c r="X8" t="s">
        <v>698</v>
      </c>
      <c r="Z8" t="s">
        <v>700</v>
      </c>
      <c r="AB8" t="s">
        <v>699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666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667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668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670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342</v>
      </c>
      <c r="I19" t="s">
        <v>669</v>
      </c>
      <c r="J19">
        <v>100</v>
      </c>
    </row>
    <row r="20" spans="2:28" x14ac:dyDescent="0.2">
      <c r="H20" t="s">
        <v>342</v>
      </c>
      <c r="I20" t="s">
        <v>669</v>
      </c>
      <c r="J20">
        <f>J19/G19</f>
        <v>40.816326530612244</v>
      </c>
    </row>
    <row r="22" spans="2:28" x14ac:dyDescent="0.2">
      <c r="T22" t="s">
        <v>704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703</v>
      </c>
      <c r="R23" t="s">
        <v>702</v>
      </c>
      <c r="T23" t="s">
        <v>703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5AF7-BEBC-464F-8AEE-CFDF7BD7F669}">
  <dimension ref="A1:I17"/>
  <sheetViews>
    <sheetView workbookViewId="0">
      <selection activeCell="D17" sqref="D17"/>
    </sheetView>
  </sheetViews>
  <sheetFormatPr baseColWidth="10" defaultRowHeight="16" x14ac:dyDescent="0.2"/>
  <sheetData>
    <row r="1" spans="1:9" x14ac:dyDescent="0.2">
      <c r="B1" t="s">
        <v>1220</v>
      </c>
      <c r="C1" t="s">
        <v>1219</v>
      </c>
      <c r="D1" t="s">
        <v>1218</v>
      </c>
    </row>
    <row r="2" spans="1:9" x14ac:dyDescent="0.2">
      <c r="B2">
        <v>0.5</v>
      </c>
      <c r="C2">
        <v>0</v>
      </c>
      <c r="D2">
        <v>0</v>
      </c>
      <c r="E2">
        <f>((D2*$I$3)-$I$4)*25</f>
        <v>-4.8828125E-2</v>
      </c>
    </row>
    <row r="3" spans="1:9" x14ac:dyDescent="0.2">
      <c r="B3">
        <v>2.5</v>
      </c>
      <c r="C3">
        <v>50</v>
      </c>
      <c r="D3">
        <v>512</v>
      </c>
      <c r="E3">
        <f>((D3*$I$3)-$I$4)*25</f>
        <v>49.951171875</v>
      </c>
      <c r="G3">
        <v>4</v>
      </c>
      <c r="H3">
        <v>1024</v>
      </c>
      <c r="I3">
        <f>G3/H3</f>
        <v>3.90625E-3</v>
      </c>
    </row>
    <row r="4" spans="1:9" x14ac:dyDescent="0.2">
      <c r="B4">
        <v>4.5</v>
      </c>
      <c r="C4">
        <v>100</v>
      </c>
      <c r="D4">
        <v>1024</v>
      </c>
      <c r="E4">
        <f>((D4*$I$3)-$I$4)*25</f>
        <v>99.951171875</v>
      </c>
      <c r="I4">
        <f>I3*0.5</f>
        <v>1.953125E-3</v>
      </c>
    </row>
    <row r="12" spans="1:9" x14ac:dyDescent="0.2">
      <c r="A12" t="s">
        <v>1218</v>
      </c>
      <c r="B12" t="s">
        <v>1069</v>
      </c>
    </row>
    <row r="13" spans="1:9" x14ac:dyDescent="0.2">
      <c r="A13">
        <v>505</v>
      </c>
      <c r="B13">
        <v>63</v>
      </c>
    </row>
    <row r="14" spans="1:9" x14ac:dyDescent="0.2">
      <c r="A14">
        <v>482</v>
      </c>
      <c r="B14">
        <v>59</v>
      </c>
    </row>
    <row r="15" spans="1:9" x14ac:dyDescent="0.2">
      <c r="A15">
        <v>460</v>
      </c>
      <c r="B15">
        <v>56</v>
      </c>
    </row>
    <row r="16" spans="1:9" x14ac:dyDescent="0.2">
      <c r="A16">
        <v>454</v>
      </c>
      <c r="B16">
        <v>55</v>
      </c>
    </row>
    <row r="17" spans="1:2" x14ac:dyDescent="0.2">
      <c r="A17">
        <v>422</v>
      </c>
      <c r="B17">
        <v>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Excel 4.0 Macros</vt:lpstr>
      </vt:variant>
      <vt:variant>
        <vt:i4>1</vt:i4>
      </vt:variant>
    </vt:vector>
  </HeadingPairs>
  <TitlesOfParts>
    <vt:vector size="16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AlarmTable</vt:lpstr>
      <vt:lpstr>TestStruct</vt:lpstr>
      <vt:lpstr>Cal Data</vt:lpstr>
      <vt:lpstr>Calculations</vt:lpstr>
      <vt:lpstr>Sheet2</vt:lpstr>
      <vt:lpstr>FlowCalc</vt:lpstr>
      <vt:lpstr>PressCalc</vt:lpstr>
      <vt:lpstr>PSI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2024-10-24T14:59:35Z</dcterms:modified>
</cp:coreProperties>
</file>