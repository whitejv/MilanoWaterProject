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b/Code/MilanoWaterProject/"/>
    </mc:Choice>
  </mc:AlternateContent>
  <xr:revisionPtr revIDLastSave="0" documentId="13_ncr:1_{365C519A-1EA7-A14F-8CB8-EEE774486D71}" xr6:coauthVersionLast="47" xr6:coauthVersionMax="47" xr10:uidLastSave="{00000000-0000-0000-0000-000000000000}"/>
  <bookViews>
    <workbookView xWindow="15680" yWindow="500" windowWidth="39300" windowHeight="19020" activeTab="16" xr2:uid="{60223CC9-929C-2C40-9DF4-4D5E66E85102}"/>
  </bookViews>
  <sheets>
    <sheet name="Original" sheetId="1" r:id="rId1"/>
    <sheet name="Previous2023" sheetId="3" r:id="rId2"/>
    <sheet name="early2023" sheetId="11" r:id="rId3"/>
    <sheet name="current2023" sheetId="13" r:id="rId4"/>
    <sheet name="future2023" sheetId="16" r:id="rId5"/>
    <sheet name="Macro1" sheetId="18" r:id="rId6"/>
    <sheet name="Current ICD" sheetId="17" r:id="rId7"/>
    <sheet name="Log Data" sheetId="15" r:id="rId8"/>
    <sheet name="AlarmTable" sheetId="4" r:id="rId9"/>
    <sheet name="TestStruct" sheetId="5" r:id="rId10"/>
    <sheet name="Cal Data" sheetId="12" r:id="rId11"/>
    <sheet name="Calculations" sheetId="6" r:id="rId12"/>
    <sheet name="Sheet2" sheetId="7" r:id="rId13"/>
    <sheet name="FlowCalc" sheetId="8" r:id="rId14"/>
    <sheet name="PressCalc" sheetId="9" r:id="rId15"/>
    <sheet name="PSI" sheetId="19" r:id="rId16"/>
    <sheet name="LogGui" sheetId="20" r:id="rId17"/>
  </sheets>
  <definedNames>
    <definedName name="_xlnm._FilterDatabase" localSheetId="13" hidden="1">FlowCalc!$A$79:$AG$567</definedName>
    <definedName name="_xlnm._FilterDatabase" localSheetId="12" hidden="1">Sheet2!$A$1:$B$142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9" l="1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26" i="8"/>
  <c r="O26" i="8" s="1"/>
  <c r="J53" i="8"/>
  <c r="J54" i="8" s="1"/>
  <c r="J55" i="8" s="1"/>
  <c r="J56" i="8" s="1"/>
  <c r="J57" i="8" s="1"/>
  <c r="J60" i="8" s="1"/>
  <c r="G46" i="8"/>
  <c r="E46" i="8"/>
  <c r="A44" i="8"/>
  <c r="B44" i="8" s="1"/>
  <c r="C44" i="8" s="1"/>
  <c r="D44" i="8" s="1"/>
  <c r="E38" i="8"/>
  <c r="F38" i="8" s="1"/>
  <c r="C40" i="8"/>
  <c r="E37" i="8"/>
  <c r="F37" i="8" s="1"/>
  <c r="P8" i="12"/>
  <c r="P9" i="12"/>
  <c r="P10" i="12"/>
  <c r="P12" i="12"/>
  <c r="P13" i="12"/>
  <c r="P14" i="12"/>
  <c r="P15" i="12"/>
  <c r="P16" i="12"/>
  <c r="P17" i="12"/>
  <c r="P18" i="12"/>
  <c r="P11" i="12"/>
  <c r="I4" i="19" l="1"/>
  <c r="E2" i="19" s="1"/>
  <c r="O27" i="8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O61" i="8" s="1"/>
  <c r="O62" i="8" s="1"/>
  <c r="E47" i="8"/>
  <c r="E48" i="8" s="1"/>
  <c r="E44" i="8"/>
  <c r="O11" i="9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R27" i="8"/>
  <c r="S27" i="8" s="1"/>
  <c r="X27" i="8"/>
  <c r="X26" i="8"/>
  <c r="R26" i="8"/>
  <c r="S26" i="8" s="1"/>
  <c r="N28" i="8"/>
  <c r="X28" i="8" s="1"/>
  <c r="N29" i="8"/>
  <c r="X29" i="8" s="1"/>
  <c r="N30" i="8"/>
  <c r="X30" i="8" s="1"/>
  <c r="N31" i="8"/>
  <c r="X31" i="8" s="1"/>
  <c r="N32" i="8"/>
  <c r="X32" i="8" s="1"/>
  <c r="N33" i="8"/>
  <c r="X33" i="8" s="1"/>
  <c r="N34" i="8"/>
  <c r="X34" i="8" s="1"/>
  <c r="N35" i="8"/>
  <c r="X35" i="8" s="1"/>
  <c r="N36" i="8"/>
  <c r="X36" i="8" s="1"/>
  <c r="N37" i="8"/>
  <c r="X37" i="8" s="1"/>
  <c r="N38" i="8"/>
  <c r="X38" i="8" s="1"/>
  <c r="N39" i="8"/>
  <c r="X39" i="8" s="1"/>
  <c r="N40" i="8"/>
  <c r="X40" i="8" s="1"/>
  <c r="N41" i="8"/>
  <c r="X41" i="8" s="1"/>
  <c r="N42" i="8"/>
  <c r="X42" i="8" s="1"/>
  <c r="N43" i="8"/>
  <c r="X43" i="8" s="1"/>
  <c r="N44" i="8"/>
  <c r="X44" i="8" s="1"/>
  <c r="N45" i="8"/>
  <c r="X45" i="8" s="1"/>
  <c r="N46" i="8"/>
  <c r="X46" i="8" s="1"/>
  <c r="N47" i="8"/>
  <c r="X47" i="8" s="1"/>
  <c r="N48" i="8"/>
  <c r="X48" i="8" s="1"/>
  <c r="N49" i="8"/>
  <c r="X49" i="8" s="1"/>
  <c r="N50" i="8"/>
  <c r="X50" i="8" s="1"/>
  <c r="N51" i="8"/>
  <c r="X51" i="8" s="1"/>
  <c r="N52" i="8"/>
  <c r="X52" i="8" s="1"/>
  <c r="N53" i="8"/>
  <c r="X53" i="8" s="1"/>
  <c r="N54" i="8"/>
  <c r="X54" i="8" s="1"/>
  <c r="N55" i="8"/>
  <c r="X55" i="8" s="1"/>
  <c r="N56" i="8"/>
  <c r="X56" i="8" s="1"/>
  <c r="N57" i="8"/>
  <c r="X57" i="8" s="1"/>
  <c r="N58" i="8"/>
  <c r="X58" i="8" s="1"/>
  <c r="N59" i="8"/>
  <c r="X59" i="8" s="1"/>
  <c r="N60" i="8"/>
  <c r="X60" i="8" s="1"/>
  <c r="N61" i="8"/>
  <c r="X61" i="8" s="1"/>
  <c r="N62" i="8"/>
  <c r="X62" i="8" s="1"/>
  <c r="L28" i="8"/>
  <c r="L29" i="8"/>
  <c r="L30" i="8"/>
  <c r="L31" i="8"/>
  <c r="Q31" i="8" s="1"/>
  <c r="L32" i="8"/>
  <c r="L33" i="8"/>
  <c r="L34" i="8"/>
  <c r="L35" i="8"/>
  <c r="L36" i="8"/>
  <c r="L37" i="8"/>
  <c r="Q37" i="8" s="1"/>
  <c r="L38" i="8"/>
  <c r="Q38" i="8" s="1"/>
  <c r="L39" i="8"/>
  <c r="Q39" i="8" s="1"/>
  <c r="L40" i="8"/>
  <c r="L41" i="8"/>
  <c r="Q41" i="8" s="1"/>
  <c r="L42" i="8"/>
  <c r="L43" i="8"/>
  <c r="L44" i="8"/>
  <c r="L45" i="8"/>
  <c r="Q45" i="8" s="1"/>
  <c r="L46" i="8"/>
  <c r="Q46" i="8" s="1"/>
  <c r="L47" i="8"/>
  <c r="Q47" i="8" s="1"/>
  <c r="L48" i="8"/>
  <c r="L49" i="8"/>
  <c r="Q49" i="8" s="1"/>
  <c r="L50" i="8"/>
  <c r="L51" i="8"/>
  <c r="L52" i="8"/>
  <c r="L53" i="8"/>
  <c r="Q53" i="8" s="1"/>
  <c r="L54" i="8"/>
  <c r="Q54" i="8" s="1"/>
  <c r="L55" i="8"/>
  <c r="Q55" i="8" s="1"/>
  <c r="L56" i="8"/>
  <c r="L57" i="8"/>
  <c r="Q57" i="8" s="1"/>
  <c r="L58" i="8"/>
  <c r="L59" i="8"/>
  <c r="L60" i="8"/>
  <c r="L61" i="8"/>
  <c r="Q61" i="8" s="1"/>
  <c r="L62" i="8"/>
  <c r="Q62" i="8" s="1"/>
  <c r="N3" i="8"/>
  <c r="X3" i="8" s="1"/>
  <c r="N4" i="8"/>
  <c r="X4" i="8" s="1"/>
  <c r="N5" i="8"/>
  <c r="X5" i="8" s="1"/>
  <c r="N6" i="8"/>
  <c r="X6" i="8" s="1"/>
  <c r="N7" i="8"/>
  <c r="X7" i="8" s="1"/>
  <c r="N8" i="8"/>
  <c r="X8" i="8" s="1"/>
  <c r="N9" i="8"/>
  <c r="X9" i="8" s="1"/>
  <c r="N10" i="8"/>
  <c r="X10" i="8" s="1"/>
  <c r="N11" i="8"/>
  <c r="X11" i="8" s="1"/>
  <c r="N12" i="8"/>
  <c r="X12" i="8" s="1"/>
  <c r="N13" i="8"/>
  <c r="X13" i="8" s="1"/>
  <c r="N14" i="8"/>
  <c r="X14" i="8" s="1"/>
  <c r="N15" i="8"/>
  <c r="X15" i="8" s="1"/>
  <c r="N16" i="8"/>
  <c r="X16" i="8" s="1"/>
  <c r="N17" i="8"/>
  <c r="X17" i="8" s="1"/>
  <c r="N18" i="8"/>
  <c r="X18" i="8" s="1"/>
  <c r="N19" i="8"/>
  <c r="X19" i="8" s="1"/>
  <c r="N20" i="8"/>
  <c r="X20" i="8" s="1"/>
  <c r="N21" i="8"/>
  <c r="X21" i="8" s="1"/>
  <c r="N22" i="8"/>
  <c r="X22" i="8" s="1"/>
  <c r="N23" i="8"/>
  <c r="X23" i="8" s="1"/>
  <c r="N24" i="8"/>
  <c r="X24" i="8" s="1"/>
  <c r="N25" i="8"/>
  <c r="X25" i="8" s="1"/>
  <c r="N2" i="8"/>
  <c r="X2" i="8" s="1"/>
  <c r="L3" i="8"/>
  <c r="R3" i="8" s="1"/>
  <c r="S3" i="8" s="1"/>
  <c r="T3" i="8" s="1"/>
  <c r="U3" i="8" s="1"/>
  <c r="L4" i="8"/>
  <c r="R4" i="8" s="1"/>
  <c r="S4" i="8" s="1"/>
  <c r="T4" i="8" s="1"/>
  <c r="U4" i="8" s="1"/>
  <c r="L5" i="8"/>
  <c r="L6" i="8"/>
  <c r="L7" i="8"/>
  <c r="L8" i="8"/>
  <c r="L9" i="8"/>
  <c r="L10" i="8"/>
  <c r="L11" i="8"/>
  <c r="L12" i="8"/>
  <c r="R12" i="8" s="1"/>
  <c r="S12" i="8" s="1"/>
  <c r="T12" i="8" s="1"/>
  <c r="U12" i="8" s="1"/>
  <c r="L13" i="8"/>
  <c r="L14" i="8"/>
  <c r="L15" i="8"/>
  <c r="L16" i="8"/>
  <c r="L17" i="8"/>
  <c r="R17" i="8" s="1"/>
  <c r="S17" i="8" s="1"/>
  <c r="T17" i="8" s="1"/>
  <c r="U17" i="8" s="1"/>
  <c r="L18" i="8"/>
  <c r="L19" i="8"/>
  <c r="R19" i="8" s="1"/>
  <c r="S19" i="8" s="1"/>
  <c r="T19" i="8" s="1"/>
  <c r="U19" i="8" s="1"/>
  <c r="L20" i="8"/>
  <c r="R20" i="8" s="1"/>
  <c r="S20" i="8" s="1"/>
  <c r="T20" i="8" s="1"/>
  <c r="U20" i="8" s="1"/>
  <c r="L21" i="8"/>
  <c r="L22" i="8"/>
  <c r="R22" i="8" s="1"/>
  <c r="S22" i="8" s="1"/>
  <c r="T22" i="8" s="1"/>
  <c r="U22" i="8" s="1"/>
  <c r="L23" i="8"/>
  <c r="L24" i="8"/>
  <c r="R24" i="8" s="1"/>
  <c r="S24" i="8" s="1"/>
  <c r="T24" i="8" s="1"/>
  <c r="U24" i="8" s="1"/>
  <c r="L25" i="8"/>
  <c r="R25" i="8" s="1"/>
  <c r="S25" i="8" s="1"/>
  <c r="T25" i="8" s="1"/>
  <c r="U25" i="8" s="1"/>
  <c r="L2" i="8"/>
  <c r="W79" i="7"/>
  <c r="E4" i="19" l="1"/>
  <c r="E3" i="19"/>
  <c r="Q58" i="8"/>
  <c r="Q50" i="8"/>
  <c r="Q42" i="8"/>
  <c r="R34" i="8"/>
  <c r="S34" i="8" s="1"/>
  <c r="Q33" i="8"/>
  <c r="Q56" i="8"/>
  <c r="Q48" i="8"/>
  <c r="Q40" i="8"/>
  <c r="Q30" i="8"/>
  <c r="Q60" i="8"/>
  <c r="Q52" i="8"/>
  <c r="Q44" i="8"/>
  <c r="Q36" i="8"/>
  <c r="Q28" i="8"/>
  <c r="T34" i="8"/>
  <c r="U34" i="8" s="1"/>
  <c r="W34" i="8"/>
  <c r="Q32" i="8"/>
  <c r="Q29" i="8"/>
  <c r="Q59" i="8"/>
  <c r="Q51" i="8"/>
  <c r="Q43" i="8"/>
  <c r="Q35" i="8"/>
  <c r="R58" i="8"/>
  <c r="S58" i="8" s="1"/>
  <c r="R50" i="8"/>
  <c r="S50" i="8" s="1"/>
  <c r="R42" i="8"/>
  <c r="S42" i="8" s="1"/>
  <c r="R62" i="8"/>
  <c r="S62" i="8" s="1"/>
  <c r="T62" i="8" s="1"/>
  <c r="U62" i="8" s="1"/>
  <c r="R54" i="8"/>
  <c r="S54" i="8" s="1"/>
  <c r="T54" i="8" s="1"/>
  <c r="R46" i="8"/>
  <c r="S46" i="8" s="1"/>
  <c r="T46" i="8" s="1"/>
  <c r="R38" i="8"/>
  <c r="S38" i="8" s="1"/>
  <c r="T38" i="8" s="1"/>
  <c r="U38" i="8" s="1"/>
  <c r="R30" i="8"/>
  <c r="S30" i="8" s="1"/>
  <c r="T30" i="8" s="1"/>
  <c r="U30" i="8" s="1"/>
  <c r="Q34" i="8"/>
  <c r="R59" i="8"/>
  <c r="S59" i="8" s="1"/>
  <c r="T59" i="8" s="1"/>
  <c r="U59" i="8" s="1"/>
  <c r="R56" i="8"/>
  <c r="S56" i="8" s="1"/>
  <c r="R51" i="8"/>
  <c r="S51" i="8" s="1"/>
  <c r="T51" i="8" s="1"/>
  <c r="U51" i="8" s="1"/>
  <c r="R48" i="8"/>
  <c r="S48" i="8" s="1"/>
  <c r="R43" i="8"/>
  <c r="S43" i="8" s="1"/>
  <c r="T43" i="8" s="1"/>
  <c r="U43" i="8" s="1"/>
  <c r="R40" i="8"/>
  <c r="S40" i="8" s="1"/>
  <c r="R35" i="8"/>
  <c r="S35" i="8" s="1"/>
  <c r="T35" i="8" s="1"/>
  <c r="U35" i="8" s="1"/>
  <c r="R32" i="8"/>
  <c r="S32" i="8" s="1"/>
  <c r="R61" i="8"/>
  <c r="S61" i="8" s="1"/>
  <c r="T61" i="8" s="1"/>
  <c r="R53" i="8"/>
  <c r="S53" i="8" s="1"/>
  <c r="W53" i="8" s="1"/>
  <c r="R45" i="8"/>
  <c r="S45" i="8" s="1"/>
  <c r="T45" i="8" s="1"/>
  <c r="R37" i="8"/>
  <c r="S37" i="8" s="1"/>
  <c r="W37" i="8" s="1"/>
  <c r="R29" i="8"/>
  <c r="S29" i="8" s="1"/>
  <c r="W29" i="8" s="1"/>
  <c r="R60" i="8"/>
  <c r="S60" i="8" s="1"/>
  <c r="T60" i="8" s="1"/>
  <c r="R57" i="8"/>
  <c r="S57" i="8" s="1"/>
  <c r="R52" i="8"/>
  <c r="S52" i="8" s="1"/>
  <c r="W52" i="8" s="1"/>
  <c r="R49" i="8"/>
  <c r="S49" i="8" s="1"/>
  <c r="R44" i="8"/>
  <c r="S44" i="8" s="1"/>
  <c r="W44" i="8" s="1"/>
  <c r="R41" i="8"/>
  <c r="S41" i="8" s="1"/>
  <c r="R36" i="8"/>
  <c r="S36" i="8" s="1"/>
  <c r="T36" i="8" s="1"/>
  <c r="R33" i="8"/>
  <c r="S33" i="8" s="1"/>
  <c r="R28" i="8"/>
  <c r="S28" i="8" s="1"/>
  <c r="W28" i="8" s="1"/>
  <c r="F44" i="8"/>
  <c r="G44" i="8" s="1"/>
  <c r="A51" i="8"/>
  <c r="B51" i="8" s="1"/>
  <c r="R55" i="8"/>
  <c r="S55" i="8" s="1"/>
  <c r="R47" i="8"/>
  <c r="S47" i="8" s="1"/>
  <c r="R39" i="8"/>
  <c r="S39" i="8" s="1"/>
  <c r="R31" i="8"/>
  <c r="S31" i="8" s="1"/>
  <c r="Q26" i="8"/>
  <c r="E50" i="8"/>
  <c r="Q27" i="8"/>
  <c r="O30" i="9"/>
  <c r="O33" i="9"/>
  <c r="O32" i="9"/>
  <c r="O31" i="9"/>
  <c r="B19" i="9"/>
  <c r="U54" i="8"/>
  <c r="W61" i="8"/>
  <c r="T53" i="8"/>
  <c r="U46" i="8"/>
  <c r="W60" i="8"/>
  <c r="W54" i="8"/>
  <c r="T27" i="8"/>
  <c r="W27" i="8"/>
  <c r="T26" i="8"/>
  <c r="V26" i="8" s="1"/>
  <c r="W26" i="8"/>
  <c r="R18" i="8"/>
  <c r="S18" i="8" s="1"/>
  <c r="T18" i="8" s="1"/>
  <c r="U18" i="8" s="1"/>
  <c r="R8" i="8"/>
  <c r="S8" i="8" s="1"/>
  <c r="T8" i="8" s="1"/>
  <c r="U8" i="8" s="1"/>
  <c r="R11" i="8"/>
  <c r="S11" i="8" s="1"/>
  <c r="T11" i="8" s="1"/>
  <c r="U11" i="8" s="1"/>
  <c r="R13" i="8"/>
  <c r="S13" i="8" s="1"/>
  <c r="T13" i="8" s="1"/>
  <c r="U13" i="8" s="1"/>
  <c r="R16" i="8"/>
  <c r="S16" i="8" s="1"/>
  <c r="T16" i="8" s="1"/>
  <c r="U16" i="8" s="1"/>
  <c r="R5" i="8"/>
  <c r="S5" i="8" s="1"/>
  <c r="T5" i="8" s="1"/>
  <c r="U5" i="8" s="1"/>
  <c r="R2" i="8"/>
  <c r="S2" i="8" s="1"/>
  <c r="T2" i="8" s="1"/>
  <c r="R23" i="8"/>
  <c r="S23" i="8" s="1"/>
  <c r="T23" i="8" s="1"/>
  <c r="U23" i="8" s="1"/>
  <c r="R14" i="8"/>
  <c r="S14" i="8" s="1"/>
  <c r="T14" i="8" s="1"/>
  <c r="U14" i="8" s="1"/>
  <c r="R7" i="8"/>
  <c r="S7" i="8" s="1"/>
  <c r="T7" i="8" s="1"/>
  <c r="U7" i="8" s="1"/>
  <c r="R10" i="8"/>
  <c r="S10" i="8" s="1"/>
  <c r="T10" i="8" s="1"/>
  <c r="U10" i="8" s="1"/>
  <c r="R21" i="8"/>
  <c r="S21" i="8" s="1"/>
  <c r="T21" i="8" s="1"/>
  <c r="U21" i="8" s="1"/>
  <c r="R9" i="8"/>
  <c r="S9" i="8" s="1"/>
  <c r="T9" i="8" s="1"/>
  <c r="U9" i="8" s="1"/>
  <c r="R6" i="8"/>
  <c r="S6" i="8" s="1"/>
  <c r="T6" i="8" s="1"/>
  <c r="U6" i="8" s="1"/>
  <c r="R15" i="8"/>
  <c r="S15" i="8" s="1"/>
  <c r="T15" i="8" s="1"/>
  <c r="U15" i="8" s="1"/>
  <c r="W20" i="8"/>
  <c r="W12" i="8"/>
  <c r="W19" i="8"/>
  <c r="W24" i="8"/>
  <c r="W18" i="8"/>
  <c r="W22" i="8"/>
  <c r="W17" i="8"/>
  <c r="W4" i="8"/>
  <c r="W25" i="8"/>
  <c r="W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C4" i="6"/>
  <c r="E4" i="6" s="1"/>
  <c r="G4" i="6"/>
  <c r="K4" i="6" s="1"/>
  <c r="L4" i="6" s="1"/>
  <c r="J4" i="6"/>
  <c r="L3" i="6"/>
  <c r="E3" i="6"/>
  <c r="K3" i="6"/>
  <c r="J3" i="6"/>
  <c r="G3" i="6"/>
  <c r="C3" i="6"/>
  <c r="T29" i="8" l="1"/>
  <c r="T37" i="8"/>
  <c r="W36" i="8"/>
  <c r="W35" i="8"/>
  <c r="W30" i="8"/>
  <c r="W38" i="8"/>
  <c r="W46" i="8"/>
  <c r="T28" i="8"/>
  <c r="W43" i="8"/>
  <c r="T42" i="8"/>
  <c r="U42" i="8" s="1"/>
  <c r="W42" i="8"/>
  <c r="W62" i="8"/>
  <c r="W41" i="8"/>
  <c r="T41" i="8"/>
  <c r="U41" i="8" s="1"/>
  <c r="W49" i="8"/>
  <c r="T49" i="8"/>
  <c r="U49" i="8" s="1"/>
  <c r="W32" i="8"/>
  <c r="T32" i="8"/>
  <c r="U32" i="8" s="1"/>
  <c r="W59" i="8"/>
  <c r="T52" i="8"/>
  <c r="W57" i="8"/>
  <c r="T57" i="8"/>
  <c r="U57" i="8" s="1"/>
  <c r="W40" i="8"/>
  <c r="T40" i="8"/>
  <c r="U40" i="8" s="1"/>
  <c r="W51" i="8"/>
  <c r="W11" i="8"/>
  <c r="T44" i="8"/>
  <c r="D51" i="8"/>
  <c r="C51" i="8"/>
  <c r="T58" i="8"/>
  <c r="U58" i="8" s="1"/>
  <c r="W58" i="8"/>
  <c r="W45" i="8"/>
  <c r="W33" i="8"/>
  <c r="T33" i="8"/>
  <c r="U33" i="8" s="1"/>
  <c r="W39" i="8"/>
  <c r="T39" i="8"/>
  <c r="U39" i="8" s="1"/>
  <c r="W47" i="8"/>
  <c r="T47" i="8"/>
  <c r="U47" i="8" s="1"/>
  <c r="W56" i="8"/>
  <c r="T56" i="8"/>
  <c r="U56" i="8" s="1"/>
  <c r="W55" i="8"/>
  <c r="T55" i="8"/>
  <c r="U55" i="8" s="1"/>
  <c r="T50" i="8"/>
  <c r="U50" i="8" s="1"/>
  <c r="W50" i="8"/>
  <c r="V2" i="8"/>
  <c r="V3" i="8" s="1"/>
  <c r="V4" i="8" s="1"/>
  <c r="V5" i="8" s="1"/>
  <c r="V6" i="8" s="1"/>
  <c r="V7" i="8" s="1"/>
  <c r="V8" i="8" s="1"/>
  <c r="V9" i="8" s="1"/>
  <c r="V10" i="8" s="1"/>
  <c r="V11" i="8" s="1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U2" i="8"/>
  <c r="W8" i="8"/>
  <c r="W31" i="8"/>
  <c r="T31" i="8"/>
  <c r="U31" i="8" s="1"/>
  <c r="W48" i="8"/>
  <c r="T48" i="8"/>
  <c r="U48" i="8" s="1"/>
  <c r="U37" i="8"/>
  <c r="U52" i="8"/>
  <c r="U53" i="8"/>
  <c r="U44" i="8"/>
  <c r="U28" i="8"/>
  <c r="U29" i="8"/>
  <c r="U36" i="8"/>
  <c r="U45" i="8"/>
  <c r="U60" i="8"/>
  <c r="U61" i="8"/>
  <c r="U27" i="8"/>
  <c r="V27" i="8"/>
  <c r="U26" i="8"/>
  <c r="W16" i="8"/>
  <c r="W13" i="8"/>
  <c r="W2" i="8"/>
  <c r="W5" i="8"/>
  <c r="W23" i="8"/>
  <c r="W14" i="8"/>
  <c r="W7" i="8"/>
  <c r="W21" i="8"/>
  <c r="W6" i="8"/>
  <c r="W10" i="8"/>
  <c r="W9" i="8"/>
  <c r="W15" i="8"/>
  <c r="V28" i="8" l="1"/>
  <c r="V29" i="8" s="1"/>
  <c r="V30" i="8" s="1"/>
  <c r="V31" i="8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V54" i="8" s="1"/>
  <c r="V55" i="8" s="1"/>
  <c r="V56" i="8" s="1"/>
  <c r="V57" i="8" s="1"/>
  <c r="V58" i="8" s="1"/>
  <c r="V59" i="8" s="1"/>
  <c r="V60" i="8" s="1"/>
  <c r="V61" i="8" s="1"/>
  <c r="V62" i="8" s="1"/>
</calcChain>
</file>

<file path=xl/sharedStrings.xml><?xml version="1.0" encoding="utf-8"?>
<sst xmlns="http://schemas.openxmlformats.org/spreadsheetml/2006/main" count="8352" uniqueCount="1246">
  <si>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</si>
  <si>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</si>
  <si>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</si>
  <si>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</si>
  <si>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</si>
  <si>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</si>
  <si>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</si>
  <si>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</si>
  <si>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</si>
  <si>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</si>
  <si>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</si>
  <si>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</si>
  <si>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</si>
  <si>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</si>
  <si>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</si>
  <si>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</si>
  <si>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</si>
  <si>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</si>
  <si>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</si>
  <si>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</si>
  <si>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</si>
  <si>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</si>
  <si>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</si>
  <si>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</si>
  <si>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</si>
  <si>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</si>
  <si>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</si>
  <si>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</si>
  <si>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</si>
  <si>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</si>
  <si>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</si>
  <si>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</si>
  <si>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</si>
  <si>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</si>
  <si>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</si>
  <si>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</si>
  <si>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</si>
  <si>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</si>
  <si>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</si>
  <si>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</si>
  <si>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</si>
  <si>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</si>
  <si>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</si>
  <si>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</si>
  <si>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</si>
  <si>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</si>
  <si>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</si>
  <si>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</si>
  <si>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</si>
  <si>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</si>
  <si>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</si>
  <si>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</si>
  <si>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</si>
  <si>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</si>
  <si>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</si>
  <si>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</si>
  <si>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</si>
  <si>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</si>
  <si>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</si>
  <si>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</si>
  <si>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</si>
  <si>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</si>
  <si>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</si>
  <si>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</si>
  <si>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</si>
  <si>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</si>
  <si>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</si>
  <si>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</si>
  <si>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</si>
  <si>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</si>
  <si>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</si>
  <si>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</si>
  <si>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</si>
  <si>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</si>
  <si>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</si>
  <si>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</si>
  <si>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</si>
  <si>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</si>
  <si>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</si>
  <si>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</si>
  <si>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</si>
  <si>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</si>
  <si>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</si>
  <si>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</si>
  <si>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</si>
  <si>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</si>
  <si>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</si>
  <si>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</si>
  <si>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</si>
  <si>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</si>
  <si>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</si>
  <si>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</si>
  <si>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</si>
  <si>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</si>
  <si>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</si>
  <si>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</si>
  <si>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</si>
  <si>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</si>
  <si>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</si>
  <si>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</si>
  <si>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</si>
  <si>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</si>
  <si>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</si>
  <si>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</si>
  <si>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</si>
  <si>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</si>
  <si>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</si>
  <si>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</si>
  <si>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</si>
  <si>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</si>
  <si>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</si>
  <si>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</si>
  <si>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</si>
  <si>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</si>
  <si>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</si>
  <si>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</si>
  <si>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</si>
  <si>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</si>
  <si>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</si>
  <si>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</si>
  <si>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</si>
  <si>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</si>
  <si>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</si>
  <si>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</si>
  <si>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</si>
  <si>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</si>
  <si>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</si>
  <si>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</si>
  <si>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</si>
  <si>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</si>
  <si>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</si>
  <si>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</si>
  <si>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</si>
  <si>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</si>
  <si>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</si>
  <si>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</si>
  <si>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</si>
  <si>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</si>
  <si>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</si>
  <si>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</si>
  <si>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</si>
  <si>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</si>
  <si>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</si>
  <si>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</si>
  <si>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</si>
  <si>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</si>
  <si>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</si>
  <si>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</si>
  <si>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</si>
  <si>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</si>
  <si>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</si>
  <si>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</si>
  <si>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</si>
  <si>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</si>
  <si>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</si>
  <si>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</si>
  <si>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</si>
  <si>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</si>
  <si>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</si>
  <si>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</si>
  <si>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</si>
  <si>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</si>
  <si>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</si>
  <si>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</si>
  <si>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</si>
  <si>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</si>
  <si>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</si>
  <si>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</si>
  <si>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</si>
  <si>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</si>
  <si>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</si>
  <si>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</si>
  <si>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</si>
  <si>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</si>
  <si>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</si>
  <si>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</si>
  <si>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</si>
  <si>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</si>
  <si>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</si>
  <si>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</si>
  <si>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</si>
  <si>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</si>
  <si>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</si>
  <si>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</si>
  <si>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</si>
  <si>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</si>
  <si>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</si>
  <si>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</si>
  <si>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</si>
  <si>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</si>
  <si>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</si>
  <si>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</si>
  <si>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</si>
  <si>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</si>
  <si>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</si>
  <si>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</si>
  <si>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</si>
  <si>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</si>
  <si>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</si>
  <si>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</si>
  <si>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</si>
  <si>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</si>
  <si>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</si>
  <si>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</si>
  <si>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</si>
  <si>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</si>
  <si>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</si>
  <si>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</si>
  <si>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</si>
  <si>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</si>
  <si>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</si>
  <si>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</si>
  <si>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</si>
  <si>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</si>
  <si>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</si>
  <si>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</si>
  <si>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</si>
  <si>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</si>
  <si>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</si>
  <si>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</si>
  <si>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</si>
  <si>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</si>
  <si>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</si>
  <si>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</si>
  <si>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</si>
  <si>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</si>
  <si>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</si>
  <si>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</si>
  <si>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</si>
  <si>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</si>
  <si>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Water Level in Tank is Critically Low</t>
  </si>
  <si>
    <t>House Water Pressure Low</t>
  </si>
  <si>
    <t>Household Water Pressure Critically Low</t>
  </si>
  <si>
    <t>Water Well Pumps Failed to Start</t>
  </si>
  <si>
    <t>Tank Overfill Condition</t>
  </si>
  <si>
    <t>Tank Overfill Detected</t>
  </si>
  <si>
    <t>Septic System Alert</t>
  </si>
  <si>
    <t>Septic System Malfunction</t>
  </si>
  <si>
    <t>Irrigation Pump Run Away</t>
  </si>
  <si>
    <t>Irrigation Pump Running with No Flow</t>
  </si>
  <si>
    <t>Well 3 Pump Run Away</t>
  </si>
  <si>
    <t>Well 3 Pump Running with No Flow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</si>
  <si>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</si>
  <si>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</si>
  <si>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</si>
  <si>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</si>
  <si>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</si>
  <si>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</si>
  <si>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</si>
  <si>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</si>
  <si>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</si>
  <si>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</si>
  <si>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</si>
  <si>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</si>
  <si>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</si>
  <si>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</si>
  <si>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</si>
  <si>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</si>
  <si>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</si>
  <si>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</si>
  <si>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</si>
  <si>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</si>
  <si>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</si>
  <si>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</si>
  <si>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</si>
  <si>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</si>
  <si>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</si>
  <si>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</si>
  <si>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</si>
  <si>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</si>
  <si>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</si>
  <si>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</si>
  <si>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</si>
  <si>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</si>
  <si>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</si>
  <si>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</si>
  <si>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</si>
  <si>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</si>
  <si>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</si>
  <si>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</si>
  <si>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</si>
  <si>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</si>
  <si>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</si>
  <si>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</si>
  <si>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</si>
  <si>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</si>
  <si>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</si>
  <si>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</si>
  <si>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</si>
  <si>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</si>
  <si>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</si>
  <si>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</si>
  <si>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</si>
  <si>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</si>
  <si>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</si>
  <si>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</si>
  <si>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</si>
  <si>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</si>
  <si>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</si>
  <si>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</si>
  <si>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</si>
  <si>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</si>
  <si>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</si>
  <si>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</si>
  <si>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</si>
  <si>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</si>
  <si>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</si>
  <si>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</si>
  <si>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</si>
  <si>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</si>
  <si>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</si>
  <si>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</si>
  <si>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</si>
  <si>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</si>
  <si>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</si>
  <si>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</si>
  <si>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</si>
  <si>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</si>
  <si>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</si>
  <si>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</si>
  <si>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</si>
  <si>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</si>
  <si>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</si>
  <si>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</si>
  <si>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</si>
  <si>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</si>
  <si>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</si>
  <si>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</si>
  <si>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</si>
  <si>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</si>
  <si>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</si>
  <si>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</si>
  <si>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</si>
  <si>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</si>
  <si>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</si>
  <si>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</si>
  <si>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</si>
  <si>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</si>
  <si>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</si>
  <si>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</si>
  <si>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</si>
  <si>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</si>
  <si>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</si>
  <si>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</si>
  <si>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</si>
  <si>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</si>
  <si>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</si>
  <si>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</si>
  <si>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</si>
  <si>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</si>
  <si>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</si>
  <si>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</si>
  <si>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</si>
  <si>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</si>
  <si>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</si>
  <si>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</si>
  <si>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</si>
  <si>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</si>
  <si>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</si>
  <si>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</si>
  <si>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</si>
  <si>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</si>
  <si>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</si>
  <si>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</si>
  <si>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</si>
  <si>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</si>
  <si>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</si>
  <si>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</si>
  <si>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</si>
  <si>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</si>
  <si>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</si>
  <si>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</si>
  <si>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</si>
  <si>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</si>
  <si>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</si>
  <si>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</si>
  <si>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</si>
  <si>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</si>
  <si>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</si>
  <si>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</si>
  <si>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</si>
  <si>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</si>
  <si>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</si>
  <si>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</si>
  <si>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</si>
  <si>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</si>
  <si>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</si>
  <si>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</si>
  <si>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</si>
  <si>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</si>
  <si>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</si>
  <si>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</si>
  <si>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</si>
  <si>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</si>
  <si>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</si>
  <si>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</si>
  <si>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</si>
  <si>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</si>
  <si>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</si>
  <si>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</si>
  <si>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</si>
  <si>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</si>
  <si>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</si>
  <si>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</si>
  <si>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</si>
  <si>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</si>
  <si>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</si>
  <si>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</si>
  <si>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</si>
  <si>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</si>
  <si>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</si>
  <si>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</si>
  <si>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</si>
  <si>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</si>
  <si>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</si>
  <si>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</si>
  <si>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</si>
  <si>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</si>
  <si>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</si>
  <si>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</si>
  <si>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</si>
  <si>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</si>
  <si>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</si>
  <si>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</si>
  <si>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</si>
  <si>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</si>
  <si>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</si>
  <si>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</si>
  <si>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</si>
  <si>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</si>
  <si>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</si>
  <si>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</si>
  <si>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</si>
  <si>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</si>
  <si>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</si>
  <si>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</si>
  <si>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</si>
  <si>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</si>
  <si>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</si>
  <si>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</si>
  <si>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</si>
  <si>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</si>
  <si>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</si>
  <si>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</si>
  <si>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</si>
  <si>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</si>
  <si>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</si>
  <si>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</si>
  <si>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</si>
  <si>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Voltage</t>
  </si>
  <si>
    <t>Height of Water</t>
  </si>
  <si>
    <t>Pi</t>
  </si>
  <si>
    <t>Radius</t>
  </si>
  <si>
    <t>VoltoGal</t>
  </si>
  <si>
    <t>Gallons in Tank</t>
  </si>
  <si>
    <t>Height in Ft</t>
  </si>
  <si>
    <t>area</t>
  </si>
  <si>
    <t>y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</si>
  <si>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</si>
  <si>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</si>
  <si>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</si>
  <si>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</si>
  <si>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</si>
  <si>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</si>
  <si>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</si>
  <si>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</si>
  <si>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</si>
  <si>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</si>
  <si>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</si>
  <si>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</si>
  <si>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</si>
  <si>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</si>
  <si>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</si>
  <si>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</si>
  <si>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</si>
  <si>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</si>
  <si>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</si>
  <si>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</si>
  <si>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</si>
  <si>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</si>
  <si>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</si>
  <si>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</si>
  <si>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</si>
  <si>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</si>
  <si>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</si>
  <si>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</si>
  <si>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</si>
  <si>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</si>
  <si>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</si>
  <si>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</si>
  <si>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</si>
  <si>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</si>
  <si>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</si>
  <si>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</si>
  <si>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</si>
  <si>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</si>
  <si>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</si>
  <si>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</si>
  <si>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</si>
  <si>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</si>
  <si>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</si>
  <si>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</si>
  <si>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</si>
  <si>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</si>
  <si>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</si>
  <si>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</si>
  <si>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</si>
  <si>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</si>
  <si>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</si>
  <si>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</si>
  <si>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</si>
  <si>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</si>
  <si>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</si>
  <si>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</si>
  <si>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</si>
  <si>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</si>
  <si>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</si>
  <si>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</si>
  <si>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</si>
  <si>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</si>
  <si>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</si>
  <si>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</si>
  <si>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</si>
  <si>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</si>
  <si>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</si>
  <si>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</si>
  <si>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</si>
  <si>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</si>
  <si>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</si>
  <si>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</si>
  <si>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</si>
  <si>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</si>
  <si>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</si>
  <si>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</si>
  <si>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</si>
  <si>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</si>
  <si>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</si>
  <si>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</si>
  <si>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</si>
  <si>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</si>
  <si>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</si>
  <si>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</si>
  <si>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</si>
  <si>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</si>
  <si>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</si>
  <si>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</si>
  <si>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</si>
  <si>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</si>
  <si>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</si>
  <si>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</si>
  <si>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</si>
  <si>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</si>
  <si>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</si>
  <si>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</si>
  <si>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</si>
  <si>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</si>
  <si>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</si>
  <si>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</si>
  <si>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</si>
  <si>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</si>
  <si>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</si>
  <si>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</si>
  <si>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</si>
  <si>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</si>
  <si>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</si>
  <si>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</si>
  <si>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</si>
  <si>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</si>
  <si>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</si>
  <si>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</si>
  <si>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</si>
  <si>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</si>
  <si>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</si>
  <si>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</si>
  <si>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</si>
  <si>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</si>
  <si>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</si>
  <si>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</si>
  <si>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</si>
  <si>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</si>
  <si>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</si>
  <si>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</si>
  <si>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</si>
  <si>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</si>
  <si>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</si>
  <si>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</si>
  <si>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</si>
  <si>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</si>
  <si>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</si>
  <si>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</si>
  <si>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</si>
  <si>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</si>
  <si>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</si>
  <si>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</si>
  <si>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</si>
  <si>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</si>
  <si>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</si>
  <si>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</si>
  <si>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</si>
  <si>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</si>
  <si>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</si>
  <si>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</si>
  <si>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</si>
  <si>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</si>
  <si>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</si>
  <si>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</si>
  <si>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</si>
  <si>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</si>
  <si>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</si>
  <si>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</si>
  <si>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</si>
  <si>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</si>
  <si>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</si>
  <si>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</si>
  <si>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</si>
  <si>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</si>
  <si>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</si>
  <si>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</si>
  <si>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</si>
  <si>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</si>
  <si>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</si>
  <si>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</si>
  <si>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</si>
  <si>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</si>
  <si>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</si>
  <si>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</si>
  <si>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</si>
  <si>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</si>
  <si>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</si>
  <si>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</si>
  <si>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</si>
  <si>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</si>
  <si>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</si>
  <si>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</si>
  <si>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</si>
  <si>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</si>
  <si>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</si>
  <si>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</si>
  <si>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</si>
  <si>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</si>
  <si>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</si>
  <si>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</si>
  <si>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</si>
  <si>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</si>
  <si>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</si>
  <si>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</si>
  <si>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</si>
  <si>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</si>
  <si>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</si>
  <si>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</si>
  <si>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</si>
  <si>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</si>
  <si>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</si>
  <si>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</si>
  <si>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</si>
  <si>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</si>
  <si>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</si>
  <si>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</si>
  <si>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</si>
  <si>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</si>
  <si>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</si>
  <si>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</si>
  <si>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</si>
  <si>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</si>
  <si>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</si>
  <si>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</si>
  <si>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</si>
  <si>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</si>
  <si>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</si>
  <si>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</si>
  <si>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</si>
  <si>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</si>
  <si>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</si>
  <si>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</si>
  <si>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</si>
  <si>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</si>
  <si>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</si>
  <si>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</si>
  <si>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</si>
  <si>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</si>
  <si>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</si>
  <si>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</si>
  <si>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</si>
  <si>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</si>
  <si>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</si>
  <si>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</si>
  <si>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</si>
  <si>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</si>
  <si>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</si>
  <si>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</si>
  <si>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</si>
  <si>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</si>
  <si>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</si>
  <si>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</si>
  <si>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</si>
  <si>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</si>
  <si>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</si>
  <si>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</si>
  <si>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</si>
  <si>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</si>
  <si>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</si>
  <si>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</si>
  <si>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</si>
  <si>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</si>
  <si>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</si>
  <si>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</si>
  <si>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</si>
  <si>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</si>
  <si>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</si>
  <si>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</si>
  <si>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</si>
  <si>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</si>
  <si>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</si>
  <si>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</si>
  <si>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</si>
  <si>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</si>
  <si>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</si>
  <si>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</si>
  <si>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</si>
  <si>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</si>
  <si>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</si>
  <si>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</si>
  <si>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</si>
  <si>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</si>
  <si>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</si>
  <si>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</si>
  <si>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</si>
  <si>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</si>
  <si>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</si>
  <si>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</si>
  <si>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</si>
  <si>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</si>
  <si>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</si>
  <si>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</si>
  <si>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</si>
  <si>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</si>
  <si>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</si>
  <si>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</si>
  <si>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</si>
  <si>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</si>
  <si>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</si>
  <si>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</si>
  <si>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</si>
  <si>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</si>
  <si>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</si>
  <si>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</si>
  <si>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</si>
  <si>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</si>
  <si>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</si>
  <si>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</si>
  <si>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</si>
  <si>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</si>
  <si>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</si>
  <si>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</si>
  <si>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</si>
  <si>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</si>
  <si>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</si>
  <si>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</si>
  <si>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</si>
  <si>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</si>
  <si>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</si>
  <si>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</si>
  <si>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</si>
  <si>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</si>
  <si>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</si>
  <si>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</si>
  <si>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</si>
  <si>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</si>
  <si>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</si>
  <si>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</si>
  <si>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</si>
  <si>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Alarm ID</t>
  </si>
  <si>
    <t>Description</t>
  </si>
  <si>
    <t>Operator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</si>
  <si>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</si>
  <si>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</si>
  <si>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</si>
  <si>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</si>
  <si>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</si>
  <si>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</si>
  <si>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</si>
  <si>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</si>
  <si>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</si>
  <si>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</si>
  <si>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</si>
  <si>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</si>
  <si>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</si>
  <si>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</si>
  <si>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</si>
  <si>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</si>
  <si>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</si>
  <si>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</si>
  <si>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</si>
  <si>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</si>
  <si>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</si>
  <si>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</si>
  <si>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</si>
  <si>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</si>
  <si>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</si>
  <si>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</si>
  <si>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</si>
  <si>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</si>
  <si>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</si>
  <si>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</si>
  <si>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</si>
  <si>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</si>
  <si>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</si>
  <si>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</si>
  <si>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</si>
  <si>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</si>
  <si>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</si>
  <si>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</si>
  <si>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</si>
  <si>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</si>
  <si>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</si>
  <si>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</si>
  <si>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</si>
  <si>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</si>
  <si>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</si>
  <si>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</si>
  <si>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</si>
  <si>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</si>
  <si>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</si>
  <si>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</si>
  <si>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</si>
  <si>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</si>
  <si>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tank</t>
  </si>
  <si>
    <t>tank Flow Data</t>
  </si>
  <si>
    <t>S003D</t>
  </si>
  <si>
    <t>house</t>
  </si>
  <si>
    <t>house Flow Data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</si>
  <si>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</si>
  <si>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</si>
  <si>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</si>
  <si>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</si>
  <si>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</si>
  <si>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</si>
  <si>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</si>
  <si>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</si>
  <si>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</si>
  <si>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</si>
  <si>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Client</t>
  </si>
  <si>
    <t>Current Sense for Well #1</t>
  </si>
  <si>
    <t>Current Sense for Well #2</t>
  </si>
  <si>
    <t>Current Sense for Well #3</t>
  </si>
  <si>
    <t>Current Sense for Irrigation</t>
  </si>
  <si>
    <t>system operating temperature</t>
  </si>
  <si>
    <t>S005D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</si>
  <si>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</si>
  <si>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</si>
  <si>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</si>
  <si>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</si>
  <si>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</si>
  <si>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</si>
  <si>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</si>
  <si>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</si>
  <si>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</si>
  <si>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</si>
  <si>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</si>
  <si>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</si>
  <si>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</si>
  <si>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</si>
  <si>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</si>
  <si>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</si>
  <si>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Irrigation Monitor Client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</si>
  <si>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</si>
  <si>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</si>
  <si>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</si>
  <si>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</si>
  <si>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</si>
  <si>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</si>
  <si>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</si>
  <si>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</si>
  <si>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</si>
  <si>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</si>
  <si>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</si>
  <si>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</si>
  <si>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</si>
  <si>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</si>
  <si>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</si>
  <si>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</si>
  <si>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</si>
  <si>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</si>
  <si>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</si>
  <si>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</si>
  <si>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Monitor Data for Blynk</t>
  </si>
  <si>
    <t>Monitor Client</t>
  </si>
  <si>
    <t>Alert Data for Blynk</t>
  </si>
  <si>
    <t>Alert Client</t>
  </si>
  <si>
    <t>Alert 1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</si>
  <si>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</si>
  <si>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</si>
  <si>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</si>
  <si>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</si>
  <si>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</si>
  <si>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</si>
  <si>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</si>
  <si>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</si>
  <si>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</si>
  <si>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</si>
  <si>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</si>
  <si>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</si>
  <si>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</si>
  <si>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</si>
  <si>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</si>
  <si>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</si>
  <si>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</si>
  <si>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</si>
  <si>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</si>
  <si>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command_response_w2</t>
  </si>
  <si>
    <t>Command Data Word 2</t>
  </si>
  <si>
    <t>tankSens</t>
  </si>
  <si>
    <t>monitor</t>
  </si>
  <si>
    <t>alert</t>
  </si>
  <si>
    <t>houseSens</t>
  </si>
  <si>
    <t>wellSens</t>
  </si>
  <si>
    <t>irrigationSens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</si>
  <si>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</si>
  <si>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</si>
  <si>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</si>
  <si>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</si>
  <si>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</si>
  <si>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</si>
  <si>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</si>
  <si>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</si>
  <si>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</si>
  <si>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</si>
  <si>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</si>
  <si>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</si>
  <si>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</si>
  <si>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</si>
  <si>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</si>
  <si>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</si>
  <si>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</si>
  <si>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</si>
  <si>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</si>
  <si>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</si>
  <si>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</si>
  <si>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</si>
  <si>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</si>
  <si>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</si>
  <si>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</si>
  <si>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</si>
  <si>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</si>
  <si>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</si>
  <si>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</si>
  <si>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</si>
  <si>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</si>
  <si>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</si>
  <si>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</si>
  <si>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</si>
  <si>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</si>
  <si>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</si>
  <si>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</si>
  <si>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</si>
  <si>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</si>
  <si>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</si>
  <si>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</si>
  <si>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</si>
  <si>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</si>
  <si>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</si>
  <si>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</si>
  <si>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</si>
  <si>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Generic Sensor Extended Data</t>
  </si>
  <si>
    <t>Standard sensor is first set of data</t>
  </si>
  <si>
    <t>Extended sensor add the following fields</t>
  </si>
  <si>
    <t>{Topic ID is Computed}</t>
  </si>
  <si>
    <t>{Blank Indicates Topic ID is Computed}</t>
  </si>
  <si>
    <t>command/rainbird/command</t>
  </si>
  <si>
    <t>response/rainbird/+/active_zone</t>
  </si>
  <si>
    <t>Category</t>
  </si>
  <si>
    <t>sensor</t>
  </si>
  <si>
    <t>Spare 1</t>
  </si>
  <si>
    <t>Spare 2</t>
  </si>
  <si>
    <t>Spare 3</t>
  </si>
  <si>
    <t>Spare 4</t>
  </si>
  <si>
    <t>Pumps On Discrete &amp; Septic Alert Discrete</t>
  </si>
  <si>
    <t>Irrigation Pump Temp Low</t>
  </si>
  <si>
    <t>CONDITION_EQUAL</t>
  </si>
  <si>
    <t>CONDITION_LESS_THAN</t>
  </si>
  <si>
    <t>Irrigation Pump Temperature Exceeding Low Limit</t>
  </si>
  <si>
    <t>TRIGGER_DELAY</t>
  </si>
  <si>
    <t>tankMon_.tank.float2</t>
  </si>
  <si>
    <t>irrigationMon_.irrigation.PumpTemp</t>
  </si>
  <si>
    <t>House Supply Temp Low</t>
  </si>
  <si>
    <t>Irrigation Water Pressure Low</t>
  </si>
  <si>
    <t>tankMon_.tank.tank_gallons</t>
  </si>
  <si>
    <t>CONDITION_GREATER_THAN</t>
  </si>
  <si>
    <t>tankMon_.tank.tank_gallons_per_minute</t>
  </si>
  <si>
    <t>Water Well #3 Pump ON but Flow is Less Than 2 Gal per Minute</t>
  </si>
  <si>
    <t>monitor_.monitor.pump_run_time_1</t>
  </si>
  <si>
    <t>monitor_.monitor.pump_run_time_count</t>
  </si>
  <si>
    <t>Water Well Run Time Exceeds 25 Minutes Total</t>
  </si>
  <si>
    <t>Water Well Cycles Exceeds 15 per Day</t>
  </si>
  <si>
    <t>monitor_.monitor.pump_run_time_2</t>
  </si>
  <si>
    <t>monitor_.monitor.pump_run_time_3</t>
  </si>
  <si>
    <t>monitor_.monitor.pump_run_time_4</t>
  </si>
  <si>
    <t xml:space="preserve">houseMon_.house.houseSupplyTemp </t>
  </si>
  <si>
    <t>wellMon_.well.House_tank_pressure_switch_on</t>
  </si>
  <si>
    <t>AND</t>
  </si>
  <si>
    <t xml:space="preserve">      // Pulse frequency (Hz) = .5Q, Q is flow rate in L/min.</t>
  </si>
  <si>
    <t xml:space="preserve">      l_hour = (flow_frequency * 60 / .5); // (Pulse frequency x 60 min) / .5Q = flowrate in L/hour</t>
  </si>
  <si>
    <t>Pulses/Millisecond</t>
  </si>
  <si>
    <t>Pul/Sec</t>
  </si>
  <si>
    <t>Pul/min</t>
  </si>
  <si>
    <t>Litres/min</t>
  </si>
  <si>
    <t>Gal/min</t>
  </si>
  <si>
    <t>Gal/Hr</t>
  </si>
  <si>
    <t>Cal Factor</t>
  </si>
  <si>
    <t>Cal'd L/min</t>
  </si>
  <si>
    <t>Cal'd L/sec</t>
  </si>
  <si>
    <t>Cal'd Gal/sec</t>
  </si>
  <si>
    <t xml:space="preserve">    double elapsedTimeSec = elapsedTimeMs / 1000.0;</t>
  </si>
  <si>
    <t xml:space="preserve">    double frequency = pulses / elapsedTimeSec;</t>
  </si>
  <si>
    <t xml:space="preserve">    double flowRateLPM = 2 * frequency;</t>
  </si>
  <si>
    <t xml:space="preserve">    flowRateLPM *= calibrationFactor;</t>
  </si>
  <si>
    <t xml:space="preserve">    double flowRateGPM = flowRateLPM * LITRES_TO_GALLONS;</t>
  </si>
  <si>
    <t xml:space="preserve">    // Update total gallons flowed</t>
  </si>
  <si>
    <t xml:space="preserve">    double flowThisInterval = flowRateGPM * (elapsedTimeSec / 60.0); // Convert GPM to gallons for the current interval</t>
  </si>
  <si>
    <t xml:space="preserve">    totalGallonsFlowed += flowThisInterval;</t>
  </si>
  <si>
    <t xml:space="preserve">LITRES_TO_GALLONS </t>
  </si>
  <si>
    <t>amp_pump_1</t>
  </si>
  <si>
    <t>amp_pump_2</t>
  </si>
  <si>
    <t>amp_pump_3</t>
  </si>
  <si>
    <t>amp_pump_4</t>
  </si>
  <si>
    <t>amp_5</t>
  </si>
  <si>
    <t>amp_6</t>
  </si>
  <si>
    <t>amp_7</t>
  </si>
  <si>
    <t>amp_8</t>
  </si>
  <si>
    <t>amp count pump 1</t>
  </si>
  <si>
    <t>amp count pump 2</t>
  </si>
  <si>
    <t>amp count pump 3</t>
  </si>
  <si>
    <t>amp count pump 4</t>
  </si>
  <si>
    <t>amp count 5</t>
  </si>
  <si>
    <t>amp count 6</t>
  </si>
  <si>
    <t>amp count 7</t>
  </si>
  <si>
    <t>amp count 8</t>
  </si>
  <si>
    <t>Irrigation Pump</t>
  </si>
  <si>
    <t>L001D</t>
  </si>
  <si>
    <t>Log Data</t>
  </si>
  <si>
    <t>Log Client</t>
  </si>
  <si>
    <t>pump</t>
  </si>
  <si>
    <t>Pump Number 1,2,3 Wells &amp; 4 Irrigation</t>
  </si>
  <si>
    <t>param1</t>
  </si>
  <si>
    <t>param2</t>
  </si>
  <si>
    <t>Additional source desc - 1 front 2 back 3 outback</t>
  </si>
  <si>
    <t>Additional source desc - 1-22 zones</t>
  </si>
  <si>
    <t>intervalFlow</t>
  </si>
  <si>
    <t>pressure</t>
  </si>
  <si>
    <t>amperage</t>
  </si>
  <si>
    <t>Gallons Flowed in Interval</t>
  </si>
  <si>
    <t>Static Pressure</t>
  </si>
  <si>
    <t>Integer Represents Amps</t>
  </si>
  <si>
    <t>timestamp</t>
  </si>
  <si>
    <t>unix timestamp</t>
  </si>
  <si>
    <t>Tank_Water_Height</t>
  </si>
  <si>
    <t>Tank_Gallons</t>
  </si>
  <si>
    <t>Tank_Percent_Full</t>
  </si>
  <si>
    <t>House_Pressure</t>
  </si>
  <si>
    <t>Irrigation_Pressure</t>
  </si>
  <si>
    <t>House_Gallons_Minute</t>
  </si>
  <si>
    <t>Well3_Pressure</t>
  </si>
  <si>
    <t>Well3_Gallons_Minute</t>
  </si>
  <si>
    <t>Irrigation_Gallons_Minute</t>
  </si>
  <si>
    <t>House_Gallons_Day</t>
  </si>
  <si>
    <t>Well3_Gallons_Day</t>
  </si>
  <si>
    <t>Irrigation_Gallons_Day</t>
  </si>
  <si>
    <t>System_Temp</t>
  </si>
  <si>
    <t>House_Water_Temp</t>
  </si>
  <si>
    <t>Irrigation_Pump_Temp</t>
  </si>
  <si>
    <t>Air_Temp</t>
  </si>
  <si>
    <t>Spare1</t>
  </si>
  <si>
    <t>Spare2</t>
  </si>
  <si>
    <t>Well_1_LED_Bright</t>
  </si>
  <si>
    <t>Well_1_LED_Color</t>
  </si>
  <si>
    <t>Well_2_LED_Bright</t>
  </si>
  <si>
    <t>Well_2_LED_Color</t>
  </si>
  <si>
    <t>Well_3_LED_Bright</t>
  </si>
  <si>
    <t>Well_3_LED_Color</t>
  </si>
  <si>
    <t>Irrig_4_LED_Bright</t>
  </si>
  <si>
    <t>Irrig_4_LED_Color</t>
  </si>
  <si>
    <t>Spare1_LED_Bright</t>
  </si>
  <si>
    <t>Spare2_LED_Bright</t>
  </si>
  <si>
    <t>unused1</t>
  </si>
  <si>
    <t>unused2</t>
  </si>
  <si>
    <t>unused3</t>
  </si>
  <si>
    <t>unused4</t>
  </si>
  <si>
    <t>unused5</t>
  </si>
  <si>
    <t>unused6</t>
  </si>
  <si>
    <t>unused7</t>
  </si>
  <si>
    <t>unused8</t>
  </si>
  <si>
    <t>unused9</t>
  </si>
  <si>
    <t>unused10</t>
  </si>
  <si>
    <t>unused11</t>
  </si>
  <si>
    <t>unused12</t>
  </si>
  <si>
    <t>Controller</t>
  </si>
  <si>
    <t>wellMon_.well.septic_alert_on</t>
  </si>
  <si>
    <t>wellMon_.well.irrigation_pump_on</t>
  </si>
  <si>
    <t>wellMon_.well.well_pump_3_on</t>
  </si>
  <si>
    <t>houseMon_.house .housePressure</t>
  </si>
  <si>
    <t>irrigationMon_.irrigation.Pressure</t>
  </si>
  <si>
    <t>irrigationMon_.irrigation.FlowPerMin</t>
  </si>
  <si>
    <t>wellMon_.well.well_pump_1_on</t>
  </si>
  <si>
    <t>wellMon_.well.well_pump_2_on</t>
  </si>
  <si>
    <t>Alarm Type</t>
  </si>
  <si>
    <t>CRITICAL</t>
  </si>
  <si>
    <t>WARN</t>
  </si>
  <si>
    <t>INFO</t>
  </si>
  <si>
    <t>Conditional1</t>
  </si>
  <si>
    <t>Conditional2</t>
  </si>
  <si>
    <t>Event Sent</t>
  </si>
  <si>
    <t>Alert1</t>
  </si>
  <si>
    <t xml:space="preserve">Alert2 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</si>
  <si>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</si>
  <si>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</si>
  <si>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</si>
  <si>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</si>
  <si>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</si>
  <si>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</si>
  <si>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</si>
  <si>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</si>
  <si>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</si>
  <si>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</si>
  <si>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</si>
  <si>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</si>
  <si>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</si>
  <si>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</si>
  <si>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</si>
  <si>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</si>
  <si>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</si>
  <si>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</si>
  <si>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Alert21</t>
  </si>
  <si>
    <t>Alert22</t>
  </si>
  <si>
    <t>Alert23</t>
  </si>
  <si>
    <t>Alert24</t>
  </si>
  <si>
    <t>Alert25</t>
  </si>
  <si>
    <t>Alert26</t>
  </si>
  <si>
    <t>Alert27</t>
  </si>
  <si>
    <t>Alert28</t>
  </si>
  <si>
    <t>Alert29</t>
  </si>
  <si>
    <t>Alert30</t>
  </si>
  <si>
    <t>Alert31</t>
  </si>
  <si>
    <t>Alert32</t>
  </si>
  <si>
    <t>Alert33</t>
  </si>
  <si>
    <t>Alert34</t>
  </si>
  <si>
    <t>Alert35</t>
  </si>
  <si>
    <t>Alert36</t>
  </si>
  <si>
    <t>Alert37</t>
  </si>
  <si>
    <t>Alert38</t>
  </si>
  <si>
    <t>Alert39</t>
  </si>
  <si>
    <t>Alert40</t>
  </si>
  <si>
    <t>Alert 21</t>
  </si>
  <si>
    <t>Alert 22</t>
  </si>
  <si>
    <t>Alert 23</t>
  </si>
  <si>
    <t>Alert 24</t>
  </si>
  <si>
    <t>Alert 25</t>
  </si>
  <si>
    <t>Alert 26</t>
  </si>
  <si>
    <t>Alert 27</t>
  </si>
  <si>
    <t>Alert 28</t>
  </si>
  <si>
    <t>Alert 29</t>
  </si>
  <si>
    <t>Alert 30</t>
  </si>
  <si>
    <t>Alert 31</t>
  </si>
  <si>
    <t>Alert 32</t>
  </si>
  <si>
    <t>Alert 33</t>
  </si>
  <si>
    <t>Alert 34</t>
  </si>
  <si>
    <t>Alert 35</t>
  </si>
  <si>
    <t>Alert 36</t>
  </si>
  <si>
    <t>Alert 37</t>
  </si>
  <si>
    <t>Alert 38</t>
  </si>
  <si>
    <t>Alert 39</t>
  </si>
  <si>
    <t>Alert 40</t>
  </si>
  <si>
    <t>Label</t>
  </si>
  <si>
    <t>Event Message</t>
  </si>
  <si>
    <t>Well 1 Not Starting</t>
  </si>
  <si>
    <t>Well 2 Not Starting</t>
  </si>
  <si>
    <t>Well 3 Not Starting</t>
  </si>
  <si>
    <t>Well 1 Runtime Exceeded</t>
  </si>
  <si>
    <t>Well 1 Cycles Excessive</t>
  </si>
  <si>
    <t>Well 2 Runtime Exceeded</t>
  </si>
  <si>
    <t>Well 2 Cycles Excessive</t>
  </si>
  <si>
    <t>Well 3 Runtime Exceeded</t>
  </si>
  <si>
    <t>Well 3 Cycles Excessive</t>
  </si>
  <si>
    <t>Irrigation Runtime Exceeded</t>
  </si>
  <si>
    <t>Irrigation Cycles Excessive</t>
  </si>
  <si>
    <t>Tank Level Critically Low</t>
  </si>
  <si>
    <t>Trigger Var1</t>
  </si>
  <si>
    <t>Trigger Var2</t>
  </si>
  <si>
    <t>TrigValue1</t>
  </si>
  <si>
    <t>TrigValue2</t>
  </si>
  <si>
    <t>xx.xx</t>
  </si>
  <si>
    <t>A001C</t>
  </si>
  <si>
    <t>alertCommand</t>
  </si>
  <si>
    <t>Alert Command Block</t>
  </si>
  <si>
    <t>blynkAlert</t>
  </si>
  <si>
    <t>clearCommand</t>
  </si>
  <si>
    <t>Command Word - Clear</t>
  </si>
  <si>
    <t>1=Clear Alerts</t>
  </si>
  <si>
    <t>adc</t>
  </si>
  <si>
    <t>psi</t>
  </si>
  <si>
    <t>voltage</t>
  </si>
  <si>
    <t>pressurePSI</t>
  </si>
  <si>
    <t>temperatureF</t>
  </si>
  <si>
    <t>gallonsMinute</t>
  </si>
  <si>
    <t>gallonsDay</t>
  </si>
  <si>
    <t>controller</t>
  </si>
  <si>
    <t>zone</t>
  </si>
  <si>
    <t>cycleCount</t>
  </si>
  <si>
    <t>fwVersion</t>
  </si>
  <si>
    <t>Pressure in PSI - Atmospheric</t>
  </si>
  <si>
    <t>Temperature - Tank Valve</t>
  </si>
  <si>
    <t>Gallons in interval</t>
  </si>
  <si>
    <t>Amperage</t>
  </si>
  <si>
    <t>Gallons per Minute</t>
  </si>
  <si>
    <t>Pressure in PSI - House</t>
  </si>
  <si>
    <t>Temperature - House Supply</t>
  </si>
  <si>
    <t>Spare 5</t>
  </si>
  <si>
    <t>Spare</t>
  </si>
  <si>
    <t>W003D</t>
  </si>
  <si>
    <t>well3Mon</t>
  </si>
  <si>
    <t>Well3 Monitor</t>
  </si>
  <si>
    <t>well3</t>
  </si>
  <si>
    <t>Well3 Monitor Client</t>
  </si>
  <si>
    <t>Pressure in PSI - Well3</t>
  </si>
  <si>
    <t>Temperature - Well3 Supply Line</t>
  </si>
  <si>
    <t>Pressure in PSI - Irrigation</t>
  </si>
  <si>
    <t>Temperature - Irrigation Pump</t>
  </si>
  <si>
    <t>Irrigation Total Gallons (24hrs)</t>
  </si>
  <si>
    <t>House Total Gallons (24hrs)</t>
  </si>
  <si>
    <t>Well3 Total Gallons (24hrs)</t>
  </si>
  <si>
    <t>Gallons in interval -N/A</t>
  </si>
  <si>
    <t>Amperage -N/A</t>
  </si>
  <si>
    <t>well3Sens</t>
  </si>
  <si>
    <t>well3 Flow Data</t>
  </si>
  <si>
    <t>Well3 Flow Client</t>
  </si>
  <si>
    <t>logger</t>
  </si>
  <si>
    <t>logger Data</t>
  </si>
  <si>
    <t>Logger Client</t>
  </si>
  <si>
    <t>Well3</t>
  </si>
  <si>
    <t>Gallons</t>
  </si>
  <si>
    <t>1m</t>
  </si>
  <si>
    <t>secondsOn</t>
  </si>
  <si>
    <t>Seconds On Time for Pump</t>
  </si>
  <si>
    <t>Second on for Pump</t>
  </si>
  <si>
    <t>for Calculating Pump Run Times</t>
  </si>
  <si>
    <t>Current/Prior</t>
  </si>
  <si>
    <t>RunTime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</si>
</sst>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1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6" borderId="0" xfId="0" applyFill="1"/>
    <xf numFmtId="0" fontId="9" fillId="6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/>
    </xf>
    <xf numFmtId="0" fontId="12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4" fillId="0" borderId="0" xfId="0" applyFont="1"/>
    <xf numFmtId="0" fontId="15" fillId="0" borderId="0" xfId="0" applyFont="1"/>
    <xf numFmtId="2" fontId="0" fillId="0" borderId="0" xfId="0" applyNumberFormat="1"/>
    <xf numFmtId="0" fontId="16" fillId="0" borderId="0" xfId="0" applyFont="1"/>
    <xf numFmtId="0" fontId="17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7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3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3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14" fillId="0" borderId="0" xfId="0" applyFont="1" applyAlignment="1">
      <alignment wrapText="1"/>
    </xf>
    <xf numFmtId="0" fontId="4" fillId="2" borderId="0" xfId="0" applyFont="1" applyFill="1"/>
    <xf numFmtId="0" fontId="13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8" fillId="16" borderId="18" xfId="0" applyFont="1" applyFill="1" applyBorder="1"/>
    <xf numFmtId="0" fontId="4" fillId="0" borderId="0" xfId="0" applyFont="1"/>
    <xf numFmtId="0" fontId="0" fillId="0" borderId="21" xfId="0" applyBorder="1"/>
    <xf numFmtId="0" fontId="19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17" borderId="31" xfId="0" applyFill="1" applyBorder="1"/>
    <xf numFmtId="0" fontId="4" fillId="17" borderId="31" xfId="0" applyFont="1" applyFill="1" applyBorder="1"/>
    <xf numFmtId="0" fontId="4" fillId="17" borderId="32" xfId="0" applyFont="1" applyFill="1" applyBorder="1"/>
    <xf numFmtId="0" fontId="0" fillId="2" borderId="36" xfId="0" applyFill="1" applyBorder="1"/>
    <xf numFmtId="0" fontId="1" fillId="2" borderId="0" xfId="0" applyFont="1" applyFill="1"/>
    <xf numFmtId="0" fontId="17" fillId="18" borderId="0" xfId="0" applyFont="1" applyFill="1"/>
    <xf numFmtId="0" fontId="0" fillId="18" borderId="0" xfId="0" applyFill="1"/>
    <xf numFmtId="0" fontId="0" fillId="19" borderId="0" xfId="0" applyFill="1"/>
    <xf numFmtId="0" fontId="17" fillId="8" borderId="0" xfId="0" applyFont="1" applyFill="1"/>
    <xf numFmtId="0" fontId="8" fillId="16" borderId="18" xfId="0" applyFont="1" applyFill="1" applyBorder="1"/>
    <xf numFmtId="0" fontId="12" fillId="5" borderId="0" xfId="0" applyFont="1" applyFill="1" applyAlignment="1">
      <alignment horizontal="center" wrapText="1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right" wrapText="1"/>
    </xf>
    <xf numFmtId="0" fontId="18" fillId="0" borderId="0" xfId="0" applyFont="1"/>
    <xf numFmtId="0" fontId="0" fillId="5" borderId="19" xfId="0" applyFill="1" applyBorder="1"/>
    <xf numFmtId="0" fontId="0" fillId="5" borderId="20" xfId="0" applyFill="1" applyBorder="1" applyAlignment="1">
      <alignment horizontal="left"/>
    </xf>
    <xf numFmtId="0" fontId="0" fillId="5" borderId="20" xfId="0" applyFill="1" applyBorder="1"/>
    <xf numFmtId="0" fontId="0" fillId="5" borderId="21" xfId="0" applyFill="1" applyBorder="1"/>
    <xf numFmtId="0" fontId="0" fillId="5" borderId="0" xfId="0" applyFill="1" applyAlignment="1">
      <alignment horizontal="left"/>
    </xf>
    <xf numFmtId="0" fontId="0" fillId="5" borderId="0" xfId="0" applyFill="1"/>
    <xf numFmtId="0" fontId="0" fillId="5" borderId="25" xfId="0" applyFill="1" applyBorder="1" applyAlignment="1">
      <alignment horizontal="left"/>
    </xf>
    <xf numFmtId="0" fontId="0" fillId="5" borderId="25" xfId="0" applyFill="1" applyBorder="1"/>
    <xf numFmtId="0" fontId="0" fillId="5" borderId="28" xfId="0" applyFill="1" applyBorder="1"/>
    <xf numFmtId="0" fontId="0" fillId="5" borderId="14" xfId="0" applyFill="1" applyBorder="1"/>
    <xf numFmtId="0" fontId="0" fillId="5" borderId="18" xfId="0" applyFill="1" applyBorder="1"/>
    <xf numFmtId="0" fontId="0" fillId="5" borderId="22" xfId="0" applyFill="1" applyBorder="1"/>
    <xf numFmtId="0" fontId="4" fillId="5" borderId="18" xfId="0" applyFont="1" applyFill="1" applyBorder="1"/>
    <xf numFmtId="0" fontId="20" fillId="5" borderId="18" xfId="0" applyFont="1" applyFill="1" applyBorder="1"/>
    <xf numFmtId="0" fontId="0" fillId="0" borderId="18" xfId="0" applyBorder="1"/>
    <xf numFmtId="0" fontId="21" fillId="0" borderId="18" xfId="0" applyFont="1" applyBorder="1" applyAlignment="1">
      <alignment horizontal="center"/>
    </xf>
    <xf numFmtId="0" fontId="14" fillId="20" borderId="22" xfId="0" applyFont="1" applyFill="1" applyBorder="1"/>
    <xf numFmtId="0" fontId="14" fillId="20" borderId="38" xfId="0" applyFont="1" applyFill="1" applyBorder="1"/>
    <xf numFmtId="0" fontId="22" fillId="20" borderId="38" xfId="0" applyFont="1" applyFill="1" applyBorder="1"/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1" fillId="0" borderId="18" xfId="0" applyFont="1" applyBorder="1" applyAlignment="1">
      <alignment horizontal="right"/>
    </xf>
    <xf numFmtId="21" fontId="21" fillId="0" borderId="18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PSI!$B$12</c:f>
              <c:strCache>
                <c:ptCount val="1"/>
                <c:pt idx="0">
                  <c:v>pressure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PSI!$A$13:$A$17</c:f>
              <c:numCache>
                <c:formatCode>General</c:formatCode>
                <c:ptCount val="5"/>
                <c:pt idx="0">
                  <c:v>505</c:v>
                </c:pt>
                <c:pt idx="1">
                  <c:v>482</c:v>
                </c:pt>
                <c:pt idx="2">
                  <c:v>460</c:v>
                </c:pt>
                <c:pt idx="3">
                  <c:v>454</c:v>
                </c:pt>
                <c:pt idx="4">
                  <c:v>422</c:v>
                </c:pt>
              </c:numCache>
            </c:numRef>
          </c:xVal>
          <c:yVal>
            <c:numRef>
              <c:f>PSI!$B$13:$B$17</c:f>
              <c:numCache>
                <c:formatCode>General</c:formatCode>
                <c:ptCount val="5"/>
                <c:pt idx="0">
                  <c:v>63</c:v>
                </c:pt>
                <c:pt idx="1">
                  <c:v>59</c:v>
                </c:pt>
                <c:pt idx="2">
                  <c:v>56</c:v>
                </c:pt>
                <c:pt idx="3">
                  <c:v>55</c:v>
                </c:pt>
                <c:pt idx="4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45-4146-A2B0-301D29635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470768"/>
        <c:axId val="428446640"/>
      </c:scatterChart>
      <c:valAx>
        <c:axId val="77947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446640"/>
        <c:crosses val="autoZero"/>
        <c:crossBetween val="midCat"/>
      </c:valAx>
      <c:valAx>
        <c:axId val="42844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47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PSI!$B$22</c:f>
              <c:strCache>
                <c:ptCount val="1"/>
                <c:pt idx="0">
                  <c:v>pressure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PSI!$A$23:$A$27</c:f>
              <c:numCache>
                <c:formatCode>General</c:formatCode>
                <c:ptCount val="5"/>
                <c:pt idx="0">
                  <c:v>518</c:v>
                </c:pt>
                <c:pt idx="1">
                  <c:v>429</c:v>
                </c:pt>
                <c:pt idx="2">
                  <c:v>293</c:v>
                </c:pt>
                <c:pt idx="3">
                  <c:v>267</c:v>
                </c:pt>
                <c:pt idx="4">
                  <c:v>183</c:v>
                </c:pt>
              </c:numCache>
            </c:numRef>
          </c:xVal>
          <c:yVal>
            <c:numRef>
              <c:f>PSI!$B$23:$B$27</c:f>
              <c:numCache>
                <c:formatCode>General</c:formatCode>
                <c:ptCount val="5"/>
                <c:pt idx="0">
                  <c:v>43.5</c:v>
                </c:pt>
                <c:pt idx="1">
                  <c:v>33.200000000000003</c:v>
                </c:pt>
                <c:pt idx="2">
                  <c:v>19.5</c:v>
                </c:pt>
                <c:pt idx="3">
                  <c:v>16.600000000000001</c:v>
                </c:pt>
                <c:pt idx="4">
                  <c:v>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3-0C4C-9422-F8A813362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832416"/>
        <c:axId val="530915632"/>
      </c:scatterChart>
      <c:valAx>
        <c:axId val="47683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15632"/>
        <c:crosses val="autoZero"/>
        <c:crossBetween val="midCat"/>
      </c:valAx>
      <c:valAx>
        <c:axId val="53091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3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800100</xdr:colOff>
      <xdr:row>294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19</xdr:col>
      <xdr:colOff>0</xdr:colOff>
      <xdr:row>381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783166</xdr:colOff>
      <xdr:row>254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19</xdr:col>
      <xdr:colOff>52916</xdr:colOff>
      <xdr:row>188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4</xdr:row>
      <xdr:rowOff>190500</xdr:rowOff>
    </xdr:from>
    <xdr:to>
      <xdr:col>17</xdr:col>
      <xdr:colOff>241300</xdr:colOff>
      <xdr:row>27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33A441-C430-7D4D-B261-74271B433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711200</xdr:colOff>
      <xdr:row>10</xdr:row>
      <xdr:rowOff>171450</xdr:rowOff>
    </xdr:from>
    <xdr:to>
      <xdr:col>24</xdr:col>
      <xdr:colOff>330200</xdr:colOff>
      <xdr:row>24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F3F960-C2BC-4F46-7CC0-8F9B411270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520700</xdr:colOff>
      <xdr:row>0</xdr:row>
      <xdr:rowOff>182033</xdr:rowOff>
    </xdr:from>
    <xdr:ext cx="2766142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33BC6C5-0AB2-CA4E-BD5A-2D364CE0001E}"/>
            </a:ext>
          </a:extLst>
        </xdr:cNvPr>
        <xdr:cNvSpPr txBox="1"/>
      </xdr:nvSpPr>
      <xdr:spPr>
        <a:xfrm>
          <a:off x="5516033" y="182033"/>
          <a:ext cx="27661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kern="1200"/>
            <a:t>Pull down Selection:  1m, 5m,  1h, 12h, 24h, ...</a:t>
          </a:r>
        </a:p>
      </xdr:txBody>
    </xdr:sp>
    <xdr:clientData/>
  </xdr:oneCellAnchor>
  <xdr:twoCellAnchor>
    <xdr:from>
      <xdr:col>6</xdr:col>
      <xdr:colOff>316454</xdr:colOff>
      <xdr:row>1</xdr:row>
      <xdr:rowOff>82891</xdr:rowOff>
    </xdr:from>
    <xdr:to>
      <xdr:col>6</xdr:col>
      <xdr:colOff>814212</xdr:colOff>
      <xdr:row>1</xdr:row>
      <xdr:rowOff>103011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9E598C7-0169-4548-9468-E41238E215E3}"/>
            </a:ext>
          </a:extLst>
        </xdr:cNvPr>
        <xdr:cNvCxnSpPr/>
      </xdr:nvCxnSpPr>
      <xdr:spPr>
        <a:xfrm flipH="1">
          <a:off x="5311787" y="280447"/>
          <a:ext cx="497758" cy="201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983B86E-B1EA-A44C-A5B8-D392F069BE7A}">
  <dimension ref="A1"/>
  <sheetViews>
    <sheetView showFormulas="1" workbookViewId="0"/>
  </sheetViews>
  <sheetFormatPr baseColWidth="10" defaultRowHeight="16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>
    <tabColor theme="0" tint="-0.14999847407452621"/>
  </sheetPr>
  <dimension ref="B3:K133"/>
  <sheetViews>
    <sheetView topLeftCell="A5"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>
    <tabColor theme="0" tint="-0.14999847407452621"/>
  </sheetPr>
  <dimension ref="A4:R191"/>
  <sheetViews>
    <sheetView topLeftCell="B1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677</v>
      </c>
      <c r="D4" s="20" t="s">
        <v>302</v>
      </c>
    </row>
    <row r="5" spans="2:5" x14ac:dyDescent="0.2">
      <c r="D5" s="25" t="s">
        <v>675</v>
      </c>
      <c r="E5" s="25" t="s">
        <v>676</v>
      </c>
    </row>
    <row r="6" spans="2:5" x14ac:dyDescent="0.2">
      <c r="B6" t="s">
        <v>685</v>
      </c>
      <c r="C6" t="s">
        <v>206</v>
      </c>
      <c r="D6" s="3" t="s">
        <v>189</v>
      </c>
      <c r="E6" s="6" t="s">
        <v>678</v>
      </c>
    </row>
    <row r="7" spans="2:5" x14ac:dyDescent="0.2">
      <c r="B7" t="s">
        <v>686</v>
      </c>
      <c r="C7" t="s">
        <v>206</v>
      </c>
      <c r="D7" s="3" t="s">
        <v>47</v>
      </c>
      <c r="E7" s="6" t="s">
        <v>679</v>
      </c>
    </row>
    <row r="8" spans="2:5" x14ac:dyDescent="0.2">
      <c r="B8" t="s">
        <v>687</v>
      </c>
      <c r="C8" t="s">
        <v>206</v>
      </c>
      <c r="D8" s="3" t="s">
        <v>48</v>
      </c>
      <c r="E8" s="6" t="s">
        <v>680</v>
      </c>
    </row>
    <row r="9" spans="2:5" x14ac:dyDescent="0.2">
      <c r="B9" t="s">
        <v>296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297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317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318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319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332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333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689</v>
      </c>
      <c r="C16" t="s">
        <v>206</v>
      </c>
      <c r="D16" s="3" t="s">
        <v>56</v>
      </c>
      <c r="E16" s="6" t="s">
        <v>688</v>
      </c>
    </row>
    <row r="17" spans="2:18" x14ac:dyDescent="0.2">
      <c r="B17" t="s">
        <v>335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290</v>
      </c>
      <c r="C18" t="s">
        <v>206</v>
      </c>
      <c r="D18" s="3" t="s">
        <v>58</v>
      </c>
      <c r="E18" s="6" t="s">
        <v>434</v>
      </c>
    </row>
    <row r="19" spans="2:18" x14ac:dyDescent="0.2">
      <c r="B19" t="s">
        <v>336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337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338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339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681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682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683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684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690</v>
      </c>
      <c r="P29">
        <v>0</v>
      </c>
      <c r="Q29" t="s">
        <v>347</v>
      </c>
      <c r="R29" t="s">
        <v>389</v>
      </c>
    </row>
    <row r="30" spans="2:18" ht="17" thickBot="1" x14ac:dyDescent="0.25">
      <c r="D30" s="4" t="s">
        <v>2</v>
      </c>
      <c r="E30" s="7"/>
      <c r="P30">
        <v>1</v>
      </c>
      <c r="Q30" t="s">
        <v>348</v>
      </c>
      <c r="R30" t="s">
        <v>390</v>
      </c>
    </row>
    <row r="31" spans="2:18" x14ac:dyDescent="0.2">
      <c r="P31">
        <v>2</v>
      </c>
      <c r="Q31" t="s">
        <v>384</v>
      </c>
      <c r="R31" t="s">
        <v>391</v>
      </c>
    </row>
    <row r="32" spans="2:18" x14ac:dyDescent="0.2">
      <c r="P32">
        <v>3</v>
      </c>
      <c r="Q32" t="s">
        <v>386</v>
      </c>
      <c r="R32" t="s">
        <v>392</v>
      </c>
    </row>
    <row r="33" spans="1:18" x14ac:dyDescent="0.2">
      <c r="P33">
        <v>4</v>
      </c>
      <c r="Q33" t="s">
        <v>385</v>
      </c>
      <c r="R33" t="s">
        <v>393</v>
      </c>
    </row>
    <row r="34" spans="1:18" x14ac:dyDescent="0.2">
      <c r="P34">
        <v>5</v>
      </c>
      <c r="Q34" t="s">
        <v>444</v>
      </c>
      <c r="R34" t="s">
        <v>394</v>
      </c>
    </row>
    <row r="35" spans="1:18" x14ac:dyDescent="0.2">
      <c r="P35">
        <v>6</v>
      </c>
      <c r="Q35" t="s">
        <v>388</v>
      </c>
      <c r="R35" t="s">
        <v>395</v>
      </c>
    </row>
    <row r="36" spans="1:18" x14ac:dyDescent="0.2">
      <c r="P36">
        <v>7</v>
      </c>
      <c r="Q36" t="s">
        <v>387</v>
      </c>
      <c r="R36" t="s">
        <v>396</v>
      </c>
    </row>
    <row r="37" spans="1:18" ht="19" x14ac:dyDescent="0.25">
      <c r="B37" t="s">
        <v>427</v>
      </c>
      <c r="D37" s="20" t="s">
        <v>302</v>
      </c>
      <c r="J37" s="19" t="s">
        <v>298</v>
      </c>
      <c r="N37" t="s">
        <v>422</v>
      </c>
    </row>
    <row r="38" spans="1:18" x14ac:dyDescent="0.2">
      <c r="A38" t="s">
        <v>419</v>
      </c>
      <c r="D38" s="25" t="s">
        <v>347</v>
      </c>
      <c r="E38" s="25" t="s">
        <v>435</v>
      </c>
      <c r="J38" s="25" t="s">
        <v>386</v>
      </c>
      <c r="K38" s="25" t="s">
        <v>392</v>
      </c>
      <c r="M38" t="s">
        <v>397</v>
      </c>
    </row>
    <row r="39" spans="1:18" ht="35" customHeight="1" x14ac:dyDescent="0.2">
      <c r="A39" t="s">
        <v>208</v>
      </c>
      <c r="B39" t="s">
        <v>326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370</v>
      </c>
      <c r="M39" t="s">
        <v>87</v>
      </c>
      <c r="N39" t="s">
        <v>373</v>
      </c>
      <c r="O39" t="s">
        <v>206</v>
      </c>
    </row>
    <row r="40" spans="1:18" x14ac:dyDescent="0.2">
      <c r="A40" t="s">
        <v>208</v>
      </c>
      <c r="B40" t="s">
        <v>327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286</v>
      </c>
      <c r="O40" t="s">
        <v>206</v>
      </c>
    </row>
    <row r="41" spans="1:18" x14ac:dyDescent="0.2">
      <c r="A41" t="s">
        <v>208</v>
      </c>
      <c r="B41" t="s">
        <v>328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287</v>
      </c>
      <c r="O41" t="s">
        <v>206</v>
      </c>
    </row>
    <row r="42" spans="1:18" x14ac:dyDescent="0.2">
      <c r="A42" t="s">
        <v>208</v>
      </c>
      <c r="B42" t="s">
        <v>404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288</v>
      </c>
      <c r="O42" t="s">
        <v>206</v>
      </c>
    </row>
    <row r="43" spans="1:18" x14ac:dyDescent="0.2">
      <c r="A43" t="s">
        <v>208</v>
      </c>
      <c r="B43" t="s">
        <v>405</v>
      </c>
      <c r="C43" t="s">
        <v>206</v>
      </c>
      <c r="D43" s="3" t="s">
        <v>50</v>
      </c>
      <c r="E43" s="37" t="s">
        <v>366</v>
      </c>
      <c r="J43" s="3" t="s">
        <v>69</v>
      </c>
      <c r="K43" s="6" t="s">
        <v>372</v>
      </c>
      <c r="M43" t="s">
        <v>87</v>
      </c>
      <c r="N43" t="s">
        <v>374</v>
      </c>
      <c r="O43" t="s">
        <v>206</v>
      </c>
    </row>
    <row r="44" spans="1:18" x14ac:dyDescent="0.2">
      <c r="A44" t="s">
        <v>208</v>
      </c>
      <c r="B44" t="s">
        <v>406</v>
      </c>
      <c r="C44" t="s">
        <v>206</v>
      </c>
      <c r="D44" s="3" t="s">
        <v>51</v>
      </c>
      <c r="E44" s="37" t="s">
        <v>367</v>
      </c>
      <c r="J44" s="3" t="s">
        <v>70</v>
      </c>
      <c r="K44" s="6" t="s">
        <v>691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407</v>
      </c>
      <c r="C45" t="s">
        <v>206</v>
      </c>
      <c r="D45" s="3" t="s">
        <v>52</v>
      </c>
      <c r="E45" s="37" t="s">
        <v>368</v>
      </c>
      <c r="J45" s="3" t="s">
        <v>71</v>
      </c>
      <c r="K45" s="6" t="s">
        <v>692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408</v>
      </c>
      <c r="C46" t="s">
        <v>206</v>
      </c>
      <c r="D46" s="3" t="s">
        <v>53</v>
      </c>
      <c r="E46" s="37" t="s">
        <v>369</v>
      </c>
      <c r="J46" s="3" t="s">
        <v>72</v>
      </c>
      <c r="K46" s="6" t="s">
        <v>693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296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694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297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317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290</v>
      </c>
      <c r="O49" t="s">
        <v>206</v>
      </c>
    </row>
    <row r="50" spans="1:15" x14ac:dyDescent="0.2">
      <c r="A50" t="s">
        <v>208</v>
      </c>
      <c r="B50" t="s">
        <v>318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371</v>
      </c>
      <c r="M50" t="s">
        <v>87</v>
      </c>
      <c r="N50" t="s">
        <v>375</v>
      </c>
      <c r="O50" t="s">
        <v>206</v>
      </c>
    </row>
    <row r="51" spans="1:15" x14ac:dyDescent="0.2">
      <c r="A51" t="s">
        <v>208</v>
      </c>
      <c r="B51" t="s">
        <v>290</v>
      </c>
      <c r="C51" t="s">
        <v>206</v>
      </c>
      <c r="D51" s="3" t="s">
        <v>58</v>
      </c>
      <c r="E51" s="6" t="s">
        <v>434</v>
      </c>
      <c r="J51" s="3" t="s">
        <v>77</v>
      </c>
      <c r="K51" s="6" t="s">
        <v>31</v>
      </c>
      <c r="M51" t="s">
        <v>87</v>
      </c>
      <c r="N51" t="s">
        <v>291</v>
      </c>
      <c r="O51" t="s">
        <v>206</v>
      </c>
    </row>
    <row r="52" spans="1:15" x14ac:dyDescent="0.2">
      <c r="A52" t="s">
        <v>208</v>
      </c>
      <c r="B52" t="s">
        <v>319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292</v>
      </c>
      <c r="O52" t="s">
        <v>206</v>
      </c>
    </row>
    <row r="53" spans="1:15" x14ac:dyDescent="0.2">
      <c r="A53" t="s">
        <v>208</v>
      </c>
      <c r="B53" t="s">
        <v>332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293</v>
      </c>
      <c r="O53" t="s">
        <v>206</v>
      </c>
    </row>
    <row r="54" spans="1:15" x14ac:dyDescent="0.2">
      <c r="A54" t="s">
        <v>208</v>
      </c>
      <c r="B54" t="s">
        <v>333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294</v>
      </c>
      <c r="O54" t="s">
        <v>206</v>
      </c>
    </row>
    <row r="55" spans="1:15" x14ac:dyDescent="0.2">
      <c r="A55" t="s">
        <v>208</v>
      </c>
      <c r="B55" t="s">
        <v>334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409</v>
      </c>
      <c r="C56" t="s">
        <v>206</v>
      </c>
      <c r="D56" s="3" t="s">
        <v>63</v>
      </c>
      <c r="E56" s="6" t="s">
        <v>355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410</v>
      </c>
      <c r="C57" t="s">
        <v>206</v>
      </c>
      <c r="D57" s="3" t="s">
        <v>64</v>
      </c>
      <c r="E57" s="6" t="s">
        <v>356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335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336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325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325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411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428</v>
      </c>
      <c r="D67" s="20" t="s">
        <v>303</v>
      </c>
      <c r="J67" s="20" t="s">
        <v>299</v>
      </c>
      <c r="N67" t="s">
        <v>423</v>
      </c>
    </row>
    <row r="68" spans="1:15" x14ac:dyDescent="0.2">
      <c r="A68" t="s">
        <v>305</v>
      </c>
      <c r="D68" s="25" t="s">
        <v>348</v>
      </c>
      <c r="E68" s="25" t="s">
        <v>436</v>
      </c>
      <c r="J68" s="25" t="s">
        <v>385</v>
      </c>
      <c r="K68" s="25" t="s">
        <v>393</v>
      </c>
      <c r="M68" t="s">
        <v>415</v>
      </c>
    </row>
    <row r="69" spans="1:15" ht="29" customHeight="1" x14ac:dyDescent="0.2">
      <c r="A69" t="s">
        <v>208</v>
      </c>
      <c r="B69" t="s">
        <v>439</v>
      </c>
      <c r="C69" t="s">
        <v>206</v>
      </c>
      <c r="D69" s="3" t="s">
        <v>189</v>
      </c>
      <c r="E69" s="6" t="s">
        <v>359</v>
      </c>
      <c r="J69" s="3" t="s">
        <v>86</v>
      </c>
      <c r="K69" s="6" t="s">
        <v>376</v>
      </c>
      <c r="M69" t="s">
        <v>87</v>
      </c>
      <c r="N69" t="s">
        <v>398</v>
      </c>
      <c r="O69" t="s">
        <v>206</v>
      </c>
    </row>
    <row r="70" spans="1:15" x14ac:dyDescent="0.2">
      <c r="A70" t="s">
        <v>208</v>
      </c>
      <c r="B70" t="s">
        <v>440</v>
      </c>
      <c r="C70" t="s">
        <v>206</v>
      </c>
      <c r="D70" s="3" t="s">
        <v>47</v>
      </c>
      <c r="E70" s="6" t="s">
        <v>360</v>
      </c>
      <c r="J70" s="3" t="s">
        <v>88</v>
      </c>
      <c r="K70" s="6" t="s">
        <v>377</v>
      </c>
      <c r="M70" t="s">
        <v>87</v>
      </c>
      <c r="N70" t="s">
        <v>399</v>
      </c>
      <c r="O70" t="s">
        <v>206</v>
      </c>
    </row>
    <row r="71" spans="1:15" x14ac:dyDescent="0.2">
      <c r="A71" t="s">
        <v>208</v>
      </c>
      <c r="B71" t="s">
        <v>441</v>
      </c>
      <c r="C71" t="s">
        <v>206</v>
      </c>
      <c r="D71" s="3" t="s">
        <v>48</v>
      </c>
      <c r="E71" s="6" t="s">
        <v>361</v>
      </c>
      <c r="J71" s="3" t="s">
        <v>67</v>
      </c>
      <c r="K71" s="6" t="s">
        <v>378</v>
      </c>
      <c r="M71" t="s">
        <v>87</v>
      </c>
      <c r="N71" t="s">
        <v>400</v>
      </c>
      <c r="O71" t="s">
        <v>206</v>
      </c>
    </row>
    <row r="72" spans="1:15" x14ac:dyDescent="0.2">
      <c r="A72" t="s">
        <v>208</v>
      </c>
      <c r="B72" t="s">
        <v>442</v>
      </c>
      <c r="C72" t="s">
        <v>206</v>
      </c>
      <c r="D72" s="3" t="s">
        <v>49</v>
      </c>
      <c r="E72" s="6" t="s">
        <v>362</v>
      </c>
      <c r="J72" s="3" t="s">
        <v>68</v>
      </c>
      <c r="K72" s="6" t="s">
        <v>379</v>
      </c>
      <c r="M72" t="s">
        <v>87</v>
      </c>
      <c r="N72" t="s">
        <v>401</v>
      </c>
      <c r="O72" t="s">
        <v>206</v>
      </c>
    </row>
    <row r="73" spans="1:15" x14ac:dyDescent="0.2">
      <c r="A73" t="s">
        <v>208</v>
      </c>
      <c r="B73" t="s">
        <v>295</v>
      </c>
      <c r="C73" t="s">
        <v>206</v>
      </c>
      <c r="D73" s="3" t="s">
        <v>50</v>
      </c>
      <c r="E73" s="6" t="s">
        <v>363</v>
      </c>
      <c r="J73" s="3" t="s">
        <v>69</v>
      </c>
      <c r="K73" s="6" t="s">
        <v>380</v>
      </c>
      <c r="M73" t="s">
        <v>87</v>
      </c>
      <c r="N73" t="s">
        <v>295</v>
      </c>
      <c r="O73" t="s">
        <v>206</v>
      </c>
    </row>
    <row r="74" spans="1:15" x14ac:dyDescent="0.2">
      <c r="A74" t="s">
        <v>208</v>
      </c>
      <c r="B74" t="s">
        <v>438</v>
      </c>
      <c r="C74" t="s">
        <v>206</v>
      </c>
      <c r="D74" s="3" t="s">
        <v>51</v>
      </c>
      <c r="E74" s="6" t="s">
        <v>364</v>
      </c>
      <c r="J74" s="3" t="s">
        <v>70</v>
      </c>
      <c r="K74" s="6" t="s">
        <v>381</v>
      </c>
      <c r="M74" t="s">
        <v>87</v>
      </c>
      <c r="N74" t="s">
        <v>402</v>
      </c>
      <c r="O74" t="s">
        <v>206</v>
      </c>
    </row>
    <row r="75" spans="1:15" x14ac:dyDescent="0.2">
      <c r="A75" t="s">
        <v>208</v>
      </c>
      <c r="B75" t="s">
        <v>403</v>
      </c>
      <c r="C75" t="s">
        <v>206</v>
      </c>
      <c r="D75" s="3" t="s">
        <v>52</v>
      </c>
      <c r="E75" s="6" t="s">
        <v>365</v>
      </c>
      <c r="J75" s="3" t="s">
        <v>71</v>
      </c>
      <c r="K75" s="6" t="s">
        <v>382</v>
      </c>
      <c r="M75" t="s">
        <v>87</v>
      </c>
      <c r="N75" t="s">
        <v>403</v>
      </c>
      <c r="O75" t="s">
        <v>206</v>
      </c>
    </row>
    <row r="76" spans="1:15" x14ac:dyDescent="0.2">
      <c r="A76" t="s">
        <v>208</v>
      </c>
      <c r="B76" t="s">
        <v>296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297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317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314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383</v>
      </c>
      <c r="M79" t="s">
        <v>87</v>
      </c>
      <c r="N79" t="s">
        <v>357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290</v>
      </c>
      <c r="C81" t="s">
        <v>206</v>
      </c>
      <c r="D81" s="3" t="s">
        <v>58</v>
      </c>
      <c r="E81" s="6" t="s">
        <v>445</v>
      </c>
      <c r="J81" s="3" t="s">
        <v>77</v>
      </c>
      <c r="K81" s="6" t="s">
        <v>29</v>
      </c>
      <c r="M81" t="s">
        <v>87</v>
      </c>
      <c r="N81" t="s">
        <v>290</v>
      </c>
      <c r="O81" t="s">
        <v>206</v>
      </c>
    </row>
    <row r="82" spans="1:15" x14ac:dyDescent="0.2">
      <c r="A82" t="s">
        <v>208</v>
      </c>
      <c r="B82" t="s">
        <v>318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319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332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333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334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335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336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324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325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412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6" t="s">
        <v>429</v>
      </c>
      <c r="D99" s="20" t="s">
        <v>304</v>
      </c>
      <c r="J99" s="20" t="s">
        <v>300</v>
      </c>
      <c r="N99" s="26" t="s">
        <v>424</v>
      </c>
    </row>
    <row r="100" spans="1:15" x14ac:dyDescent="0.2">
      <c r="A100" t="s">
        <v>344</v>
      </c>
      <c r="D100" s="25" t="s">
        <v>384</v>
      </c>
      <c r="E100" s="25" t="s">
        <v>437</v>
      </c>
      <c r="J100" s="25" t="s">
        <v>443</v>
      </c>
      <c r="K100" s="25" t="s">
        <v>394</v>
      </c>
      <c r="M100" t="s">
        <v>416</v>
      </c>
    </row>
    <row r="101" spans="1:15" x14ac:dyDescent="0.2">
      <c r="A101" t="s">
        <v>208</v>
      </c>
      <c r="B101" t="s">
        <v>326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430</v>
      </c>
      <c r="O101" t="s">
        <v>206</v>
      </c>
    </row>
    <row r="102" spans="1:15" x14ac:dyDescent="0.2">
      <c r="A102" t="s">
        <v>208</v>
      </c>
      <c r="B102" t="s">
        <v>327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431</v>
      </c>
      <c r="O102" t="s">
        <v>206</v>
      </c>
    </row>
    <row r="103" spans="1:15" x14ac:dyDescent="0.2">
      <c r="A103" t="s">
        <v>208</v>
      </c>
      <c r="B103" t="s">
        <v>328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432</v>
      </c>
      <c r="O103" t="s">
        <v>206</v>
      </c>
    </row>
    <row r="104" spans="1:15" x14ac:dyDescent="0.2">
      <c r="A104" t="s">
        <v>208</v>
      </c>
      <c r="B104" t="s">
        <v>329</v>
      </c>
      <c r="C104" t="s">
        <v>206</v>
      </c>
      <c r="D104" s="3" t="s">
        <v>49</v>
      </c>
      <c r="E104" s="37" t="s">
        <v>111</v>
      </c>
      <c r="J104" s="3" t="s">
        <v>68</v>
      </c>
      <c r="K104" s="6" t="s">
        <v>116</v>
      </c>
      <c r="M104" t="s">
        <v>87</v>
      </c>
      <c r="N104" t="s">
        <v>433</v>
      </c>
      <c r="O104" t="s">
        <v>206</v>
      </c>
    </row>
    <row r="105" spans="1:15" x14ac:dyDescent="0.2">
      <c r="A105" t="s">
        <v>208</v>
      </c>
      <c r="B105" t="s">
        <v>296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671</v>
      </c>
      <c r="M105" t="s">
        <v>87</v>
      </c>
      <c r="N105" t="s">
        <v>673</v>
      </c>
      <c r="O105" t="s">
        <v>206</v>
      </c>
    </row>
    <row r="106" spans="1:15" x14ac:dyDescent="0.2">
      <c r="A106" t="s">
        <v>208</v>
      </c>
      <c r="B106" t="s">
        <v>297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672</v>
      </c>
      <c r="M106" t="s">
        <v>87</v>
      </c>
      <c r="N106" t="s">
        <v>674</v>
      </c>
      <c r="O106" t="s">
        <v>206</v>
      </c>
    </row>
    <row r="107" spans="1:15" x14ac:dyDescent="0.2">
      <c r="A107" t="s">
        <v>208</v>
      </c>
      <c r="B107" t="s">
        <v>317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318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319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332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333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434</v>
      </c>
      <c r="O111" t="s">
        <v>206</v>
      </c>
    </row>
    <row r="112" spans="1:15" x14ac:dyDescent="0.2">
      <c r="A112" t="s">
        <v>208</v>
      </c>
      <c r="B112" t="s">
        <v>334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290</v>
      </c>
      <c r="C113" t="s">
        <v>206</v>
      </c>
      <c r="D113" s="3" t="s">
        <v>58</v>
      </c>
      <c r="E113" s="6" t="s">
        <v>445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335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336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337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338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330</v>
      </c>
      <c r="C118" t="s">
        <v>206</v>
      </c>
      <c r="D118" s="3" t="s">
        <v>63</v>
      </c>
      <c r="E118" s="6" t="s">
        <v>345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331</v>
      </c>
      <c r="C119" t="s">
        <v>206</v>
      </c>
      <c r="D119" s="3" t="s">
        <v>64</v>
      </c>
      <c r="E119" s="6" t="s">
        <v>346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339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289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325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414</v>
      </c>
      <c r="J124" s="8" t="s">
        <v>87</v>
      </c>
      <c r="K124" s="3" t="s">
        <v>413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301</v>
      </c>
      <c r="N132" t="s">
        <v>425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388</v>
      </c>
      <c r="K133" s="25" t="s">
        <v>395</v>
      </c>
      <c r="M133" t="s">
        <v>417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266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267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268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269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270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271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272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273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274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275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276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277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278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279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280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281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282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283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284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285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420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358</v>
      </c>
      <c r="N164" t="s">
        <v>426</v>
      </c>
    </row>
    <row r="165" spans="10:15" x14ac:dyDescent="0.2">
      <c r="J165" s="25" t="s">
        <v>387</v>
      </c>
      <c r="K165" s="25" t="s">
        <v>396</v>
      </c>
      <c r="M165" t="s">
        <v>418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421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>
    <tabColor theme="0" tint="-0.14999847407452621"/>
  </sheetPr>
  <dimension ref="A4:R191"/>
  <sheetViews>
    <sheetView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677</v>
      </c>
      <c r="D4" s="20" t="s">
        <v>302</v>
      </c>
    </row>
    <row r="5" spans="2:5" x14ac:dyDescent="0.2">
      <c r="D5" s="25" t="s">
        <v>675</v>
      </c>
      <c r="E5" s="25" t="s">
        <v>676</v>
      </c>
    </row>
    <row r="6" spans="2:5" x14ac:dyDescent="0.2">
      <c r="B6" t="s">
        <v>685</v>
      </c>
      <c r="C6" t="s">
        <v>206</v>
      </c>
      <c r="D6" s="3" t="s">
        <v>189</v>
      </c>
      <c r="E6" s="6" t="s">
        <v>678</v>
      </c>
    </row>
    <row r="7" spans="2:5" x14ac:dyDescent="0.2">
      <c r="B7" t="s">
        <v>686</v>
      </c>
      <c r="C7" t="s">
        <v>206</v>
      </c>
      <c r="D7" s="3" t="s">
        <v>47</v>
      </c>
      <c r="E7" s="6" t="s">
        <v>679</v>
      </c>
    </row>
    <row r="8" spans="2:5" x14ac:dyDescent="0.2">
      <c r="B8" t="s">
        <v>687</v>
      </c>
      <c r="C8" t="s">
        <v>206</v>
      </c>
      <c r="D8" s="3" t="s">
        <v>48</v>
      </c>
      <c r="E8" s="6" t="s">
        <v>680</v>
      </c>
    </row>
    <row r="9" spans="2:5" x14ac:dyDescent="0.2">
      <c r="B9" t="s">
        <v>296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297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317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318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319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332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333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689</v>
      </c>
      <c r="C16" t="s">
        <v>206</v>
      </c>
      <c r="D16" s="3" t="s">
        <v>56</v>
      </c>
      <c r="E16" s="6" t="s">
        <v>688</v>
      </c>
    </row>
    <row r="17" spans="2:18" x14ac:dyDescent="0.2">
      <c r="B17" t="s">
        <v>335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290</v>
      </c>
      <c r="C18" t="s">
        <v>206</v>
      </c>
      <c r="D18" s="3" t="s">
        <v>58</v>
      </c>
      <c r="E18" s="6" t="s">
        <v>434</v>
      </c>
    </row>
    <row r="19" spans="2:18" x14ac:dyDescent="0.2">
      <c r="B19" t="s">
        <v>336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337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338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339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681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682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683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684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690</v>
      </c>
      <c r="P29">
        <v>0</v>
      </c>
      <c r="Q29" t="s">
        <v>347</v>
      </c>
      <c r="R29" t="s">
        <v>389</v>
      </c>
    </row>
    <row r="30" spans="2:18" ht="17" thickBot="1" x14ac:dyDescent="0.25">
      <c r="D30" s="4" t="s">
        <v>2</v>
      </c>
      <c r="E30" s="7"/>
      <c r="P30">
        <v>1</v>
      </c>
      <c r="Q30" t="s">
        <v>348</v>
      </c>
      <c r="R30" t="s">
        <v>390</v>
      </c>
    </row>
    <row r="31" spans="2:18" x14ac:dyDescent="0.2">
      <c r="P31">
        <v>2</v>
      </c>
      <c r="Q31" t="s">
        <v>384</v>
      </c>
      <c r="R31" t="s">
        <v>391</v>
      </c>
    </row>
    <row r="32" spans="2:18" x14ac:dyDescent="0.2">
      <c r="P32">
        <v>3</v>
      </c>
      <c r="Q32" t="s">
        <v>386</v>
      </c>
      <c r="R32" t="s">
        <v>392</v>
      </c>
    </row>
    <row r="33" spans="1:18" x14ac:dyDescent="0.2">
      <c r="P33">
        <v>4</v>
      </c>
      <c r="Q33" t="s">
        <v>385</v>
      </c>
      <c r="R33" t="s">
        <v>393</v>
      </c>
    </row>
    <row r="34" spans="1:18" x14ac:dyDescent="0.2">
      <c r="P34">
        <v>5</v>
      </c>
      <c r="Q34" t="s">
        <v>444</v>
      </c>
      <c r="R34" t="s">
        <v>394</v>
      </c>
    </row>
    <row r="35" spans="1:18" x14ac:dyDescent="0.2">
      <c r="P35">
        <v>6</v>
      </c>
      <c r="Q35" t="s">
        <v>388</v>
      </c>
      <c r="R35" t="s">
        <v>395</v>
      </c>
    </row>
    <row r="36" spans="1:18" x14ac:dyDescent="0.2">
      <c r="P36">
        <v>7</v>
      </c>
      <c r="Q36" t="s">
        <v>387</v>
      </c>
      <c r="R36" t="s">
        <v>396</v>
      </c>
    </row>
    <row r="37" spans="1:18" ht="19" x14ac:dyDescent="0.25">
      <c r="B37" t="s">
        <v>427</v>
      </c>
      <c r="D37" s="20" t="s">
        <v>302</v>
      </c>
      <c r="J37" s="19" t="s">
        <v>298</v>
      </c>
      <c r="N37" t="s">
        <v>422</v>
      </c>
    </row>
    <row r="38" spans="1:18" x14ac:dyDescent="0.2">
      <c r="A38" t="s">
        <v>419</v>
      </c>
      <c r="D38" s="25" t="s">
        <v>347</v>
      </c>
      <c r="E38" s="25" t="s">
        <v>435</v>
      </c>
      <c r="J38" s="25" t="s">
        <v>386</v>
      </c>
      <c r="K38" s="25" t="s">
        <v>392</v>
      </c>
      <c r="M38" t="s">
        <v>397</v>
      </c>
    </row>
    <row r="39" spans="1:18" ht="35" customHeight="1" x14ac:dyDescent="0.2">
      <c r="A39" t="s">
        <v>208</v>
      </c>
      <c r="B39" t="s">
        <v>326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370</v>
      </c>
      <c r="M39" t="s">
        <v>87</v>
      </c>
      <c r="N39" t="s">
        <v>373</v>
      </c>
      <c r="O39" t="s">
        <v>206</v>
      </c>
    </row>
    <row r="40" spans="1:18" x14ac:dyDescent="0.2">
      <c r="A40" t="s">
        <v>208</v>
      </c>
      <c r="B40" t="s">
        <v>327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286</v>
      </c>
      <c r="O40" t="s">
        <v>206</v>
      </c>
    </row>
    <row r="41" spans="1:18" x14ac:dyDescent="0.2">
      <c r="A41" t="s">
        <v>208</v>
      </c>
      <c r="B41" t="s">
        <v>328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287</v>
      </c>
      <c r="O41" t="s">
        <v>206</v>
      </c>
    </row>
    <row r="42" spans="1:18" x14ac:dyDescent="0.2">
      <c r="A42" t="s">
        <v>208</v>
      </c>
      <c r="B42" t="s">
        <v>404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288</v>
      </c>
      <c r="O42" t="s">
        <v>206</v>
      </c>
    </row>
    <row r="43" spans="1:18" x14ac:dyDescent="0.2">
      <c r="A43" t="s">
        <v>208</v>
      </c>
      <c r="B43" t="s">
        <v>405</v>
      </c>
      <c r="C43" t="s">
        <v>206</v>
      </c>
      <c r="D43" s="3" t="s">
        <v>50</v>
      </c>
      <c r="E43" s="37" t="s">
        <v>366</v>
      </c>
      <c r="J43" s="3" t="s">
        <v>69</v>
      </c>
      <c r="K43" s="6" t="s">
        <v>372</v>
      </c>
      <c r="M43" t="s">
        <v>87</v>
      </c>
      <c r="N43" t="s">
        <v>374</v>
      </c>
      <c r="O43" t="s">
        <v>206</v>
      </c>
    </row>
    <row r="44" spans="1:18" x14ac:dyDescent="0.2">
      <c r="A44" t="s">
        <v>208</v>
      </c>
      <c r="B44" t="s">
        <v>406</v>
      </c>
      <c r="C44" t="s">
        <v>206</v>
      </c>
      <c r="D44" s="3" t="s">
        <v>51</v>
      </c>
      <c r="E44" s="37" t="s">
        <v>367</v>
      </c>
      <c r="J44" s="3" t="s">
        <v>70</v>
      </c>
      <c r="K44" s="6" t="s">
        <v>691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407</v>
      </c>
      <c r="C45" t="s">
        <v>206</v>
      </c>
      <c r="D45" s="3" t="s">
        <v>52</v>
      </c>
      <c r="E45" s="37" t="s">
        <v>368</v>
      </c>
      <c r="J45" s="3" t="s">
        <v>71</v>
      </c>
      <c r="K45" s="6" t="s">
        <v>692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408</v>
      </c>
      <c r="C46" t="s">
        <v>206</v>
      </c>
      <c r="D46" s="3" t="s">
        <v>53</v>
      </c>
      <c r="E46" s="37" t="s">
        <v>369</v>
      </c>
      <c r="J46" s="3" t="s">
        <v>72</v>
      </c>
      <c r="K46" s="6" t="s">
        <v>693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296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694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297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317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290</v>
      </c>
      <c r="O49" t="s">
        <v>206</v>
      </c>
    </row>
    <row r="50" spans="1:15" x14ac:dyDescent="0.2">
      <c r="A50" t="s">
        <v>208</v>
      </c>
      <c r="B50" t="s">
        <v>318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371</v>
      </c>
      <c r="M50" t="s">
        <v>87</v>
      </c>
      <c r="N50" t="s">
        <v>375</v>
      </c>
      <c r="O50" t="s">
        <v>206</v>
      </c>
    </row>
    <row r="51" spans="1:15" x14ac:dyDescent="0.2">
      <c r="A51" t="s">
        <v>208</v>
      </c>
      <c r="B51" t="s">
        <v>290</v>
      </c>
      <c r="C51" t="s">
        <v>206</v>
      </c>
      <c r="D51" s="3" t="s">
        <v>58</v>
      </c>
      <c r="E51" s="6" t="s">
        <v>434</v>
      </c>
      <c r="J51" s="3" t="s">
        <v>77</v>
      </c>
      <c r="K51" s="6" t="s">
        <v>31</v>
      </c>
      <c r="M51" t="s">
        <v>87</v>
      </c>
      <c r="N51" t="s">
        <v>291</v>
      </c>
      <c r="O51" t="s">
        <v>206</v>
      </c>
    </row>
    <row r="52" spans="1:15" x14ac:dyDescent="0.2">
      <c r="A52" t="s">
        <v>208</v>
      </c>
      <c r="B52" t="s">
        <v>319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292</v>
      </c>
      <c r="O52" t="s">
        <v>206</v>
      </c>
    </row>
    <row r="53" spans="1:15" x14ac:dyDescent="0.2">
      <c r="A53" t="s">
        <v>208</v>
      </c>
      <c r="B53" t="s">
        <v>332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293</v>
      </c>
      <c r="O53" t="s">
        <v>206</v>
      </c>
    </row>
    <row r="54" spans="1:15" x14ac:dyDescent="0.2">
      <c r="A54" t="s">
        <v>208</v>
      </c>
      <c r="B54" t="s">
        <v>333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294</v>
      </c>
      <c r="O54" t="s">
        <v>206</v>
      </c>
    </row>
    <row r="55" spans="1:15" x14ac:dyDescent="0.2">
      <c r="A55" t="s">
        <v>208</v>
      </c>
      <c r="B55" t="s">
        <v>334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409</v>
      </c>
      <c r="C56" t="s">
        <v>206</v>
      </c>
      <c r="D56" s="3" t="s">
        <v>63</v>
      </c>
      <c r="E56" s="6" t="s">
        <v>355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410</v>
      </c>
      <c r="C57" t="s">
        <v>206</v>
      </c>
      <c r="D57" s="3" t="s">
        <v>64</v>
      </c>
      <c r="E57" s="6" t="s">
        <v>356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335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336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325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325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411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428</v>
      </c>
      <c r="D67" s="20" t="s">
        <v>303</v>
      </c>
      <c r="J67" s="20" t="s">
        <v>299</v>
      </c>
      <c r="N67" t="s">
        <v>423</v>
      </c>
    </row>
    <row r="68" spans="1:15" x14ac:dyDescent="0.2">
      <c r="A68" t="s">
        <v>305</v>
      </c>
      <c r="D68" s="25" t="s">
        <v>348</v>
      </c>
      <c r="E68" s="25" t="s">
        <v>436</v>
      </c>
      <c r="J68" s="25" t="s">
        <v>385</v>
      </c>
      <c r="K68" s="25" t="s">
        <v>393</v>
      </c>
      <c r="M68" t="s">
        <v>415</v>
      </c>
    </row>
    <row r="69" spans="1:15" ht="29" customHeight="1" x14ac:dyDescent="0.2">
      <c r="A69" t="s">
        <v>208</v>
      </c>
      <c r="B69" t="s">
        <v>439</v>
      </c>
      <c r="C69" t="s">
        <v>206</v>
      </c>
      <c r="D69" s="3" t="s">
        <v>189</v>
      </c>
      <c r="E69" s="6" t="s">
        <v>359</v>
      </c>
      <c r="J69" s="3" t="s">
        <v>86</v>
      </c>
      <c r="K69" s="6" t="s">
        <v>376</v>
      </c>
      <c r="M69" t="s">
        <v>87</v>
      </c>
      <c r="N69" t="s">
        <v>398</v>
      </c>
      <c r="O69" t="s">
        <v>206</v>
      </c>
    </row>
    <row r="70" spans="1:15" x14ac:dyDescent="0.2">
      <c r="A70" t="s">
        <v>208</v>
      </c>
      <c r="B70" t="s">
        <v>440</v>
      </c>
      <c r="C70" t="s">
        <v>206</v>
      </c>
      <c r="D70" s="3" t="s">
        <v>47</v>
      </c>
      <c r="E70" s="6" t="s">
        <v>360</v>
      </c>
      <c r="J70" s="3" t="s">
        <v>88</v>
      </c>
      <c r="K70" s="6" t="s">
        <v>377</v>
      </c>
      <c r="M70" t="s">
        <v>87</v>
      </c>
      <c r="N70" t="s">
        <v>399</v>
      </c>
      <c r="O70" t="s">
        <v>206</v>
      </c>
    </row>
    <row r="71" spans="1:15" x14ac:dyDescent="0.2">
      <c r="A71" t="s">
        <v>208</v>
      </c>
      <c r="B71" t="s">
        <v>441</v>
      </c>
      <c r="C71" t="s">
        <v>206</v>
      </c>
      <c r="D71" s="3" t="s">
        <v>48</v>
      </c>
      <c r="E71" s="6" t="s">
        <v>361</v>
      </c>
      <c r="J71" s="3" t="s">
        <v>67</v>
      </c>
      <c r="K71" s="6" t="s">
        <v>378</v>
      </c>
      <c r="M71" t="s">
        <v>87</v>
      </c>
      <c r="N71" t="s">
        <v>400</v>
      </c>
      <c r="O71" t="s">
        <v>206</v>
      </c>
    </row>
    <row r="72" spans="1:15" x14ac:dyDescent="0.2">
      <c r="A72" t="s">
        <v>208</v>
      </c>
      <c r="B72" t="s">
        <v>442</v>
      </c>
      <c r="C72" t="s">
        <v>206</v>
      </c>
      <c r="D72" s="3" t="s">
        <v>49</v>
      </c>
      <c r="E72" s="6" t="s">
        <v>362</v>
      </c>
      <c r="J72" s="3" t="s">
        <v>68</v>
      </c>
      <c r="K72" s="6" t="s">
        <v>379</v>
      </c>
      <c r="M72" t="s">
        <v>87</v>
      </c>
      <c r="N72" t="s">
        <v>401</v>
      </c>
      <c r="O72" t="s">
        <v>206</v>
      </c>
    </row>
    <row r="73" spans="1:15" x14ac:dyDescent="0.2">
      <c r="A73" t="s">
        <v>208</v>
      </c>
      <c r="B73" t="s">
        <v>295</v>
      </c>
      <c r="C73" t="s">
        <v>206</v>
      </c>
      <c r="D73" s="3" t="s">
        <v>50</v>
      </c>
      <c r="E73" s="6" t="s">
        <v>363</v>
      </c>
      <c r="J73" s="3" t="s">
        <v>69</v>
      </c>
      <c r="K73" s="6" t="s">
        <v>380</v>
      </c>
      <c r="M73" t="s">
        <v>87</v>
      </c>
      <c r="N73" t="s">
        <v>295</v>
      </c>
      <c r="O73" t="s">
        <v>206</v>
      </c>
    </row>
    <row r="74" spans="1:15" x14ac:dyDescent="0.2">
      <c r="A74" t="s">
        <v>208</v>
      </c>
      <c r="B74" t="s">
        <v>438</v>
      </c>
      <c r="C74" t="s">
        <v>206</v>
      </c>
      <c r="D74" s="3" t="s">
        <v>51</v>
      </c>
      <c r="E74" s="6" t="s">
        <v>364</v>
      </c>
      <c r="J74" s="3" t="s">
        <v>70</v>
      </c>
      <c r="K74" s="6" t="s">
        <v>381</v>
      </c>
      <c r="M74" t="s">
        <v>87</v>
      </c>
      <c r="N74" t="s">
        <v>402</v>
      </c>
      <c r="O74" t="s">
        <v>206</v>
      </c>
    </row>
    <row r="75" spans="1:15" x14ac:dyDescent="0.2">
      <c r="A75" t="s">
        <v>208</v>
      </c>
      <c r="B75" t="s">
        <v>403</v>
      </c>
      <c r="C75" t="s">
        <v>206</v>
      </c>
      <c r="D75" s="3" t="s">
        <v>52</v>
      </c>
      <c r="E75" s="6" t="s">
        <v>365</v>
      </c>
      <c r="J75" s="3" t="s">
        <v>71</v>
      </c>
      <c r="K75" s="6" t="s">
        <v>382</v>
      </c>
      <c r="M75" t="s">
        <v>87</v>
      </c>
      <c r="N75" t="s">
        <v>403</v>
      </c>
      <c r="O75" t="s">
        <v>206</v>
      </c>
    </row>
    <row r="76" spans="1:15" x14ac:dyDescent="0.2">
      <c r="A76" t="s">
        <v>208</v>
      </c>
      <c r="B76" t="s">
        <v>296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297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317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314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383</v>
      </c>
      <c r="M79" t="s">
        <v>87</v>
      </c>
      <c r="N79" t="s">
        <v>357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290</v>
      </c>
      <c r="C81" t="s">
        <v>206</v>
      </c>
      <c r="D81" s="3" t="s">
        <v>58</v>
      </c>
      <c r="E81" s="6" t="s">
        <v>445</v>
      </c>
      <c r="J81" s="3" t="s">
        <v>77</v>
      </c>
      <c r="K81" s="6" t="s">
        <v>29</v>
      </c>
      <c r="M81" t="s">
        <v>87</v>
      </c>
      <c r="N81" t="s">
        <v>290</v>
      </c>
      <c r="O81" t="s">
        <v>206</v>
      </c>
    </row>
    <row r="82" spans="1:15" x14ac:dyDescent="0.2">
      <c r="A82" t="s">
        <v>208</v>
      </c>
      <c r="B82" t="s">
        <v>318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319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332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333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334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335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336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324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325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412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0" t="s">
        <v>304</v>
      </c>
      <c r="J99" s="20" t="s">
        <v>300</v>
      </c>
      <c r="N99" s="26" t="s">
        <v>424</v>
      </c>
    </row>
    <row r="100" spans="1:15" x14ac:dyDescent="0.2">
      <c r="D100" s="25" t="s">
        <v>712</v>
      </c>
      <c r="E100" s="25" t="s">
        <v>717</v>
      </c>
      <c r="J100" s="25" t="s">
        <v>443</v>
      </c>
      <c r="K100" s="25" t="s">
        <v>394</v>
      </c>
      <c r="M100" t="s">
        <v>416</v>
      </c>
    </row>
    <row r="101" spans="1:15" x14ac:dyDescent="0.2">
      <c r="D101" s="25" t="s">
        <v>347</v>
      </c>
      <c r="E101" s="25" t="s">
        <v>718</v>
      </c>
      <c r="J101" s="3" t="s">
        <v>86</v>
      </c>
      <c r="K101" s="6" t="s">
        <v>113</v>
      </c>
      <c r="M101" t="s">
        <v>87</v>
      </c>
      <c r="N101" t="s">
        <v>430</v>
      </c>
      <c r="O101" t="s">
        <v>206</v>
      </c>
    </row>
    <row r="102" spans="1:15" x14ac:dyDescent="0.2">
      <c r="D102" s="25" t="s">
        <v>710</v>
      </c>
      <c r="E102" s="25" t="s">
        <v>719</v>
      </c>
      <c r="J102" s="3" t="s">
        <v>88</v>
      </c>
      <c r="K102" s="6" t="s">
        <v>114</v>
      </c>
      <c r="M102" t="s">
        <v>87</v>
      </c>
      <c r="N102" t="s">
        <v>431</v>
      </c>
      <c r="O102" t="s">
        <v>206</v>
      </c>
    </row>
    <row r="103" spans="1:15" x14ac:dyDescent="0.2">
      <c r="D103" s="25" t="s">
        <v>711</v>
      </c>
      <c r="E103" s="25" t="s">
        <v>720</v>
      </c>
      <c r="J103" s="3" t="s">
        <v>67</v>
      </c>
      <c r="K103" s="6" t="s">
        <v>115</v>
      </c>
      <c r="M103" t="s">
        <v>87</v>
      </c>
      <c r="N103" t="s">
        <v>432</v>
      </c>
      <c r="O103" t="s">
        <v>206</v>
      </c>
    </row>
    <row r="104" spans="1:15" x14ac:dyDescent="0.2">
      <c r="B104" s="26" t="s">
        <v>429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433</v>
      </c>
      <c r="O104" t="s">
        <v>206</v>
      </c>
    </row>
    <row r="105" spans="1:15" x14ac:dyDescent="0.2">
      <c r="A105" t="s">
        <v>344</v>
      </c>
      <c r="D105" s="3" t="s">
        <v>47</v>
      </c>
      <c r="E105" s="6" t="s">
        <v>108</v>
      </c>
      <c r="J105" s="3" t="s">
        <v>69</v>
      </c>
      <c r="K105" s="6" t="s">
        <v>671</v>
      </c>
      <c r="M105" t="s">
        <v>87</v>
      </c>
      <c r="N105" t="s">
        <v>673</v>
      </c>
      <c r="O105" t="s">
        <v>206</v>
      </c>
    </row>
    <row r="106" spans="1:15" x14ac:dyDescent="0.2">
      <c r="A106" t="s">
        <v>208</v>
      </c>
      <c r="B106" t="s">
        <v>326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672</v>
      </c>
      <c r="M106" t="s">
        <v>87</v>
      </c>
      <c r="N106" t="s">
        <v>674</v>
      </c>
      <c r="O106" t="s">
        <v>206</v>
      </c>
    </row>
    <row r="107" spans="1:15" x14ac:dyDescent="0.2">
      <c r="A107" t="s">
        <v>208</v>
      </c>
      <c r="B107" t="s">
        <v>327</v>
      </c>
      <c r="C107" t="s">
        <v>206</v>
      </c>
      <c r="D107" s="3" t="s">
        <v>49</v>
      </c>
      <c r="E107" s="6" t="s">
        <v>713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328</v>
      </c>
      <c r="C108" t="s">
        <v>206</v>
      </c>
      <c r="D108" s="3" t="s">
        <v>50</v>
      </c>
      <c r="E108" s="6" t="s">
        <v>716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714</v>
      </c>
      <c r="C109" t="s">
        <v>206</v>
      </c>
      <c r="D109" s="3" t="s">
        <v>51</v>
      </c>
      <c r="E109" s="6" t="s">
        <v>706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715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709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434</v>
      </c>
      <c r="O111" t="s">
        <v>206</v>
      </c>
    </row>
    <row r="112" spans="1:15" x14ac:dyDescent="0.2">
      <c r="A112" t="s">
        <v>208</v>
      </c>
      <c r="B112" t="s">
        <v>707</v>
      </c>
      <c r="C112" t="s">
        <v>206</v>
      </c>
      <c r="D112" s="3" t="s">
        <v>54</v>
      </c>
      <c r="E112" s="6" t="s">
        <v>445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708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290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289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325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414</v>
      </c>
      <c r="J124" s="8" t="s">
        <v>87</v>
      </c>
      <c r="K124" s="3" t="s">
        <v>413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301</v>
      </c>
      <c r="N132" t="s">
        <v>425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388</v>
      </c>
      <c r="K133" s="25" t="s">
        <v>395</v>
      </c>
      <c r="M133" t="s">
        <v>417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266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267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268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269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270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271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272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273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274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275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276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277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278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279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280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281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282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283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284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285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420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358</v>
      </c>
      <c r="N164" t="s">
        <v>426</v>
      </c>
    </row>
    <row r="165" spans="10:15" x14ac:dyDescent="0.2">
      <c r="J165" s="25" t="s">
        <v>387</v>
      </c>
      <c r="K165" s="25" t="s">
        <v>396</v>
      </c>
      <c r="M165" t="s">
        <v>418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421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>
    <tabColor theme="0" tint="-0.14999847407452621"/>
  </sheetPr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6" t="s">
        <v>777</v>
      </c>
      <c r="H1">
        <v>0</v>
      </c>
      <c r="I1" t="s">
        <v>712</v>
      </c>
      <c r="L1" t="s">
        <v>717</v>
      </c>
    </row>
    <row r="2" spans="1:12" x14ac:dyDescent="0.2">
      <c r="A2" t="s">
        <v>774</v>
      </c>
      <c r="B2" t="s">
        <v>780</v>
      </c>
      <c r="C2" t="s">
        <v>326</v>
      </c>
      <c r="D2" t="s">
        <v>775</v>
      </c>
      <c r="H2">
        <v>1</v>
      </c>
      <c r="I2" t="s">
        <v>347</v>
      </c>
      <c r="L2" t="s">
        <v>718</v>
      </c>
    </row>
    <row r="3" spans="1:12" x14ac:dyDescent="0.2">
      <c r="A3" t="s">
        <v>774</v>
      </c>
      <c r="B3" t="s">
        <v>780</v>
      </c>
      <c r="C3" t="s">
        <v>327</v>
      </c>
      <c r="D3" t="s">
        <v>775</v>
      </c>
      <c r="H3">
        <v>2</v>
      </c>
      <c r="I3" t="s">
        <v>710</v>
      </c>
      <c r="L3" t="s">
        <v>719</v>
      </c>
    </row>
    <row r="4" spans="1:12" x14ac:dyDescent="0.2">
      <c r="A4" t="s">
        <v>774</v>
      </c>
      <c r="B4" t="s">
        <v>780</v>
      </c>
      <c r="C4" t="s">
        <v>328</v>
      </c>
      <c r="D4" t="s">
        <v>775</v>
      </c>
      <c r="H4">
        <v>3</v>
      </c>
      <c r="I4" t="s">
        <v>711</v>
      </c>
      <c r="L4" t="s">
        <v>720</v>
      </c>
    </row>
    <row r="5" spans="1:12" x14ac:dyDescent="0.2">
      <c r="A5" t="s">
        <v>774</v>
      </c>
      <c r="B5" t="s">
        <v>780</v>
      </c>
      <c r="C5" t="s">
        <v>714</v>
      </c>
      <c r="D5" t="s">
        <v>775</v>
      </c>
      <c r="H5">
        <v>4</v>
      </c>
      <c r="I5" t="s">
        <v>348</v>
      </c>
      <c r="L5" t="s">
        <v>436</v>
      </c>
    </row>
    <row r="6" spans="1:12" x14ac:dyDescent="0.2">
      <c r="A6" t="s">
        <v>774</v>
      </c>
      <c r="B6" t="s">
        <v>780</v>
      </c>
      <c r="C6" t="s">
        <v>715</v>
      </c>
      <c r="D6" t="s">
        <v>775</v>
      </c>
      <c r="H6">
        <v>5</v>
      </c>
      <c r="I6" t="s">
        <v>386</v>
      </c>
      <c r="L6" t="s">
        <v>392</v>
      </c>
    </row>
    <row r="7" spans="1:12" x14ac:dyDescent="0.2">
      <c r="A7" t="s">
        <v>774</v>
      </c>
      <c r="B7" t="s">
        <v>780</v>
      </c>
      <c r="C7" t="s">
        <v>709</v>
      </c>
      <c r="D7" t="s">
        <v>775</v>
      </c>
      <c r="H7">
        <v>6</v>
      </c>
      <c r="I7" t="s">
        <v>385</v>
      </c>
      <c r="L7" t="s">
        <v>393</v>
      </c>
    </row>
    <row r="8" spans="1:12" x14ac:dyDescent="0.2">
      <c r="A8" t="s">
        <v>774</v>
      </c>
      <c r="B8" t="s">
        <v>780</v>
      </c>
      <c r="C8" t="s">
        <v>707</v>
      </c>
      <c r="D8" t="s">
        <v>775</v>
      </c>
      <c r="H8">
        <v>7</v>
      </c>
      <c r="I8" t="s">
        <v>444</v>
      </c>
      <c r="L8" t="s">
        <v>394</v>
      </c>
    </row>
    <row r="9" spans="1:12" x14ac:dyDescent="0.2">
      <c r="A9" t="s">
        <v>774</v>
      </c>
      <c r="B9" t="s">
        <v>780</v>
      </c>
      <c r="C9" t="s">
        <v>708</v>
      </c>
      <c r="D9" t="s">
        <v>775</v>
      </c>
      <c r="H9">
        <v>8</v>
      </c>
      <c r="I9" t="s">
        <v>388</v>
      </c>
      <c r="L9" t="s">
        <v>395</v>
      </c>
    </row>
    <row r="10" spans="1:12" x14ac:dyDescent="0.2">
      <c r="A10" t="s">
        <v>774</v>
      </c>
      <c r="B10" t="s">
        <v>780</v>
      </c>
      <c r="C10" t="s">
        <v>290</v>
      </c>
      <c r="D10" t="s">
        <v>775</v>
      </c>
      <c r="H10">
        <v>9</v>
      </c>
      <c r="I10" t="s">
        <v>387</v>
      </c>
      <c r="L10" t="s">
        <v>396</v>
      </c>
    </row>
    <row r="11" spans="1:12" x14ac:dyDescent="0.2">
      <c r="A11" t="s">
        <v>774</v>
      </c>
      <c r="B11" t="s">
        <v>780</v>
      </c>
      <c r="C11" t="s">
        <v>289</v>
      </c>
      <c r="D11" t="s">
        <v>781</v>
      </c>
      <c r="H11">
        <v>10</v>
      </c>
      <c r="I11" t="s">
        <v>728</v>
      </c>
      <c r="L11" t="s">
        <v>729</v>
      </c>
    </row>
    <row r="12" spans="1:12" x14ac:dyDescent="0.2">
      <c r="C12" s="26" t="s">
        <v>427</v>
      </c>
    </row>
    <row r="13" spans="1:12" x14ac:dyDescent="0.2">
      <c r="A13" t="s">
        <v>774</v>
      </c>
      <c r="B13" t="s">
        <v>776</v>
      </c>
      <c r="C13" t="s">
        <v>326</v>
      </c>
      <c r="D13" t="s">
        <v>775</v>
      </c>
    </row>
    <row r="14" spans="1:12" x14ac:dyDescent="0.2">
      <c r="A14" t="s">
        <v>774</v>
      </c>
      <c r="B14" t="s">
        <v>776</v>
      </c>
      <c r="C14" t="s">
        <v>327</v>
      </c>
      <c r="D14" t="s">
        <v>775</v>
      </c>
    </row>
    <row r="15" spans="1:12" x14ac:dyDescent="0.2">
      <c r="A15" t="s">
        <v>774</v>
      </c>
      <c r="B15" t="s">
        <v>776</v>
      </c>
      <c r="C15" t="s">
        <v>328</v>
      </c>
      <c r="D15" t="s">
        <v>775</v>
      </c>
    </row>
    <row r="16" spans="1:12" x14ac:dyDescent="0.2">
      <c r="A16" t="s">
        <v>774</v>
      </c>
      <c r="B16" t="s">
        <v>776</v>
      </c>
      <c r="C16" t="s">
        <v>714</v>
      </c>
      <c r="D16" t="s">
        <v>775</v>
      </c>
    </row>
    <row r="17" spans="1:4" x14ac:dyDescent="0.2">
      <c r="A17" t="s">
        <v>774</v>
      </c>
      <c r="B17" t="s">
        <v>776</v>
      </c>
      <c r="C17" t="s">
        <v>715</v>
      </c>
      <c r="D17" t="s">
        <v>775</v>
      </c>
    </row>
    <row r="18" spans="1:4" x14ac:dyDescent="0.2">
      <c r="A18" t="s">
        <v>774</v>
      </c>
      <c r="B18" t="s">
        <v>776</v>
      </c>
      <c r="C18" t="s">
        <v>709</v>
      </c>
      <c r="D18" t="s">
        <v>775</v>
      </c>
    </row>
    <row r="19" spans="1:4" x14ac:dyDescent="0.2">
      <c r="A19" t="s">
        <v>774</v>
      </c>
      <c r="B19" t="s">
        <v>776</v>
      </c>
      <c r="C19" t="s">
        <v>707</v>
      </c>
      <c r="D19" t="s">
        <v>775</v>
      </c>
    </row>
    <row r="20" spans="1:4" x14ac:dyDescent="0.2">
      <c r="A20" t="s">
        <v>774</v>
      </c>
      <c r="B20" t="s">
        <v>776</v>
      </c>
      <c r="C20" t="s">
        <v>708</v>
      </c>
      <c r="D20" t="s">
        <v>775</v>
      </c>
    </row>
    <row r="21" spans="1:4" x14ac:dyDescent="0.2">
      <c r="A21" t="s">
        <v>774</v>
      </c>
      <c r="B21" t="s">
        <v>776</v>
      </c>
      <c r="C21" t="s">
        <v>290</v>
      </c>
      <c r="D21" t="s">
        <v>775</v>
      </c>
    </row>
    <row r="22" spans="1:4" x14ac:dyDescent="0.2">
      <c r="A22" t="s">
        <v>774</v>
      </c>
      <c r="B22" t="s">
        <v>776</v>
      </c>
      <c r="C22" t="s">
        <v>289</v>
      </c>
      <c r="D22" t="s">
        <v>781</v>
      </c>
    </row>
    <row r="23" spans="1:4" x14ac:dyDescent="0.2">
      <c r="C23" s="26" t="s">
        <v>779</v>
      </c>
    </row>
    <row r="24" spans="1:4" x14ac:dyDescent="0.2">
      <c r="A24" t="s">
        <v>774</v>
      </c>
      <c r="B24" t="s">
        <v>778</v>
      </c>
      <c r="C24" t="s">
        <v>326</v>
      </c>
      <c r="D24" t="s">
        <v>775</v>
      </c>
    </row>
    <row r="25" spans="1:4" x14ac:dyDescent="0.2">
      <c r="A25" t="s">
        <v>774</v>
      </c>
      <c r="B25" t="s">
        <v>778</v>
      </c>
      <c r="C25" t="s">
        <v>327</v>
      </c>
      <c r="D25" t="s">
        <v>775</v>
      </c>
    </row>
    <row r="26" spans="1:4" x14ac:dyDescent="0.2">
      <c r="A26" t="s">
        <v>774</v>
      </c>
      <c r="B26" t="s">
        <v>778</v>
      </c>
      <c r="C26" t="s">
        <v>328</v>
      </c>
      <c r="D26" t="s">
        <v>775</v>
      </c>
    </row>
    <row r="27" spans="1:4" x14ac:dyDescent="0.2">
      <c r="A27" t="s">
        <v>774</v>
      </c>
      <c r="B27" t="s">
        <v>778</v>
      </c>
      <c r="C27" t="s">
        <v>714</v>
      </c>
      <c r="D27" t="s">
        <v>775</v>
      </c>
    </row>
    <row r="28" spans="1:4" x14ac:dyDescent="0.2">
      <c r="A28" t="s">
        <v>774</v>
      </c>
      <c r="B28" t="s">
        <v>778</v>
      </c>
      <c r="C28" t="s">
        <v>715</v>
      </c>
      <c r="D28" t="s">
        <v>775</v>
      </c>
    </row>
    <row r="29" spans="1:4" x14ac:dyDescent="0.2">
      <c r="A29" t="s">
        <v>774</v>
      </c>
      <c r="B29" t="s">
        <v>778</v>
      </c>
      <c r="C29" t="s">
        <v>709</v>
      </c>
      <c r="D29" t="s">
        <v>775</v>
      </c>
    </row>
    <row r="30" spans="1:4" x14ac:dyDescent="0.2">
      <c r="A30" t="s">
        <v>774</v>
      </c>
      <c r="B30" t="s">
        <v>778</v>
      </c>
      <c r="C30" t="s">
        <v>707</v>
      </c>
      <c r="D30" t="s">
        <v>775</v>
      </c>
    </row>
    <row r="31" spans="1:4" x14ac:dyDescent="0.2">
      <c r="A31" t="s">
        <v>774</v>
      </c>
      <c r="B31" t="s">
        <v>778</v>
      </c>
      <c r="C31" t="s">
        <v>708</v>
      </c>
      <c r="D31" t="s">
        <v>775</v>
      </c>
    </row>
    <row r="32" spans="1:4" x14ac:dyDescent="0.2">
      <c r="A32" t="s">
        <v>774</v>
      </c>
      <c r="B32" t="s">
        <v>778</v>
      </c>
      <c r="C32" t="s">
        <v>290</v>
      </c>
      <c r="D32" t="s">
        <v>775</v>
      </c>
    </row>
    <row r="33" spans="1:16" x14ac:dyDescent="0.2">
      <c r="A33" t="s">
        <v>774</v>
      </c>
      <c r="B33" t="s">
        <v>778</v>
      </c>
      <c r="C33" t="s">
        <v>289</v>
      </c>
      <c r="D33" t="s">
        <v>781</v>
      </c>
    </row>
    <row r="35" spans="1:16" ht="19" x14ac:dyDescent="0.25">
      <c r="E35" s="41" t="s">
        <v>304</v>
      </c>
    </row>
    <row r="36" spans="1:16" x14ac:dyDescent="0.2">
      <c r="E36" s="42" t="s">
        <v>712</v>
      </c>
      <c r="F36" s="42" t="s">
        <v>717</v>
      </c>
    </row>
    <row r="37" spans="1:16" ht="19" x14ac:dyDescent="0.25">
      <c r="E37" s="43" t="s">
        <v>347</v>
      </c>
      <c r="F37" s="43" t="s">
        <v>718</v>
      </c>
      <c r="K37" s="19" t="s">
        <v>298</v>
      </c>
      <c r="O37" t="s">
        <v>422</v>
      </c>
    </row>
    <row r="38" spans="1:16" x14ac:dyDescent="0.2">
      <c r="E38" s="43" t="s">
        <v>710</v>
      </c>
      <c r="F38" s="43" t="s">
        <v>719</v>
      </c>
      <c r="K38" s="25" t="s">
        <v>386</v>
      </c>
      <c r="L38" s="25" t="s">
        <v>392</v>
      </c>
      <c r="N38" t="s">
        <v>397</v>
      </c>
    </row>
    <row r="39" spans="1:16" x14ac:dyDescent="0.2">
      <c r="E39" s="43" t="s">
        <v>711</v>
      </c>
      <c r="F39" s="43" t="s">
        <v>720</v>
      </c>
      <c r="K39" s="3" t="s">
        <v>86</v>
      </c>
      <c r="L39" s="6" t="s">
        <v>370</v>
      </c>
      <c r="N39" t="s">
        <v>87</v>
      </c>
      <c r="O39" t="s">
        <v>373</v>
      </c>
      <c r="P39" t="s">
        <v>206</v>
      </c>
    </row>
    <row r="40" spans="1:16" x14ac:dyDescent="0.2">
      <c r="E40" s="44" t="s">
        <v>189</v>
      </c>
      <c r="F40" s="47" t="s">
        <v>109</v>
      </c>
      <c r="K40" s="3" t="s">
        <v>88</v>
      </c>
      <c r="L40" s="6" t="s">
        <v>20</v>
      </c>
      <c r="N40" t="s">
        <v>87</v>
      </c>
      <c r="O40" t="s">
        <v>286</v>
      </c>
      <c r="P40" t="s">
        <v>206</v>
      </c>
    </row>
    <row r="41" spans="1:16" x14ac:dyDescent="0.2">
      <c r="B41" t="s">
        <v>344</v>
      </c>
      <c r="E41" s="44" t="s">
        <v>47</v>
      </c>
      <c r="F41" s="47" t="s">
        <v>108</v>
      </c>
      <c r="K41" s="3" t="s">
        <v>67</v>
      </c>
      <c r="L41" s="6" t="s">
        <v>21</v>
      </c>
      <c r="N41" t="s">
        <v>87</v>
      </c>
      <c r="O41" t="s">
        <v>287</v>
      </c>
      <c r="P41" t="s">
        <v>206</v>
      </c>
    </row>
    <row r="42" spans="1:16" x14ac:dyDescent="0.2">
      <c r="B42" t="s">
        <v>208</v>
      </c>
      <c r="C42" t="s">
        <v>326</v>
      </c>
      <c r="D42" t="s">
        <v>206</v>
      </c>
      <c r="E42" s="44" t="s">
        <v>48</v>
      </c>
      <c r="F42" s="47" t="s">
        <v>110</v>
      </c>
      <c r="K42" s="3" t="s">
        <v>68</v>
      </c>
      <c r="L42" s="6" t="s">
        <v>22</v>
      </c>
      <c r="N42" t="s">
        <v>87</v>
      </c>
      <c r="O42" t="s">
        <v>288</v>
      </c>
      <c r="P42" t="s">
        <v>206</v>
      </c>
    </row>
    <row r="43" spans="1:16" x14ac:dyDescent="0.2">
      <c r="B43" t="s">
        <v>208</v>
      </c>
      <c r="C43" t="s">
        <v>327</v>
      </c>
      <c r="D43" t="s">
        <v>206</v>
      </c>
      <c r="E43" s="44" t="s">
        <v>49</v>
      </c>
      <c r="F43" s="47" t="s">
        <v>713</v>
      </c>
      <c r="K43" s="3" t="s">
        <v>69</v>
      </c>
      <c r="L43" s="6" t="s">
        <v>372</v>
      </c>
      <c r="N43" t="s">
        <v>87</v>
      </c>
      <c r="O43" t="s">
        <v>374</v>
      </c>
      <c r="P43" t="s">
        <v>206</v>
      </c>
    </row>
    <row r="44" spans="1:16" x14ac:dyDescent="0.2">
      <c r="B44" t="s">
        <v>208</v>
      </c>
      <c r="C44" t="s">
        <v>328</v>
      </c>
      <c r="D44" t="s">
        <v>206</v>
      </c>
      <c r="E44" s="44" t="s">
        <v>50</v>
      </c>
      <c r="F44" s="47" t="s">
        <v>716</v>
      </c>
      <c r="K44" s="3" t="s">
        <v>70</v>
      </c>
      <c r="L44" s="6" t="s">
        <v>691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714</v>
      </c>
      <c r="D45" t="s">
        <v>206</v>
      </c>
      <c r="E45" s="44" t="s">
        <v>51</v>
      </c>
      <c r="F45" s="47" t="s">
        <v>706</v>
      </c>
      <c r="K45" s="3" t="s">
        <v>71</v>
      </c>
      <c r="L45" s="6" t="s">
        <v>692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715</v>
      </c>
      <c r="D46" t="s">
        <v>206</v>
      </c>
      <c r="E46" s="44" t="s">
        <v>52</v>
      </c>
      <c r="F46" s="47" t="s">
        <v>120</v>
      </c>
      <c r="K46" s="3" t="s">
        <v>72</v>
      </c>
      <c r="L46" s="6" t="s">
        <v>693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709</v>
      </c>
      <c r="D47" t="s">
        <v>206</v>
      </c>
      <c r="E47" s="44" t="s">
        <v>53</v>
      </c>
      <c r="F47" s="47" t="s">
        <v>121</v>
      </c>
      <c r="K47" s="3" t="s">
        <v>73</v>
      </c>
      <c r="L47" s="6" t="s">
        <v>694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707</v>
      </c>
      <c r="D48" t="s">
        <v>206</v>
      </c>
      <c r="E48" s="44" t="s">
        <v>54</v>
      </c>
      <c r="F48" s="47" t="s">
        <v>445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708</v>
      </c>
      <c r="D49" t="s">
        <v>206</v>
      </c>
      <c r="E49" s="44" t="s">
        <v>55</v>
      </c>
      <c r="F49" s="47" t="s">
        <v>18</v>
      </c>
      <c r="K49" s="3" t="s">
        <v>75</v>
      </c>
      <c r="L49" s="6" t="s">
        <v>29</v>
      </c>
      <c r="N49" t="s">
        <v>87</v>
      </c>
      <c r="O49" t="s">
        <v>290</v>
      </c>
      <c r="P49" t="s">
        <v>206</v>
      </c>
    </row>
    <row r="50" spans="2:16" x14ac:dyDescent="0.2">
      <c r="B50" t="s">
        <v>208</v>
      </c>
      <c r="C50" t="s">
        <v>290</v>
      </c>
      <c r="D50" t="s">
        <v>206</v>
      </c>
      <c r="E50" s="44" t="s">
        <v>1</v>
      </c>
      <c r="F50" s="47"/>
      <c r="K50" s="3" t="s">
        <v>76</v>
      </c>
      <c r="L50" s="6" t="s">
        <v>371</v>
      </c>
      <c r="N50" t="s">
        <v>87</v>
      </c>
      <c r="O50" t="s">
        <v>375</v>
      </c>
      <c r="P50" t="s">
        <v>206</v>
      </c>
    </row>
    <row r="51" spans="2:16" x14ac:dyDescent="0.2">
      <c r="B51" t="s">
        <v>208</v>
      </c>
      <c r="C51" t="s">
        <v>289</v>
      </c>
      <c r="D51" t="s">
        <v>206</v>
      </c>
      <c r="E51" s="44"/>
      <c r="F51" s="47"/>
      <c r="K51" s="3" t="s">
        <v>77</v>
      </c>
      <c r="L51" s="6" t="s">
        <v>31</v>
      </c>
      <c r="N51" t="s">
        <v>87</v>
      </c>
      <c r="O51" t="s">
        <v>291</v>
      </c>
      <c r="P51" t="s">
        <v>206</v>
      </c>
    </row>
    <row r="52" spans="2:16" x14ac:dyDescent="0.2">
      <c r="C52" t="s">
        <v>325</v>
      </c>
      <c r="E52" s="44" t="s">
        <v>1</v>
      </c>
      <c r="F52" s="47"/>
      <c r="K52" s="3" t="s">
        <v>78</v>
      </c>
      <c r="L52" s="6" t="s">
        <v>32</v>
      </c>
      <c r="N52" t="s">
        <v>87</v>
      </c>
      <c r="O52" t="s">
        <v>292</v>
      </c>
      <c r="P52" t="s">
        <v>206</v>
      </c>
    </row>
    <row r="53" spans="2:16" x14ac:dyDescent="0.2">
      <c r="E53" s="44" t="s">
        <v>0</v>
      </c>
      <c r="F53" s="47"/>
      <c r="K53" s="3" t="s">
        <v>79</v>
      </c>
      <c r="L53" s="6" t="s">
        <v>33</v>
      </c>
      <c r="N53" t="s">
        <v>87</v>
      </c>
      <c r="O53" t="s">
        <v>293</v>
      </c>
      <c r="P53" t="s">
        <v>206</v>
      </c>
    </row>
    <row r="54" spans="2:16" x14ac:dyDescent="0.2">
      <c r="E54" s="45" t="s">
        <v>208</v>
      </c>
      <c r="F54" s="47" t="s">
        <v>414</v>
      </c>
      <c r="K54" s="3" t="s">
        <v>80</v>
      </c>
      <c r="L54" s="6" t="s">
        <v>34</v>
      </c>
      <c r="N54" t="s">
        <v>87</v>
      </c>
      <c r="O54" t="s">
        <v>294</v>
      </c>
      <c r="P54" t="s">
        <v>206</v>
      </c>
    </row>
    <row r="55" spans="2:16" x14ac:dyDescent="0.2">
      <c r="E55" s="46" t="s">
        <v>2</v>
      </c>
      <c r="F55" s="48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325</v>
      </c>
    </row>
    <row r="62" spans="2:16" ht="35" customHeight="1" x14ac:dyDescent="0.2">
      <c r="E62"/>
      <c r="K62" s="8" t="s">
        <v>87</v>
      </c>
      <c r="L62" s="3" t="s">
        <v>411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428</v>
      </c>
      <c r="E65" s="49" t="s">
        <v>303</v>
      </c>
    </row>
    <row r="66" spans="2:16" x14ac:dyDescent="0.2">
      <c r="B66" t="s">
        <v>305</v>
      </c>
      <c r="E66" s="43" t="s">
        <v>348</v>
      </c>
      <c r="F66" s="38" t="s">
        <v>436</v>
      </c>
    </row>
    <row r="67" spans="2:16" ht="19" x14ac:dyDescent="0.25">
      <c r="B67" t="s">
        <v>208</v>
      </c>
      <c r="C67" t="s">
        <v>439</v>
      </c>
      <c r="D67" t="s">
        <v>206</v>
      </c>
      <c r="E67" s="50" t="s">
        <v>189</v>
      </c>
      <c r="F67" s="39" t="s">
        <v>359</v>
      </c>
      <c r="K67" s="20" t="s">
        <v>299</v>
      </c>
      <c r="O67" t="s">
        <v>423</v>
      </c>
    </row>
    <row r="68" spans="2:16" x14ac:dyDescent="0.2">
      <c r="B68" t="s">
        <v>208</v>
      </c>
      <c r="C68" t="s">
        <v>440</v>
      </c>
      <c r="D68" t="s">
        <v>206</v>
      </c>
      <c r="E68" s="50" t="s">
        <v>47</v>
      </c>
      <c r="F68" s="39" t="s">
        <v>360</v>
      </c>
      <c r="K68" s="25" t="s">
        <v>385</v>
      </c>
      <c r="L68" s="25" t="s">
        <v>393</v>
      </c>
      <c r="N68" t="s">
        <v>415</v>
      </c>
    </row>
    <row r="69" spans="2:16" x14ac:dyDescent="0.2">
      <c r="B69" t="s">
        <v>208</v>
      </c>
      <c r="C69" t="s">
        <v>441</v>
      </c>
      <c r="D69" t="s">
        <v>206</v>
      </c>
      <c r="E69" s="50" t="s">
        <v>48</v>
      </c>
      <c r="F69" s="39" t="s">
        <v>361</v>
      </c>
      <c r="K69" s="3" t="s">
        <v>86</v>
      </c>
      <c r="L69" s="6" t="s">
        <v>376</v>
      </c>
      <c r="N69" t="s">
        <v>87</v>
      </c>
      <c r="O69" t="s">
        <v>398</v>
      </c>
      <c r="P69" t="s">
        <v>206</v>
      </c>
    </row>
    <row r="70" spans="2:16" x14ac:dyDescent="0.2">
      <c r="B70" t="s">
        <v>208</v>
      </c>
      <c r="C70" t="s">
        <v>442</v>
      </c>
      <c r="D70" t="s">
        <v>206</v>
      </c>
      <c r="E70" s="50" t="s">
        <v>49</v>
      </c>
      <c r="F70" s="39" t="s">
        <v>362</v>
      </c>
      <c r="K70" s="3" t="s">
        <v>88</v>
      </c>
      <c r="L70" s="6" t="s">
        <v>377</v>
      </c>
      <c r="N70" t="s">
        <v>87</v>
      </c>
      <c r="O70" t="s">
        <v>399</v>
      </c>
      <c r="P70" t="s">
        <v>206</v>
      </c>
    </row>
    <row r="71" spans="2:16" x14ac:dyDescent="0.2">
      <c r="B71" t="s">
        <v>208</v>
      </c>
      <c r="C71" t="s">
        <v>295</v>
      </c>
      <c r="D71" t="s">
        <v>206</v>
      </c>
      <c r="E71" s="50" t="s">
        <v>50</v>
      </c>
      <c r="F71" s="39" t="s">
        <v>44</v>
      </c>
      <c r="K71" s="3" t="s">
        <v>67</v>
      </c>
      <c r="L71" s="6" t="s">
        <v>378</v>
      </c>
      <c r="N71" t="s">
        <v>87</v>
      </c>
      <c r="O71" t="s">
        <v>400</v>
      </c>
      <c r="P71" t="s">
        <v>206</v>
      </c>
    </row>
    <row r="72" spans="2:16" x14ac:dyDescent="0.2">
      <c r="B72" t="s">
        <v>208</v>
      </c>
      <c r="C72" t="s">
        <v>438</v>
      </c>
      <c r="D72" t="s">
        <v>206</v>
      </c>
      <c r="E72" s="50" t="s">
        <v>51</v>
      </c>
      <c r="F72" s="39" t="s">
        <v>364</v>
      </c>
      <c r="K72" s="3" t="s">
        <v>68</v>
      </c>
      <c r="L72" s="6" t="s">
        <v>379</v>
      </c>
      <c r="N72" t="s">
        <v>87</v>
      </c>
      <c r="O72" t="s">
        <v>401</v>
      </c>
      <c r="P72" t="s">
        <v>206</v>
      </c>
    </row>
    <row r="73" spans="2:16" x14ac:dyDescent="0.2">
      <c r="B73" t="s">
        <v>208</v>
      </c>
      <c r="C73" t="s">
        <v>403</v>
      </c>
      <c r="D73" t="s">
        <v>206</v>
      </c>
      <c r="E73" s="50" t="s">
        <v>52</v>
      </c>
      <c r="F73" s="39" t="s">
        <v>365</v>
      </c>
      <c r="K73" s="3" t="s">
        <v>69</v>
      </c>
      <c r="L73" s="6" t="s">
        <v>380</v>
      </c>
      <c r="N73" t="s">
        <v>87</v>
      </c>
      <c r="O73" t="s">
        <v>295</v>
      </c>
      <c r="P73" t="s">
        <v>206</v>
      </c>
    </row>
    <row r="74" spans="2:16" x14ac:dyDescent="0.2">
      <c r="B74" t="s">
        <v>208</v>
      </c>
      <c r="C74" t="s">
        <v>296</v>
      </c>
      <c r="D74" t="s">
        <v>206</v>
      </c>
      <c r="E74" s="50" t="s">
        <v>53</v>
      </c>
      <c r="F74" s="39" t="s">
        <v>13</v>
      </c>
      <c r="K74" s="3" t="s">
        <v>70</v>
      </c>
      <c r="L74" s="6" t="s">
        <v>381</v>
      </c>
      <c r="N74" t="s">
        <v>87</v>
      </c>
      <c r="O74" t="s">
        <v>402</v>
      </c>
      <c r="P74" t="s">
        <v>206</v>
      </c>
    </row>
    <row r="75" spans="2:16" x14ac:dyDescent="0.2">
      <c r="B75" t="s">
        <v>208</v>
      </c>
      <c r="C75" t="s">
        <v>297</v>
      </c>
      <c r="D75" t="s">
        <v>206</v>
      </c>
      <c r="E75" s="50" t="s">
        <v>54</v>
      </c>
      <c r="F75" s="39" t="s">
        <v>13</v>
      </c>
      <c r="K75" s="3" t="s">
        <v>71</v>
      </c>
      <c r="L75" s="6" t="s">
        <v>382</v>
      </c>
      <c r="N75" t="s">
        <v>87</v>
      </c>
      <c r="O75" t="s">
        <v>403</v>
      </c>
      <c r="P75" t="s">
        <v>206</v>
      </c>
    </row>
    <row r="76" spans="2:16" x14ac:dyDescent="0.2">
      <c r="B76" t="s">
        <v>208</v>
      </c>
      <c r="C76" t="s">
        <v>317</v>
      </c>
      <c r="D76" t="s">
        <v>206</v>
      </c>
      <c r="E76" s="50" t="s">
        <v>55</v>
      </c>
      <c r="F76" s="39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314</v>
      </c>
      <c r="D77" t="s">
        <v>206</v>
      </c>
      <c r="E77" s="50" t="s">
        <v>56</v>
      </c>
      <c r="F77" s="39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0" t="s">
        <v>57</v>
      </c>
      <c r="F78" s="39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290</v>
      </c>
      <c r="D79" t="s">
        <v>206</v>
      </c>
      <c r="E79" s="50" t="s">
        <v>58</v>
      </c>
      <c r="F79" s="39" t="s">
        <v>445</v>
      </c>
      <c r="K79" s="3" t="s">
        <v>75</v>
      </c>
      <c r="L79" s="6" t="s">
        <v>383</v>
      </c>
      <c r="N79" t="s">
        <v>87</v>
      </c>
      <c r="O79" t="s">
        <v>357</v>
      </c>
      <c r="P79" t="s">
        <v>206</v>
      </c>
    </row>
    <row r="80" spans="2:16" x14ac:dyDescent="0.2">
      <c r="B80" t="s">
        <v>208</v>
      </c>
      <c r="C80" t="s">
        <v>318</v>
      </c>
      <c r="D80" t="s">
        <v>206</v>
      </c>
      <c r="E80" s="50" t="s">
        <v>59</v>
      </c>
      <c r="F80" s="39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319</v>
      </c>
      <c r="D81" t="s">
        <v>206</v>
      </c>
      <c r="E81" s="50" t="s">
        <v>60</v>
      </c>
      <c r="F81" s="39" t="s">
        <v>13</v>
      </c>
      <c r="K81" s="3" t="s">
        <v>77</v>
      </c>
      <c r="L81" s="6" t="s">
        <v>29</v>
      </c>
      <c r="N81" t="s">
        <v>87</v>
      </c>
      <c r="O81" t="s">
        <v>290</v>
      </c>
      <c r="P81" t="s">
        <v>206</v>
      </c>
    </row>
    <row r="82" spans="2:16" x14ac:dyDescent="0.2">
      <c r="B82" t="s">
        <v>208</v>
      </c>
      <c r="C82" t="s">
        <v>332</v>
      </c>
      <c r="D82" t="s">
        <v>206</v>
      </c>
      <c r="E82" s="50" t="s">
        <v>61</v>
      </c>
      <c r="F82" s="39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333</v>
      </c>
      <c r="D83" t="s">
        <v>206</v>
      </c>
      <c r="E83" s="50" t="s">
        <v>62</v>
      </c>
      <c r="F83" s="39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334</v>
      </c>
      <c r="D84" t="s">
        <v>206</v>
      </c>
      <c r="E84" s="50" t="s">
        <v>63</v>
      </c>
      <c r="F84" s="39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335</v>
      </c>
      <c r="D85" t="s">
        <v>206</v>
      </c>
      <c r="E85" s="50" t="s">
        <v>64</v>
      </c>
      <c r="F85" s="39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336</v>
      </c>
      <c r="D86" t="s">
        <v>206</v>
      </c>
      <c r="E86" s="50" t="s">
        <v>65</v>
      </c>
      <c r="F86" s="39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324</v>
      </c>
      <c r="D87" t="s">
        <v>206</v>
      </c>
      <c r="E87" s="50" t="s">
        <v>66</v>
      </c>
      <c r="F87" s="39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325</v>
      </c>
      <c r="D88" t="s">
        <v>206</v>
      </c>
      <c r="E88" s="50" t="s">
        <v>1</v>
      </c>
      <c r="F88" s="39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0" t="s">
        <v>0</v>
      </c>
      <c r="F89" s="39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1" t="s">
        <v>208</v>
      </c>
      <c r="F90" s="39" t="s">
        <v>202</v>
      </c>
      <c r="K90" s="3" t="s">
        <v>1</v>
      </c>
      <c r="L90" s="6"/>
      <c r="N90" t="s">
        <v>207</v>
      </c>
    </row>
    <row r="91" spans="2:16" x14ac:dyDescent="0.2">
      <c r="E91" s="52" t="s">
        <v>2</v>
      </c>
      <c r="F91" s="40"/>
      <c r="K91" s="3" t="s">
        <v>0</v>
      </c>
      <c r="L91" s="6"/>
    </row>
    <row r="92" spans="2:16" ht="29" customHeight="1" x14ac:dyDescent="0.2">
      <c r="K92" s="8" t="s">
        <v>87</v>
      </c>
      <c r="L92" s="3" t="s">
        <v>412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0" t="s">
        <v>300</v>
      </c>
      <c r="O99" s="26" t="s">
        <v>424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5" t="s">
        <v>443</v>
      </c>
      <c r="L100" s="25" t="s">
        <v>394</v>
      </c>
      <c r="N100" t="s">
        <v>416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430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431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432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433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671</v>
      </c>
      <c r="N105" t="s">
        <v>87</v>
      </c>
      <c r="O105" t="s">
        <v>673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672</v>
      </c>
      <c r="N106" t="s">
        <v>87</v>
      </c>
      <c r="O106" t="s">
        <v>674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434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413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19" t="s">
        <v>301</v>
      </c>
      <c r="O132" t="s">
        <v>425</v>
      </c>
    </row>
    <row r="133" spans="5:16" x14ac:dyDescent="0.2">
      <c r="E133"/>
      <c r="K133" s="25" t="s">
        <v>388</v>
      </c>
      <c r="L133" s="25" t="s">
        <v>395</v>
      </c>
      <c r="N133" t="s">
        <v>417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266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267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268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269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270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271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272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273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274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275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276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277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278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279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280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281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282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283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284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285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420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19" t="s">
        <v>358</v>
      </c>
      <c r="O164" t="s">
        <v>426</v>
      </c>
    </row>
    <row r="165" spans="11:16" x14ac:dyDescent="0.2">
      <c r="K165" s="25" t="s">
        <v>387</v>
      </c>
      <c r="L165" s="25" t="s">
        <v>396</v>
      </c>
      <c r="N165" t="s">
        <v>418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421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>
    <tabColor theme="0" tint="-0.14999847407452621"/>
  </sheetPr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6" t="s">
        <v>777</v>
      </c>
      <c r="R1">
        <v>0</v>
      </c>
      <c r="S1" t="s">
        <v>712</v>
      </c>
      <c r="V1" t="s">
        <v>717</v>
      </c>
    </row>
    <row r="2" spans="1:22" x14ac:dyDescent="0.2">
      <c r="A2" t="s">
        <v>774</v>
      </c>
      <c r="B2" t="s">
        <v>780</v>
      </c>
      <c r="C2" t="s">
        <v>326</v>
      </c>
      <c r="D2" t="s">
        <v>775</v>
      </c>
      <c r="R2">
        <v>1</v>
      </c>
      <c r="S2" t="s">
        <v>347</v>
      </c>
      <c r="V2" t="s">
        <v>718</v>
      </c>
    </row>
    <row r="3" spans="1:22" x14ac:dyDescent="0.2">
      <c r="A3" t="s">
        <v>774</v>
      </c>
      <c r="B3" t="s">
        <v>780</v>
      </c>
      <c r="C3" t="s">
        <v>327</v>
      </c>
      <c r="D3" t="s">
        <v>775</v>
      </c>
      <c r="R3">
        <v>2</v>
      </c>
      <c r="S3" t="s">
        <v>710</v>
      </c>
      <c r="V3" t="s">
        <v>719</v>
      </c>
    </row>
    <row r="4" spans="1:22" x14ac:dyDescent="0.2">
      <c r="A4" t="s">
        <v>774</v>
      </c>
      <c r="B4" t="s">
        <v>780</v>
      </c>
      <c r="C4" t="s">
        <v>328</v>
      </c>
      <c r="D4" t="s">
        <v>775</v>
      </c>
      <c r="R4">
        <v>3</v>
      </c>
      <c r="S4" t="s">
        <v>711</v>
      </c>
      <c r="V4" t="s">
        <v>720</v>
      </c>
    </row>
    <row r="5" spans="1:22" x14ac:dyDescent="0.2">
      <c r="A5" t="s">
        <v>774</v>
      </c>
      <c r="B5" t="s">
        <v>780</v>
      </c>
      <c r="C5" t="s">
        <v>714</v>
      </c>
      <c r="D5" t="s">
        <v>775</v>
      </c>
      <c r="R5">
        <v>4</v>
      </c>
      <c r="S5" t="s">
        <v>348</v>
      </c>
      <c r="V5" t="s">
        <v>436</v>
      </c>
    </row>
    <row r="6" spans="1:22" x14ac:dyDescent="0.2">
      <c r="A6" t="s">
        <v>774</v>
      </c>
      <c r="B6" t="s">
        <v>780</v>
      </c>
      <c r="C6" t="s">
        <v>715</v>
      </c>
      <c r="D6" t="s">
        <v>775</v>
      </c>
      <c r="R6">
        <v>5</v>
      </c>
      <c r="S6" t="s">
        <v>386</v>
      </c>
      <c r="V6" t="s">
        <v>392</v>
      </c>
    </row>
    <row r="7" spans="1:22" x14ac:dyDescent="0.2">
      <c r="A7" t="s">
        <v>774</v>
      </c>
      <c r="B7" t="s">
        <v>780</v>
      </c>
      <c r="C7" t="s">
        <v>709</v>
      </c>
      <c r="D7" t="s">
        <v>775</v>
      </c>
      <c r="R7">
        <v>6</v>
      </c>
      <c r="S7" t="s">
        <v>385</v>
      </c>
      <c r="V7" t="s">
        <v>393</v>
      </c>
    </row>
    <row r="8" spans="1:22" x14ac:dyDescent="0.2">
      <c r="A8" t="s">
        <v>774</v>
      </c>
      <c r="B8" t="s">
        <v>780</v>
      </c>
      <c r="C8" t="s">
        <v>707</v>
      </c>
      <c r="D8" t="s">
        <v>775</v>
      </c>
      <c r="R8">
        <v>7</v>
      </c>
      <c r="S8" t="s">
        <v>444</v>
      </c>
      <c r="V8" t="s">
        <v>394</v>
      </c>
    </row>
    <row r="9" spans="1:22" x14ac:dyDescent="0.2">
      <c r="A9" t="s">
        <v>774</v>
      </c>
      <c r="B9" t="s">
        <v>780</v>
      </c>
      <c r="C9" t="s">
        <v>708</v>
      </c>
      <c r="D9" t="s">
        <v>775</v>
      </c>
      <c r="R9">
        <v>8</v>
      </c>
      <c r="S9" t="s">
        <v>388</v>
      </c>
      <c r="V9" t="s">
        <v>395</v>
      </c>
    </row>
    <row r="10" spans="1:22" x14ac:dyDescent="0.2">
      <c r="A10" t="s">
        <v>774</v>
      </c>
      <c r="B10" t="s">
        <v>780</v>
      </c>
      <c r="C10" t="s">
        <v>290</v>
      </c>
      <c r="D10" t="s">
        <v>775</v>
      </c>
      <c r="R10">
        <v>9</v>
      </c>
      <c r="S10" t="s">
        <v>387</v>
      </c>
      <c r="V10" t="s">
        <v>396</v>
      </c>
    </row>
    <row r="11" spans="1:22" x14ac:dyDescent="0.2">
      <c r="A11" t="s">
        <v>774</v>
      </c>
      <c r="B11" t="s">
        <v>780</v>
      </c>
      <c r="C11" t="s">
        <v>289</v>
      </c>
      <c r="D11" t="s">
        <v>781</v>
      </c>
      <c r="R11">
        <v>10</v>
      </c>
      <c r="S11" t="s">
        <v>728</v>
      </c>
      <c r="V11" t="s">
        <v>729</v>
      </c>
    </row>
    <row r="12" spans="1:22" x14ac:dyDescent="0.2">
      <c r="C12" s="26" t="s">
        <v>427</v>
      </c>
    </row>
    <row r="13" spans="1:22" x14ac:dyDescent="0.2">
      <c r="A13" t="s">
        <v>774</v>
      </c>
      <c r="B13" t="s">
        <v>776</v>
      </c>
      <c r="C13" t="s">
        <v>326</v>
      </c>
      <c r="D13" t="s">
        <v>775</v>
      </c>
    </row>
    <row r="14" spans="1:22" x14ac:dyDescent="0.2">
      <c r="A14" t="s">
        <v>774</v>
      </c>
      <c r="B14" t="s">
        <v>776</v>
      </c>
      <c r="C14" t="s">
        <v>327</v>
      </c>
      <c r="D14" t="s">
        <v>775</v>
      </c>
    </row>
    <row r="15" spans="1:22" x14ac:dyDescent="0.2">
      <c r="A15" t="s">
        <v>774</v>
      </c>
      <c r="B15" t="s">
        <v>776</v>
      </c>
      <c r="C15" t="s">
        <v>328</v>
      </c>
      <c r="D15" t="s">
        <v>775</v>
      </c>
    </row>
    <row r="16" spans="1:22" x14ac:dyDescent="0.2">
      <c r="A16" t="s">
        <v>774</v>
      </c>
      <c r="B16" t="s">
        <v>776</v>
      </c>
      <c r="C16" t="s">
        <v>714</v>
      </c>
      <c r="D16" t="s">
        <v>775</v>
      </c>
    </row>
    <row r="17" spans="1:4" x14ac:dyDescent="0.2">
      <c r="A17" t="s">
        <v>774</v>
      </c>
      <c r="B17" t="s">
        <v>776</v>
      </c>
      <c r="C17" t="s">
        <v>715</v>
      </c>
      <c r="D17" t="s">
        <v>775</v>
      </c>
    </row>
    <row r="18" spans="1:4" x14ac:dyDescent="0.2">
      <c r="A18" t="s">
        <v>774</v>
      </c>
      <c r="B18" t="s">
        <v>776</v>
      </c>
      <c r="C18" t="s">
        <v>709</v>
      </c>
      <c r="D18" t="s">
        <v>775</v>
      </c>
    </row>
    <row r="19" spans="1:4" x14ac:dyDescent="0.2">
      <c r="A19" t="s">
        <v>774</v>
      </c>
      <c r="B19" t="s">
        <v>776</v>
      </c>
      <c r="C19" t="s">
        <v>707</v>
      </c>
      <c r="D19" t="s">
        <v>775</v>
      </c>
    </row>
    <row r="20" spans="1:4" x14ac:dyDescent="0.2">
      <c r="A20" t="s">
        <v>774</v>
      </c>
      <c r="B20" t="s">
        <v>776</v>
      </c>
      <c r="C20" t="s">
        <v>708</v>
      </c>
      <c r="D20" t="s">
        <v>775</v>
      </c>
    </row>
    <row r="21" spans="1:4" x14ac:dyDescent="0.2">
      <c r="A21" t="s">
        <v>774</v>
      </c>
      <c r="B21" t="s">
        <v>776</v>
      </c>
      <c r="C21" t="s">
        <v>290</v>
      </c>
      <c r="D21" t="s">
        <v>775</v>
      </c>
    </row>
    <row r="22" spans="1:4" x14ac:dyDescent="0.2">
      <c r="A22" t="s">
        <v>774</v>
      </c>
      <c r="B22" t="s">
        <v>776</v>
      </c>
      <c r="C22" t="s">
        <v>289</v>
      </c>
      <c r="D22" t="s">
        <v>781</v>
      </c>
    </row>
    <row r="23" spans="1:4" x14ac:dyDescent="0.2">
      <c r="C23" s="26" t="s">
        <v>779</v>
      </c>
    </row>
    <row r="24" spans="1:4" x14ac:dyDescent="0.2">
      <c r="A24" t="s">
        <v>774</v>
      </c>
      <c r="B24" t="s">
        <v>778</v>
      </c>
      <c r="C24" t="s">
        <v>326</v>
      </c>
      <c r="D24" t="s">
        <v>775</v>
      </c>
    </row>
    <row r="25" spans="1:4" x14ac:dyDescent="0.2">
      <c r="A25" t="s">
        <v>774</v>
      </c>
      <c r="B25" t="s">
        <v>778</v>
      </c>
      <c r="C25" t="s">
        <v>327</v>
      </c>
      <c r="D25" t="s">
        <v>775</v>
      </c>
    </row>
    <row r="26" spans="1:4" x14ac:dyDescent="0.2">
      <c r="A26" t="s">
        <v>774</v>
      </c>
      <c r="B26" t="s">
        <v>778</v>
      </c>
      <c r="C26" t="s">
        <v>328</v>
      </c>
      <c r="D26" t="s">
        <v>775</v>
      </c>
    </row>
    <row r="27" spans="1:4" x14ac:dyDescent="0.2">
      <c r="A27" t="s">
        <v>774</v>
      </c>
      <c r="B27" t="s">
        <v>778</v>
      </c>
      <c r="C27" t="s">
        <v>714</v>
      </c>
      <c r="D27" t="s">
        <v>775</v>
      </c>
    </row>
    <row r="28" spans="1:4" x14ac:dyDescent="0.2">
      <c r="A28" t="s">
        <v>774</v>
      </c>
      <c r="B28" t="s">
        <v>778</v>
      </c>
      <c r="C28" t="s">
        <v>715</v>
      </c>
      <c r="D28" t="s">
        <v>775</v>
      </c>
    </row>
    <row r="29" spans="1:4" x14ac:dyDescent="0.2">
      <c r="A29" t="s">
        <v>774</v>
      </c>
      <c r="B29" t="s">
        <v>778</v>
      </c>
      <c r="C29" t="s">
        <v>709</v>
      </c>
      <c r="D29" t="s">
        <v>775</v>
      </c>
    </row>
    <row r="30" spans="1:4" x14ac:dyDescent="0.2">
      <c r="A30" t="s">
        <v>774</v>
      </c>
      <c r="B30" t="s">
        <v>778</v>
      </c>
      <c r="C30" t="s">
        <v>707</v>
      </c>
      <c r="D30" t="s">
        <v>775</v>
      </c>
    </row>
    <row r="31" spans="1:4" x14ac:dyDescent="0.2">
      <c r="A31" t="s">
        <v>774</v>
      </c>
      <c r="B31" t="s">
        <v>778</v>
      </c>
      <c r="C31" t="s">
        <v>708</v>
      </c>
      <c r="D31" t="s">
        <v>775</v>
      </c>
    </row>
    <row r="32" spans="1:4" x14ac:dyDescent="0.2">
      <c r="A32" t="s">
        <v>774</v>
      </c>
      <c r="B32" t="s">
        <v>778</v>
      </c>
      <c r="C32" t="s">
        <v>290</v>
      </c>
      <c r="D32" t="s">
        <v>775</v>
      </c>
    </row>
    <row r="33" spans="1:26" x14ac:dyDescent="0.2">
      <c r="A33" t="s">
        <v>774</v>
      </c>
      <c r="B33" t="s">
        <v>778</v>
      </c>
      <c r="C33" t="s">
        <v>289</v>
      </c>
      <c r="D33" t="s">
        <v>781</v>
      </c>
    </row>
    <row r="35" spans="1:26" ht="17" thickBot="1" x14ac:dyDescent="0.25">
      <c r="I35"/>
      <c r="J35"/>
    </row>
    <row r="36" spans="1:26" ht="17" thickBot="1" x14ac:dyDescent="0.25">
      <c r="E36" s="72"/>
      <c r="F36" s="85" t="s">
        <v>789</v>
      </c>
      <c r="G36" s="85"/>
      <c r="H36" s="85"/>
      <c r="I36" s="85"/>
      <c r="J36" s="73"/>
      <c r="K36" s="86" t="s">
        <v>792</v>
      </c>
      <c r="L36" s="74"/>
      <c r="M36" s="74"/>
      <c r="N36" s="86" t="s">
        <v>793</v>
      </c>
      <c r="O36" s="86"/>
      <c r="P36" s="75"/>
    </row>
    <row r="37" spans="1:26" x14ac:dyDescent="0.2">
      <c r="E37" s="76"/>
      <c r="F37" s="8" t="s">
        <v>712</v>
      </c>
      <c r="G37" s="8"/>
      <c r="H37" s="8"/>
      <c r="I37" s="8" t="s">
        <v>791</v>
      </c>
      <c r="J37" s="8"/>
      <c r="K37" s="25" t="s">
        <v>801</v>
      </c>
      <c r="L37" s="74"/>
      <c r="M37" s="25"/>
      <c r="N37" s="25" t="s">
        <v>794</v>
      </c>
      <c r="O37" s="25"/>
      <c r="P37" s="77"/>
    </row>
    <row r="38" spans="1:26" ht="19" x14ac:dyDescent="0.25">
      <c r="E38" s="76"/>
      <c r="F38" s="8" t="s">
        <v>347</v>
      </c>
      <c r="G38" s="8"/>
      <c r="H38" s="8"/>
      <c r="I38" s="8" t="s">
        <v>797</v>
      </c>
      <c r="J38" s="8"/>
      <c r="K38" s="25" t="s">
        <v>802</v>
      </c>
      <c r="L38" s="25"/>
      <c r="M38" s="25"/>
      <c r="N38" s="25" t="s">
        <v>798</v>
      </c>
      <c r="O38" s="25"/>
      <c r="P38" s="77"/>
      <c r="U38" s="19" t="s">
        <v>298</v>
      </c>
      <c r="Y38" t="s">
        <v>422</v>
      </c>
    </row>
    <row r="39" spans="1:26" x14ac:dyDescent="0.2">
      <c r="E39" s="76"/>
      <c r="F39" s="8" t="s">
        <v>710</v>
      </c>
      <c r="G39" s="8"/>
      <c r="H39" s="8"/>
      <c r="I39" s="8" t="s">
        <v>795</v>
      </c>
      <c r="J39" s="8"/>
      <c r="K39" s="25" t="s">
        <v>803</v>
      </c>
      <c r="L39" s="25"/>
      <c r="M39" s="25"/>
      <c r="N39" s="25" t="s">
        <v>799</v>
      </c>
      <c r="O39" s="25"/>
      <c r="P39" s="77"/>
      <c r="U39" s="25" t="s">
        <v>386</v>
      </c>
      <c r="V39" s="25" t="s">
        <v>392</v>
      </c>
      <c r="X39" t="s">
        <v>397</v>
      </c>
    </row>
    <row r="40" spans="1:26" x14ac:dyDescent="0.2">
      <c r="E40" s="76"/>
      <c r="F40" s="8" t="s">
        <v>711</v>
      </c>
      <c r="G40" s="8"/>
      <c r="H40" s="8"/>
      <c r="I40" s="8" t="s">
        <v>796</v>
      </c>
      <c r="J40" s="8"/>
      <c r="K40" s="25" t="s">
        <v>804</v>
      </c>
      <c r="L40" s="25"/>
      <c r="M40" s="25"/>
      <c r="N40" s="25" t="s">
        <v>800</v>
      </c>
      <c r="O40" s="25"/>
      <c r="P40" s="77"/>
      <c r="U40" s="3" t="s">
        <v>86</v>
      </c>
      <c r="V40" s="6" t="s">
        <v>370</v>
      </c>
      <c r="X40" t="s">
        <v>87</v>
      </c>
      <c r="Y40" t="s">
        <v>373</v>
      </c>
      <c r="Z40" t="s">
        <v>206</v>
      </c>
    </row>
    <row r="41" spans="1:26" x14ac:dyDescent="0.2">
      <c r="E41" s="87"/>
      <c r="F41" s="87" t="s">
        <v>784</v>
      </c>
      <c r="G41" s="87" t="s">
        <v>785</v>
      </c>
      <c r="H41" s="87" t="s">
        <v>786</v>
      </c>
      <c r="I41" s="87" t="s">
        <v>787</v>
      </c>
      <c r="J41" s="87"/>
      <c r="K41" s="87" t="s">
        <v>788</v>
      </c>
      <c r="L41" s="87" t="s">
        <v>807</v>
      </c>
      <c r="M41" s="87" t="s">
        <v>808</v>
      </c>
      <c r="N41" s="87"/>
      <c r="O41" s="87"/>
      <c r="P41" s="87"/>
      <c r="U41" s="3"/>
      <c r="V41" s="6"/>
    </row>
    <row r="42" spans="1:26" x14ac:dyDescent="0.2">
      <c r="E42" s="78" t="s">
        <v>0</v>
      </c>
      <c r="F42" s="69">
        <v>0</v>
      </c>
      <c r="G42" s="69" t="s">
        <v>208</v>
      </c>
      <c r="H42" s="69" t="s">
        <v>783</v>
      </c>
      <c r="I42" s="69" t="s">
        <v>326</v>
      </c>
      <c r="J42" s="69" t="s">
        <v>782</v>
      </c>
      <c r="K42" s="70" t="s">
        <v>109</v>
      </c>
      <c r="L42" s="70">
        <v>0</v>
      </c>
      <c r="M42" s="70">
        <v>5000</v>
      </c>
      <c r="N42" s="70"/>
      <c r="O42" s="70"/>
      <c r="P42" s="79"/>
      <c r="U42" s="3" t="s">
        <v>88</v>
      </c>
      <c r="V42" s="6" t="s">
        <v>20</v>
      </c>
      <c r="X42" t="s">
        <v>87</v>
      </c>
      <c r="Y42" t="s">
        <v>286</v>
      </c>
      <c r="Z42" t="s">
        <v>206</v>
      </c>
    </row>
    <row r="43" spans="1:26" x14ac:dyDescent="0.2">
      <c r="B43" t="s">
        <v>344</v>
      </c>
      <c r="E43" s="78" t="s">
        <v>204</v>
      </c>
      <c r="F43" s="69">
        <v>1</v>
      </c>
      <c r="G43" s="69" t="s">
        <v>208</v>
      </c>
      <c r="H43" s="69" t="s">
        <v>783</v>
      </c>
      <c r="I43" s="69" t="s">
        <v>327</v>
      </c>
      <c r="J43" s="69" t="s">
        <v>782</v>
      </c>
      <c r="K43" s="70" t="s">
        <v>108</v>
      </c>
      <c r="L43" s="70">
        <v>0</v>
      </c>
      <c r="M43" s="70">
        <v>10000</v>
      </c>
      <c r="N43" s="70"/>
      <c r="O43" s="70"/>
      <c r="P43" s="79"/>
      <c r="U43" s="3" t="s">
        <v>67</v>
      </c>
      <c r="V43" s="6" t="s">
        <v>21</v>
      </c>
      <c r="X43" t="s">
        <v>87</v>
      </c>
      <c r="Y43" t="s">
        <v>287</v>
      </c>
      <c r="Z43" t="s">
        <v>206</v>
      </c>
    </row>
    <row r="44" spans="1:26" x14ac:dyDescent="0.2">
      <c r="B44" t="s">
        <v>208</v>
      </c>
      <c r="C44" t="s">
        <v>326</v>
      </c>
      <c r="D44" t="s">
        <v>206</v>
      </c>
      <c r="E44" s="78" t="s">
        <v>204</v>
      </c>
      <c r="F44" s="69">
        <v>2</v>
      </c>
      <c r="G44" s="69" t="s">
        <v>208</v>
      </c>
      <c r="H44" s="69" t="s">
        <v>783</v>
      </c>
      <c r="I44" s="69" t="s">
        <v>328</v>
      </c>
      <c r="J44" s="69" t="s">
        <v>782</v>
      </c>
      <c r="K44" s="70" t="s">
        <v>110</v>
      </c>
      <c r="L44" s="70">
        <v>0</v>
      </c>
      <c r="M44" s="70">
        <v>1</v>
      </c>
      <c r="N44" s="70"/>
      <c r="O44" s="70"/>
      <c r="P44" s="79"/>
      <c r="U44" s="3" t="s">
        <v>68</v>
      </c>
      <c r="V44" s="6" t="s">
        <v>22</v>
      </c>
      <c r="X44" t="s">
        <v>87</v>
      </c>
      <c r="Y44" t="s">
        <v>288</v>
      </c>
      <c r="Z44" t="s">
        <v>206</v>
      </c>
    </row>
    <row r="45" spans="1:26" x14ac:dyDescent="0.2">
      <c r="B45" t="s">
        <v>208</v>
      </c>
      <c r="C45" t="s">
        <v>327</v>
      </c>
      <c r="D45" t="s">
        <v>206</v>
      </c>
      <c r="E45" s="78" t="s">
        <v>204</v>
      </c>
      <c r="F45" s="69">
        <v>3</v>
      </c>
      <c r="G45" s="69" t="s">
        <v>208</v>
      </c>
      <c r="H45" s="69" t="s">
        <v>783</v>
      </c>
      <c r="I45" s="69" t="s">
        <v>714</v>
      </c>
      <c r="J45" s="69" t="s">
        <v>782</v>
      </c>
      <c r="K45" s="70" t="s">
        <v>810</v>
      </c>
      <c r="L45" s="70">
        <v>0</v>
      </c>
      <c r="M45" s="70">
        <v>1023</v>
      </c>
      <c r="N45" s="70"/>
      <c r="O45" s="70"/>
      <c r="P45" s="79"/>
      <c r="U45" s="3" t="s">
        <v>69</v>
      </c>
      <c r="V45" s="6" t="s">
        <v>372</v>
      </c>
      <c r="X45" t="s">
        <v>87</v>
      </c>
      <c r="Y45" t="s">
        <v>374</v>
      </c>
      <c r="Z45" t="s">
        <v>206</v>
      </c>
    </row>
    <row r="46" spans="1:26" x14ac:dyDescent="0.2">
      <c r="B46" t="s">
        <v>208</v>
      </c>
      <c r="C46" t="s">
        <v>328</v>
      </c>
      <c r="D46" t="s">
        <v>206</v>
      </c>
      <c r="E46" s="78" t="s">
        <v>204</v>
      </c>
      <c r="F46" s="69">
        <v>4</v>
      </c>
      <c r="G46" s="69" t="s">
        <v>208</v>
      </c>
      <c r="H46" s="69" t="s">
        <v>783</v>
      </c>
      <c r="I46" s="69" t="s">
        <v>715</v>
      </c>
      <c r="J46" s="69" t="s">
        <v>782</v>
      </c>
      <c r="K46" s="70" t="s">
        <v>809</v>
      </c>
      <c r="L46" s="70">
        <v>0</v>
      </c>
      <c r="M46" s="70">
        <v>3</v>
      </c>
      <c r="N46" s="70"/>
      <c r="O46" s="70"/>
      <c r="P46" s="79"/>
      <c r="U46" s="3" t="s">
        <v>70</v>
      </c>
      <c r="V46" s="6" t="s">
        <v>691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714</v>
      </c>
      <c r="D47" t="s">
        <v>206</v>
      </c>
      <c r="E47" s="78" t="s">
        <v>204</v>
      </c>
      <c r="F47" s="69">
        <v>5</v>
      </c>
      <c r="G47" s="69" t="s">
        <v>208</v>
      </c>
      <c r="H47" s="69" t="s">
        <v>783</v>
      </c>
      <c r="I47" s="69" t="s">
        <v>709</v>
      </c>
      <c r="J47" s="69" t="s">
        <v>782</v>
      </c>
      <c r="K47" s="70" t="s">
        <v>706</v>
      </c>
      <c r="L47" s="70">
        <v>-32</v>
      </c>
      <c r="M47" s="70">
        <v>150</v>
      </c>
      <c r="N47" s="70"/>
      <c r="O47" s="70"/>
      <c r="P47" s="79"/>
      <c r="U47" s="3" t="s">
        <v>71</v>
      </c>
      <c r="V47" s="6" t="s">
        <v>692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715</v>
      </c>
      <c r="D48" t="s">
        <v>206</v>
      </c>
      <c r="E48" s="78" t="s">
        <v>204</v>
      </c>
      <c r="F48" s="69">
        <v>6</v>
      </c>
      <c r="G48" s="69" t="s">
        <v>208</v>
      </c>
      <c r="H48" s="69" t="s">
        <v>783</v>
      </c>
      <c r="I48" s="69" t="s">
        <v>707</v>
      </c>
      <c r="J48" s="69" t="s">
        <v>782</v>
      </c>
      <c r="K48" s="70" t="s">
        <v>120</v>
      </c>
      <c r="L48" s="70"/>
      <c r="M48" s="70"/>
      <c r="N48" s="70"/>
      <c r="O48" s="70"/>
      <c r="P48" s="79"/>
      <c r="U48" s="3" t="s">
        <v>72</v>
      </c>
      <c r="V48" s="6" t="s">
        <v>693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709</v>
      </c>
      <c r="D49" t="s">
        <v>206</v>
      </c>
      <c r="E49" s="78" t="s">
        <v>204</v>
      </c>
      <c r="F49" s="69">
        <v>7</v>
      </c>
      <c r="G49" s="69" t="s">
        <v>208</v>
      </c>
      <c r="H49" s="69" t="s">
        <v>783</v>
      </c>
      <c r="I49" s="69" t="s">
        <v>708</v>
      </c>
      <c r="J49" s="69" t="s">
        <v>782</v>
      </c>
      <c r="K49" s="70" t="s">
        <v>121</v>
      </c>
      <c r="L49" s="70"/>
      <c r="M49" s="70"/>
      <c r="N49" s="70"/>
      <c r="O49" s="70"/>
      <c r="P49" s="79"/>
      <c r="U49" s="3" t="s">
        <v>73</v>
      </c>
      <c r="V49" s="6" t="s">
        <v>694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707</v>
      </c>
      <c r="D50" t="s">
        <v>206</v>
      </c>
      <c r="E50" s="78" t="s">
        <v>204</v>
      </c>
      <c r="F50" s="69">
        <v>8</v>
      </c>
      <c r="G50" s="69" t="s">
        <v>208</v>
      </c>
      <c r="H50" s="69" t="s">
        <v>783</v>
      </c>
      <c r="I50" s="69" t="s">
        <v>290</v>
      </c>
      <c r="J50" s="69" t="s">
        <v>782</v>
      </c>
      <c r="K50" s="70" t="s">
        <v>445</v>
      </c>
      <c r="L50" s="70">
        <v>0</v>
      </c>
      <c r="M50" s="70">
        <v>28800</v>
      </c>
      <c r="N50" s="70"/>
      <c r="O50" s="70"/>
      <c r="P50" s="79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708</v>
      </c>
      <c r="D51" t="s">
        <v>206</v>
      </c>
      <c r="E51" s="78" t="s">
        <v>204</v>
      </c>
      <c r="F51" s="69">
        <v>9</v>
      </c>
      <c r="G51" s="69" t="s">
        <v>208</v>
      </c>
      <c r="H51" s="69" t="s">
        <v>783</v>
      </c>
      <c r="I51" s="69" t="s">
        <v>289</v>
      </c>
      <c r="J51" s="69" t="s">
        <v>782</v>
      </c>
      <c r="K51" s="70" t="s">
        <v>18</v>
      </c>
      <c r="L51" s="70"/>
      <c r="M51" s="70"/>
      <c r="N51" s="70"/>
      <c r="O51" s="70"/>
      <c r="P51" s="79"/>
      <c r="U51" s="3" t="s">
        <v>75</v>
      </c>
      <c r="V51" s="6" t="s">
        <v>29</v>
      </c>
      <c r="X51" t="s">
        <v>87</v>
      </c>
      <c r="Y51" t="s">
        <v>290</v>
      </c>
      <c r="Z51" t="s">
        <v>206</v>
      </c>
    </row>
    <row r="52" spans="2:26" x14ac:dyDescent="0.2">
      <c r="B52" t="s">
        <v>208</v>
      </c>
      <c r="C52" t="s">
        <v>290</v>
      </c>
      <c r="D52" t="s">
        <v>206</v>
      </c>
      <c r="E52" s="78" t="s">
        <v>204</v>
      </c>
      <c r="F52" s="69"/>
      <c r="G52" s="69"/>
      <c r="H52" s="69"/>
      <c r="I52" s="71"/>
      <c r="J52" s="71"/>
      <c r="K52" s="70"/>
      <c r="L52" s="70"/>
      <c r="M52" s="70"/>
      <c r="N52" s="70"/>
      <c r="O52" s="70"/>
      <c r="P52" s="79"/>
      <c r="U52" s="3" t="s">
        <v>76</v>
      </c>
      <c r="V52" s="6" t="s">
        <v>371</v>
      </c>
      <c r="X52" t="s">
        <v>87</v>
      </c>
      <c r="Y52" t="s">
        <v>375</v>
      </c>
      <c r="Z52" t="s">
        <v>206</v>
      </c>
    </row>
    <row r="53" spans="2:26" x14ac:dyDescent="0.2">
      <c r="B53" t="s">
        <v>208</v>
      </c>
      <c r="C53" t="s">
        <v>289</v>
      </c>
      <c r="D53" t="s">
        <v>206</v>
      </c>
      <c r="E53" s="78" t="s">
        <v>204</v>
      </c>
      <c r="F53" s="69"/>
      <c r="G53" s="69"/>
      <c r="H53" s="69"/>
      <c r="I53" s="71"/>
      <c r="J53" s="71"/>
      <c r="K53" s="70"/>
      <c r="L53" s="70"/>
      <c r="M53" s="70"/>
      <c r="N53" s="70"/>
      <c r="O53" s="70"/>
      <c r="P53" s="79"/>
      <c r="U53" s="3" t="s">
        <v>77</v>
      </c>
      <c r="V53" s="6" t="s">
        <v>31</v>
      </c>
      <c r="X53" t="s">
        <v>87</v>
      </c>
      <c r="Y53" t="s">
        <v>291</v>
      </c>
      <c r="Z53" t="s">
        <v>206</v>
      </c>
    </row>
    <row r="54" spans="2:26" x14ac:dyDescent="0.2">
      <c r="C54" t="s">
        <v>325</v>
      </c>
      <c r="E54" s="78" t="s">
        <v>1</v>
      </c>
      <c r="F54" s="69"/>
      <c r="G54" s="69"/>
      <c r="H54" s="69"/>
      <c r="I54" s="71"/>
      <c r="J54" s="71"/>
      <c r="K54" s="70"/>
      <c r="L54" s="70"/>
      <c r="M54" s="70"/>
      <c r="N54" s="70"/>
      <c r="O54" s="70"/>
      <c r="P54" s="79"/>
      <c r="U54" s="3" t="s">
        <v>78</v>
      </c>
      <c r="V54" s="6" t="s">
        <v>32</v>
      </c>
      <c r="X54" t="s">
        <v>87</v>
      </c>
      <c r="Y54" t="s">
        <v>292</v>
      </c>
      <c r="Z54" t="s">
        <v>206</v>
      </c>
    </row>
    <row r="55" spans="2:26" ht="119" x14ac:dyDescent="0.2">
      <c r="E55" s="76"/>
      <c r="F55" s="8"/>
      <c r="G55" s="8"/>
      <c r="H55" s="8"/>
      <c r="I55" s="88" t="s">
        <v>806</v>
      </c>
      <c r="J55" s="44"/>
      <c r="K55" s="88" t="s">
        <v>805</v>
      </c>
      <c r="L55" s="63"/>
      <c r="M55" s="63"/>
      <c r="N55" s="63"/>
      <c r="O55" s="63"/>
      <c r="P55" s="6"/>
      <c r="U55" s="3" t="s">
        <v>79</v>
      </c>
      <c r="V55" s="6" t="s">
        <v>33</v>
      </c>
      <c r="X55" t="s">
        <v>87</v>
      </c>
      <c r="Y55" t="s">
        <v>293</v>
      </c>
      <c r="Z55" t="s">
        <v>206</v>
      </c>
    </row>
    <row r="56" spans="2:26" x14ac:dyDescent="0.2">
      <c r="E56" s="76"/>
      <c r="F56" s="8"/>
      <c r="G56" s="8"/>
      <c r="H56" s="8"/>
      <c r="I56" s="45"/>
      <c r="J56" s="45"/>
      <c r="K56" s="47"/>
      <c r="L56" s="63"/>
      <c r="M56" s="63"/>
      <c r="N56" s="63"/>
      <c r="O56" s="63"/>
      <c r="P56" s="6"/>
      <c r="U56" s="3" t="s">
        <v>80</v>
      </c>
      <c r="V56" s="6" t="s">
        <v>34</v>
      </c>
      <c r="X56" t="s">
        <v>87</v>
      </c>
      <c r="Y56" t="s">
        <v>294</v>
      </c>
      <c r="Z56" t="s">
        <v>206</v>
      </c>
    </row>
    <row r="57" spans="2:26" ht="17" thickBot="1" x14ac:dyDescent="0.25">
      <c r="E57" s="80"/>
      <c r="F57" s="81"/>
      <c r="G57" s="81"/>
      <c r="H57" s="81"/>
      <c r="I57" s="82"/>
      <c r="J57" s="82"/>
      <c r="K57" s="83"/>
      <c r="L57" s="84"/>
      <c r="M57" s="84"/>
      <c r="N57" s="84"/>
      <c r="O57" s="84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325</v>
      </c>
    </row>
    <row r="64" spans="2:26" ht="35" customHeight="1" x14ac:dyDescent="0.2">
      <c r="I64"/>
      <c r="J64"/>
      <c r="U64" s="8" t="s">
        <v>87</v>
      </c>
      <c r="V64" s="3" t="s">
        <v>411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428</v>
      </c>
      <c r="I67" s="49" t="s">
        <v>303</v>
      </c>
      <c r="J67" s="64"/>
    </row>
    <row r="68" spans="2:26" x14ac:dyDescent="0.2">
      <c r="B68" t="s">
        <v>305</v>
      </c>
      <c r="I68" s="43" t="s">
        <v>348</v>
      </c>
      <c r="J68" s="65"/>
      <c r="K68" s="38" t="s">
        <v>436</v>
      </c>
      <c r="L68" s="25"/>
      <c r="M68" s="25"/>
      <c r="N68" s="25"/>
      <c r="O68" s="25"/>
      <c r="P68" s="25"/>
    </row>
    <row r="69" spans="2:26" ht="19" x14ac:dyDescent="0.25">
      <c r="B69" t="s">
        <v>208</v>
      </c>
      <c r="C69" t="s">
        <v>439</v>
      </c>
      <c r="D69" t="s">
        <v>206</v>
      </c>
      <c r="I69" s="50" t="s">
        <v>189</v>
      </c>
      <c r="J69" s="66"/>
      <c r="K69" s="39" t="s">
        <v>359</v>
      </c>
      <c r="L69" s="63"/>
      <c r="M69" s="63"/>
      <c r="N69" s="63"/>
      <c r="O69" s="63"/>
      <c r="P69" s="63"/>
      <c r="U69" s="20" t="s">
        <v>299</v>
      </c>
      <c r="Y69" t="s">
        <v>423</v>
      </c>
    </row>
    <row r="70" spans="2:26" x14ac:dyDescent="0.2">
      <c r="B70" t="s">
        <v>208</v>
      </c>
      <c r="C70" t="s">
        <v>440</v>
      </c>
      <c r="D70" t="s">
        <v>206</v>
      </c>
      <c r="I70" s="50" t="s">
        <v>47</v>
      </c>
      <c r="J70" s="66"/>
      <c r="K70" s="39" t="s">
        <v>360</v>
      </c>
      <c r="L70" s="63"/>
      <c r="M70" s="63"/>
      <c r="N70" s="63"/>
      <c r="O70" s="63"/>
      <c r="P70" s="63"/>
      <c r="U70" s="25" t="s">
        <v>385</v>
      </c>
      <c r="V70" s="25" t="s">
        <v>393</v>
      </c>
      <c r="X70" t="s">
        <v>415</v>
      </c>
    </row>
    <row r="71" spans="2:26" x14ac:dyDescent="0.2">
      <c r="B71" t="s">
        <v>208</v>
      </c>
      <c r="C71" t="s">
        <v>441</v>
      </c>
      <c r="D71" t="s">
        <v>206</v>
      </c>
      <c r="I71" s="50" t="s">
        <v>48</v>
      </c>
      <c r="J71" s="66"/>
      <c r="K71" s="39" t="s">
        <v>361</v>
      </c>
      <c r="L71" s="63"/>
      <c r="M71" s="63"/>
      <c r="N71" s="63"/>
      <c r="O71" s="63"/>
      <c r="P71" s="63"/>
      <c r="U71" s="3" t="s">
        <v>86</v>
      </c>
      <c r="V71" s="6" t="s">
        <v>376</v>
      </c>
      <c r="X71" t="s">
        <v>87</v>
      </c>
      <c r="Y71" t="s">
        <v>398</v>
      </c>
      <c r="Z71" t="s">
        <v>206</v>
      </c>
    </row>
    <row r="72" spans="2:26" x14ac:dyDescent="0.2">
      <c r="B72" t="s">
        <v>208</v>
      </c>
      <c r="C72" t="s">
        <v>442</v>
      </c>
      <c r="D72" t="s">
        <v>206</v>
      </c>
      <c r="I72" s="50" t="s">
        <v>49</v>
      </c>
      <c r="J72" s="66"/>
      <c r="K72" s="39" t="s">
        <v>362</v>
      </c>
      <c r="L72" s="63"/>
      <c r="M72" s="63"/>
      <c r="N72" s="63"/>
      <c r="O72" s="63"/>
      <c r="P72" s="63"/>
      <c r="U72" s="3" t="s">
        <v>88</v>
      </c>
      <c r="V72" s="6" t="s">
        <v>377</v>
      </c>
      <c r="X72" t="s">
        <v>87</v>
      </c>
      <c r="Y72" t="s">
        <v>399</v>
      </c>
      <c r="Z72" t="s">
        <v>206</v>
      </c>
    </row>
    <row r="73" spans="2:26" x14ac:dyDescent="0.2">
      <c r="B73" t="s">
        <v>208</v>
      </c>
      <c r="C73" t="s">
        <v>295</v>
      </c>
      <c r="D73" t="s">
        <v>206</v>
      </c>
      <c r="I73" s="50" t="s">
        <v>50</v>
      </c>
      <c r="J73" s="66"/>
      <c r="K73" s="39" t="s">
        <v>44</v>
      </c>
      <c r="L73" s="63"/>
      <c r="M73" s="63"/>
      <c r="N73" s="63"/>
      <c r="O73" s="63"/>
      <c r="P73" s="63"/>
      <c r="U73" s="3" t="s">
        <v>67</v>
      </c>
      <c r="V73" s="6" t="s">
        <v>378</v>
      </c>
      <c r="X73" t="s">
        <v>87</v>
      </c>
      <c r="Y73" t="s">
        <v>400</v>
      </c>
      <c r="Z73" t="s">
        <v>206</v>
      </c>
    </row>
    <row r="74" spans="2:26" x14ac:dyDescent="0.2">
      <c r="B74" t="s">
        <v>208</v>
      </c>
      <c r="C74" t="s">
        <v>438</v>
      </c>
      <c r="D74" t="s">
        <v>206</v>
      </c>
      <c r="I74" s="50" t="s">
        <v>51</v>
      </c>
      <c r="J74" s="66"/>
      <c r="K74" s="39" t="s">
        <v>364</v>
      </c>
      <c r="L74" s="63"/>
      <c r="M74" s="63"/>
      <c r="N74" s="63"/>
      <c r="O74" s="63"/>
      <c r="P74" s="63"/>
      <c r="U74" s="3" t="s">
        <v>68</v>
      </c>
      <c r="V74" s="6" t="s">
        <v>379</v>
      </c>
      <c r="X74" t="s">
        <v>87</v>
      </c>
      <c r="Y74" t="s">
        <v>401</v>
      </c>
      <c r="Z74" t="s">
        <v>206</v>
      </c>
    </row>
    <row r="75" spans="2:26" x14ac:dyDescent="0.2">
      <c r="B75" t="s">
        <v>208</v>
      </c>
      <c r="C75" t="s">
        <v>403</v>
      </c>
      <c r="D75" t="s">
        <v>206</v>
      </c>
      <c r="I75" s="50" t="s">
        <v>52</v>
      </c>
      <c r="J75" s="66"/>
      <c r="K75" s="39" t="s">
        <v>365</v>
      </c>
      <c r="L75" s="63"/>
      <c r="M75" s="63"/>
      <c r="N75" s="63"/>
      <c r="O75" s="63"/>
      <c r="P75" s="63"/>
      <c r="U75" s="3" t="s">
        <v>69</v>
      </c>
      <c r="V75" s="6" t="s">
        <v>380</v>
      </c>
      <c r="X75" t="s">
        <v>87</v>
      </c>
      <c r="Y75" t="s">
        <v>295</v>
      </c>
      <c r="Z75" t="s">
        <v>206</v>
      </c>
    </row>
    <row r="76" spans="2:26" x14ac:dyDescent="0.2">
      <c r="B76" t="s">
        <v>208</v>
      </c>
      <c r="C76" t="s">
        <v>296</v>
      </c>
      <c r="D76" t="s">
        <v>206</v>
      </c>
      <c r="I76" s="50" t="s">
        <v>53</v>
      </c>
      <c r="J76" s="66"/>
      <c r="K76" s="39" t="s">
        <v>13</v>
      </c>
      <c r="L76" s="63"/>
      <c r="M76" s="63"/>
      <c r="N76" s="63"/>
      <c r="O76" s="63"/>
      <c r="P76" s="63"/>
      <c r="U76" s="3" t="s">
        <v>70</v>
      </c>
      <c r="V76" s="6" t="s">
        <v>381</v>
      </c>
      <c r="X76" t="s">
        <v>87</v>
      </c>
      <c r="Y76" t="s">
        <v>402</v>
      </c>
      <c r="Z76" t="s">
        <v>206</v>
      </c>
    </row>
    <row r="77" spans="2:26" x14ac:dyDescent="0.2">
      <c r="B77" t="s">
        <v>208</v>
      </c>
      <c r="C77" t="s">
        <v>297</v>
      </c>
      <c r="D77" t="s">
        <v>206</v>
      </c>
      <c r="I77" s="50" t="s">
        <v>54</v>
      </c>
      <c r="J77" s="66"/>
      <c r="K77" s="39" t="s">
        <v>13</v>
      </c>
      <c r="L77" s="63"/>
      <c r="M77" s="63"/>
      <c r="N77" s="63"/>
      <c r="O77" s="63"/>
      <c r="P77" s="63"/>
      <c r="U77" s="3" t="s">
        <v>71</v>
      </c>
      <c r="V77" s="6" t="s">
        <v>382</v>
      </c>
      <c r="X77" t="s">
        <v>87</v>
      </c>
      <c r="Y77" t="s">
        <v>403</v>
      </c>
      <c r="Z77" t="s">
        <v>206</v>
      </c>
    </row>
    <row r="78" spans="2:26" x14ac:dyDescent="0.2">
      <c r="B78" t="s">
        <v>208</v>
      </c>
      <c r="C78" t="s">
        <v>317</v>
      </c>
      <c r="D78" t="s">
        <v>206</v>
      </c>
      <c r="I78" s="50" t="s">
        <v>55</v>
      </c>
      <c r="J78" s="66"/>
      <c r="K78" s="39" t="s">
        <v>13</v>
      </c>
      <c r="L78" s="63"/>
      <c r="M78" s="63"/>
      <c r="N78" s="63"/>
      <c r="O78" s="63"/>
      <c r="P78" s="63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314</v>
      </c>
      <c r="D79" t="s">
        <v>206</v>
      </c>
      <c r="I79" s="50" t="s">
        <v>56</v>
      </c>
      <c r="J79" s="66"/>
      <c r="K79" s="39" t="s">
        <v>7</v>
      </c>
      <c r="L79" s="63"/>
      <c r="M79" s="63"/>
      <c r="N79" s="63"/>
      <c r="O79" s="63"/>
      <c r="P79" s="63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0" t="s">
        <v>57</v>
      </c>
      <c r="J80" s="66"/>
      <c r="K80" s="39" t="s">
        <v>13</v>
      </c>
      <c r="L80" s="63"/>
      <c r="M80" s="63"/>
      <c r="N80" s="63"/>
      <c r="O80" s="63"/>
      <c r="P80" s="63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290</v>
      </c>
      <c r="D81" t="s">
        <v>206</v>
      </c>
      <c r="I81" s="50" t="s">
        <v>58</v>
      </c>
      <c r="J81" s="66"/>
      <c r="K81" s="39" t="s">
        <v>445</v>
      </c>
      <c r="L81" s="63"/>
      <c r="M81" s="63"/>
      <c r="N81" s="63"/>
      <c r="O81" s="63"/>
      <c r="P81" s="63"/>
      <c r="U81" s="3" t="s">
        <v>75</v>
      </c>
      <c r="V81" s="6" t="s">
        <v>383</v>
      </c>
      <c r="X81" t="s">
        <v>87</v>
      </c>
      <c r="Y81" t="s">
        <v>357</v>
      </c>
      <c r="Z81" t="s">
        <v>206</v>
      </c>
    </row>
    <row r="82" spans="2:26" x14ac:dyDescent="0.2">
      <c r="B82" t="s">
        <v>208</v>
      </c>
      <c r="C82" t="s">
        <v>318</v>
      </c>
      <c r="D82" t="s">
        <v>206</v>
      </c>
      <c r="I82" s="50" t="s">
        <v>59</v>
      </c>
      <c r="J82" s="66"/>
      <c r="K82" s="39" t="s">
        <v>13</v>
      </c>
      <c r="L82" s="63"/>
      <c r="M82" s="63"/>
      <c r="N82" s="63"/>
      <c r="O82" s="63"/>
      <c r="P82" s="63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319</v>
      </c>
      <c r="D83" t="s">
        <v>206</v>
      </c>
      <c r="I83" s="50" t="s">
        <v>60</v>
      </c>
      <c r="J83" s="66"/>
      <c r="K83" s="39" t="s">
        <v>13</v>
      </c>
      <c r="L83" s="63"/>
      <c r="M83" s="63"/>
      <c r="N83" s="63"/>
      <c r="O83" s="63"/>
      <c r="P83" s="63"/>
      <c r="U83" s="3" t="s">
        <v>77</v>
      </c>
      <c r="V83" s="6" t="s">
        <v>29</v>
      </c>
      <c r="X83" t="s">
        <v>87</v>
      </c>
      <c r="Y83" t="s">
        <v>290</v>
      </c>
      <c r="Z83" t="s">
        <v>206</v>
      </c>
    </row>
    <row r="84" spans="2:26" x14ac:dyDescent="0.2">
      <c r="B84" t="s">
        <v>208</v>
      </c>
      <c r="C84" t="s">
        <v>332</v>
      </c>
      <c r="D84" t="s">
        <v>206</v>
      </c>
      <c r="I84" s="50" t="s">
        <v>61</v>
      </c>
      <c r="J84" s="66"/>
      <c r="K84" s="39" t="s">
        <v>13</v>
      </c>
      <c r="L84" s="63"/>
      <c r="M84" s="63"/>
      <c r="N84" s="63"/>
      <c r="O84" s="63"/>
      <c r="P84" s="63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333</v>
      </c>
      <c r="D85" t="s">
        <v>206</v>
      </c>
      <c r="I85" s="50" t="s">
        <v>62</v>
      </c>
      <c r="J85" s="66"/>
      <c r="K85" s="39" t="s">
        <v>13</v>
      </c>
      <c r="L85" s="63"/>
      <c r="M85" s="63"/>
      <c r="N85" s="63"/>
      <c r="O85" s="63"/>
      <c r="P85" s="63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334</v>
      </c>
      <c r="D86" t="s">
        <v>206</v>
      </c>
      <c r="I86" s="50" t="s">
        <v>63</v>
      </c>
      <c r="J86" s="66"/>
      <c r="K86" s="39" t="s">
        <v>13</v>
      </c>
      <c r="L86" s="63"/>
      <c r="M86" s="63"/>
      <c r="N86" s="63"/>
      <c r="O86" s="63"/>
      <c r="P86" s="63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335</v>
      </c>
      <c r="D87" t="s">
        <v>206</v>
      </c>
      <c r="I87" s="50" t="s">
        <v>64</v>
      </c>
      <c r="J87" s="66"/>
      <c r="K87" s="39" t="s">
        <v>13</v>
      </c>
      <c r="L87" s="63"/>
      <c r="M87" s="63"/>
      <c r="N87" s="63"/>
      <c r="O87" s="63"/>
      <c r="P87" s="63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336</v>
      </c>
      <c r="D88" t="s">
        <v>206</v>
      </c>
      <c r="I88" s="50" t="s">
        <v>65</v>
      </c>
      <c r="J88" s="66"/>
      <c r="K88" s="39" t="s">
        <v>13</v>
      </c>
      <c r="L88" s="63"/>
      <c r="M88" s="63"/>
      <c r="N88" s="63"/>
      <c r="O88" s="63"/>
      <c r="P88" s="63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324</v>
      </c>
      <c r="D89" t="s">
        <v>206</v>
      </c>
      <c r="I89" s="50" t="s">
        <v>66</v>
      </c>
      <c r="J89" s="66"/>
      <c r="K89" s="39" t="s">
        <v>18</v>
      </c>
      <c r="L89" s="63"/>
      <c r="M89" s="63"/>
      <c r="N89" s="63"/>
      <c r="O89" s="63"/>
      <c r="P89" s="63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325</v>
      </c>
      <c r="D90" t="s">
        <v>206</v>
      </c>
      <c r="I90" s="50" t="s">
        <v>1</v>
      </c>
      <c r="J90" s="66"/>
      <c r="K90" s="39"/>
      <c r="L90" s="63"/>
      <c r="M90" s="63"/>
      <c r="N90" s="63"/>
      <c r="O90" s="63"/>
      <c r="P90" s="63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0" t="s">
        <v>0</v>
      </c>
      <c r="J91" s="66"/>
      <c r="K91" s="39"/>
      <c r="L91" s="63"/>
      <c r="M91" s="63"/>
      <c r="N91" s="63"/>
      <c r="O91" s="63"/>
      <c r="P91" s="63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1" t="s">
        <v>208</v>
      </c>
      <c r="J92" s="67"/>
      <c r="K92" s="39" t="s">
        <v>202</v>
      </c>
      <c r="L92" s="63"/>
      <c r="M92" s="63"/>
      <c r="N92" s="63"/>
      <c r="O92" s="63"/>
      <c r="P92" s="63"/>
      <c r="U92" s="3" t="s">
        <v>1</v>
      </c>
      <c r="V92" s="6"/>
      <c r="X92" t="s">
        <v>207</v>
      </c>
    </row>
    <row r="93" spans="2:26" x14ac:dyDescent="0.2">
      <c r="I93" s="52" t="s">
        <v>2</v>
      </c>
      <c r="J93" s="68"/>
      <c r="K93" s="40"/>
      <c r="L93" s="63"/>
      <c r="M93" s="63"/>
      <c r="N93" s="63"/>
      <c r="O93" s="63"/>
      <c r="P93" s="63"/>
      <c r="U93" s="3" t="s">
        <v>0</v>
      </c>
      <c r="V93" s="6"/>
    </row>
    <row r="94" spans="2:26" ht="29" customHeight="1" x14ac:dyDescent="0.2">
      <c r="U94" s="8" t="s">
        <v>87</v>
      </c>
      <c r="V94" s="3" t="s">
        <v>412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0" t="s">
        <v>300</v>
      </c>
      <c r="Y101" s="26" t="s">
        <v>424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5" t="s">
        <v>443</v>
      </c>
      <c r="V102" s="25" t="s">
        <v>394</v>
      </c>
      <c r="X102" t="s">
        <v>416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430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431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432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433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671</v>
      </c>
      <c r="X107" t="s">
        <v>87</v>
      </c>
      <c r="Y107" t="s">
        <v>673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672</v>
      </c>
      <c r="X108" t="s">
        <v>87</v>
      </c>
      <c r="Y108" t="s">
        <v>674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434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413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19" t="s">
        <v>301</v>
      </c>
      <c r="Y134" t="s">
        <v>425</v>
      </c>
    </row>
    <row r="135" spans="9:26" x14ac:dyDescent="0.2">
      <c r="I135"/>
      <c r="J135"/>
      <c r="U135" s="25" t="s">
        <v>388</v>
      </c>
      <c r="V135" s="25" t="s">
        <v>395</v>
      </c>
      <c r="X135" t="s">
        <v>417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266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267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268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269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270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271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272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273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274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275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276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277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278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279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280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281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282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283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284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285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420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19" t="s">
        <v>358</v>
      </c>
      <c r="Y166" t="s">
        <v>426</v>
      </c>
    </row>
    <row r="167" spans="21:26" x14ac:dyDescent="0.2">
      <c r="U167" s="25" t="s">
        <v>387</v>
      </c>
      <c r="V167" s="25" t="s">
        <v>396</v>
      </c>
      <c r="X167" t="s">
        <v>418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421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>
    <tabColor rgb="FFFFFF00"/>
  </sheetPr>
  <dimension ref="A1:AD485"/>
  <sheetViews>
    <sheetView topLeftCell="A376" zoomScaleNormal="100" workbookViewId="0">
      <selection activeCell="B319" sqref="B319"/>
    </sheetView>
  </sheetViews>
  <sheetFormatPr baseColWidth="10" defaultRowHeight="16" x14ac:dyDescent="0.2"/>
  <cols>
    <col min="1" max="1" width="16" customWidth="1"/>
    <col min="2" max="2" width="13.1640625" customWidth="1"/>
    <col min="3" max="3" width="30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0" width="38.83203125" customWidth="1"/>
    <col min="11" max="11" width="7.83203125" customWidth="1"/>
    <col min="12" max="12" width="8.6640625" customWidth="1"/>
    <col min="13" max="15" width="9.33203125" customWidth="1"/>
    <col min="20" max="20" width="15.6640625" customWidth="1"/>
    <col min="21" max="21" width="45.33203125" customWidth="1"/>
    <col min="22" max="22" width="9.33203125" customWidth="1"/>
    <col min="23" max="23" width="17.33203125" customWidth="1"/>
    <col min="24" max="24" width="4.33203125" customWidth="1"/>
    <col min="25" max="26" width="3.5" customWidth="1"/>
    <col min="27" max="28" width="2.83203125" customWidth="1"/>
    <col min="29" max="29" width="28" customWidth="1"/>
    <col min="30" max="30" width="39.5" customWidth="1"/>
  </cols>
  <sheetData>
    <row r="1" spans="1:30" x14ac:dyDescent="0.2">
      <c r="A1" s="72" t="s">
        <v>816</v>
      </c>
      <c r="B1" s="91" t="s">
        <v>917</v>
      </c>
      <c r="C1" s="73"/>
      <c r="D1" s="73"/>
      <c r="E1" s="73"/>
      <c r="F1" s="73"/>
      <c r="G1" s="73"/>
      <c r="H1" s="73"/>
      <c r="I1" s="148" t="s">
        <v>923</v>
      </c>
      <c r="W1" s="12" t="s">
        <v>188</v>
      </c>
      <c r="X1" s="12">
        <v>0</v>
      </c>
      <c r="Y1" s="12"/>
      <c r="Z1" s="12"/>
      <c r="AA1" s="12"/>
      <c r="AB1" s="12"/>
      <c r="AC1" s="12" t="s">
        <v>138</v>
      </c>
      <c r="AD1" s="12" t="s">
        <v>187</v>
      </c>
    </row>
    <row r="2" spans="1:30" x14ac:dyDescent="0.2">
      <c r="A2" s="76" t="s">
        <v>817</v>
      </c>
      <c r="B2" s="92" t="s">
        <v>918</v>
      </c>
      <c r="C2" s="8"/>
      <c r="D2" s="8"/>
      <c r="E2" s="8"/>
      <c r="F2" s="8"/>
      <c r="G2" s="8"/>
      <c r="H2" s="8"/>
      <c r="I2" s="149" t="s">
        <v>964</v>
      </c>
      <c r="W2" s="12" t="s">
        <v>169</v>
      </c>
      <c r="X2" s="12">
        <v>1</v>
      </c>
      <c r="Y2" s="12"/>
      <c r="Z2" s="12"/>
      <c r="AA2" s="12"/>
      <c r="AB2" s="12"/>
      <c r="AC2" s="12" t="s">
        <v>139</v>
      </c>
      <c r="AD2" s="12" t="s">
        <v>126</v>
      </c>
    </row>
    <row r="3" spans="1:30" x14ac:dyDescent="0.2">
      <c r="A3" s="76" t="s">
        <v>772</v>
      </c>
      <c r="B3" s="92" t="s">
        <v>919</v>
      </c>
      <c r="C3" s="8"/>
      <c r="D3" s="8"/>
      <c r="E3" s="8"/>
      <c r="F3" s="8"/>
      <c r="G3" s="8"/>
      <c r="H3" s="8"/>
      <c r="I3" s="149" t="s">
        <v>965</v>
      </c>
      <c r="W3" s="12" t="s">
        <v>169</v>
      </c>
      <c r="X3" s="12">
        <v>2</v>
      </c>
      <c r="Y3" s="12"/>
      <c r="Z3" s="12"/>
      <c r="AA3" s="12"/>
      <c r="AB3" s="12"/>
      <c r="AC3" s="12" t="s">
        <v>140</v>
      </c>
      <c r="AD3" s="12" t="s">
        <v>127</v>
      </c>
    </row>
    <row r="4" spans="1:30" x14ac:dyDescent="0.2">
      <c r="A4" s="76" t="s">
        <v>818</v>
      </c>
      <c r="B4" s="92" t="s">
        <v>920</v>
      </c>
      <c r="C4" s="8"/>
      <c r="D4" s="8"/>
      <c r="E4" s="8"/>
      <c r="F4" s="8"/>
      <c r="G4" s="8"/>
      <c r="H4" s="8"/>
      <c r="I4" s="149"/>
      <c r="W4" s="12" t="s">
        <v>169</v>
      </c>
      <c r="X4" s="12">
        <v>3</v>
      </c>
      <c r="Y4" s="12"/>
      <c r="Z4" s="12"/>
      <c r="AA4" s="12"/>
      <c r="AB4" s="12"/>
      <c r="AC4" s="12" t="s">
        <v>141</v>
      </c>
      <c r="AD4" s="12" t="s">
        <v>128</v>
      </c>
    </row>
    <row r="5" spans="1:30" x14ac:dyDescent="0.2">
      <c r="A5" s="76" t="s">
        <v>970</v>
      </c>
      <c r="B5" s="92" t="s">
        <v>971</v>
      </c>
      <c r="C5" s="8"/>
      <c r="D5" s="8"/>
      <c r="E5" s="8"/>
      <c r="F5" s="8"/>
      <c r="G5" s="8"/>
      <c r="H5" s="8"/>
      <c r="I5" s="149"/>
      <c r="W5" s="12" t="s">
        <v>169</v>
      </c>
      <c r="X5" s="12">
        <v>4</v>
      </c>
      <c r="Y5" s="12"/>
      <c r="Z5" s="12"/>
      <c r="AA5" s="12"/>
      <c r="AB5" s="12"/>
      <c r="AC5" s="12" t="s">
        <v>142</v>
      </c>
      <c r="AD5" s="12" t="s">
        <v>137</v>
      </c>
    </row>
    <row r="6" spans="1:30" x14ac:dyDescent="0.2">
      <c r="A6" s="76" t="s">
        <v>940</v>
      </c>
      <c r="B6" s="92" t="s">
        <v>941</v>
      </c>
      <c r="C6" s="8"/>
      <c r="D6" s="8"/>
      <c r="E6" s="8"/>
      <c r="F6" s="8"/>
      <c r="G6" s="8"/>
      <c r="H6" s="8"/>
      <c r="I6" s="149"/>
      <c r="W6" s="12" t="s">
        <v>169</v>
      </c>
      <c r="X6" s="12">
        <v>5</v>
      </c>
      <c r="Y6" s="12"/>
      <c r="Z6" s="12"/>
      <c r="AA6" s="12"/>
      <c r="AB6" s="12"/>
      <c r="AC6" s="12" t="s">
        <v>143</v>
      </c>
      <c r="AD6" s="12" t="s">
        <v>183</v>
      </c>
    </row>
    <row r="7" spans="1:30" x14ac:dyDescent="0.2">
      <c r="A7" s="76" t="s">
        <v>820</v>
      </c>
      <c r="B7" s="92" t="s">
        <v>922</v>
      </c>
      <c r="C7" s="8"/>
      <c r="D7" s="8"/>
      <c r="E7" s="8"/>
      <c r="F7" s="8"/>
      <c r="G7" s="8"/>
      <c r="H7" s="8"/>
      <c r="I7" s="149"/>
      <c r="W7" s="12" t="s">
        <v>169</v>
      </c>
      <c r="X7" s="12">
        <v>6</v>
      </c>
      <c r="Y7" s="12"/>
      <c r="Z7" s="12"/>
      <c r="AA7" s="12"/>
      <c r="AB7" s="12"/>
      <c r="AC7" s="12" t="s">
        <v>144</v>
      </c>
      <c r="AD7" s="12" t="s">
        <v>184</v>
      </c>
    </row>
    <row r="8" spans="1:30" x14ac:dyDescent="0.2">
      <c r="A8" s="76" t="s">
        <v>821</v>
      </c>
      <c r="B8" s="92"/>
      <c r="C8" s="8" t="s">
        <v>967</v>
      </c>
      <c r="D8" s="8"/>
      <c r="E8" s="8"/>
      <c r="F8" s="8"/>
      <c r="G8" s="8"/>
      <c r="H8" s="8"/>
      <c r="I8" s="149"/>
      <c r="W8" s="12" t="s">
        <v>169</v>
      </c>
      <c r="X8" s="12">
        <v>7</v>
      </c>
      <c r="Y8" s="12"/>
      <c r="Z8" s="12"/>
      <c r="AA8" s="12"/>
      <c r="AB8" s="12"/>
      <c r="AC8" s="12" t="s">
        <v>145</v>
      </c>
      <c r="AD8" s="12" t="s">
        <v>185</v>
      </c>
    </row>
    <row r="9" spans="1:30" ht="17" thickBot="1" x14ac:dyDescent="0.25">
      <c r="A9" s="76" t="s">
        <v>793</v>
      </c>
      <c r="B9" s="93">
        <v>10</v>
      </c>
      <c r="C9" s="81"/>
      <c r="D9" s="81"/>
      <c r="E9" s="81"/>
      <c r="F9" s="81"/>
      <c r="G9" s="81"/>
      <c r="H9" s="81"/>
      <c r="I9" s="150"/>
      <c r="W9" s="12" t="s">
        <v>169</v>
      </c>
      <c r="X9" s="12">
        <v>8</v>
      </c>
      <c r="Y9" s="12"/>
      <c r="Z9" s="12"/>
      <c r="AA9" s="12"/>
      <c r="AB9" s="12"/>
      <c r="AC9" s="12" t="s">
        <v>146</v>
      </c>
      <c r="AD9" s="12" t="s">
        <v>136</v>
      </c>
    </row>
    <row r="10" spans="1:30" x14ac:dyDescent="0.2">
      <c r="A10" s="90" t="s">
        <v>784</v>
      </c>
      <c r="B10" s="89" t="s">
        <v>785</v>
      </c>
      <c r="C10" s="89" t="s">
        <v>787</v>
      </c>
      <c r="D10" s="89"/>
      <c r="E10" s="89" t="s">
        <v>788</v>
      </c>
      <c r="F10" s="89" t="s">
        <v>807</v>
      </c>
      <c r="G10" s="89" t="s">
        <v>808</v>
      </c>
      <c r="H10" s="89" t="s">
        <v>811</v>
      </c>
      <c r="I10" s="151" t="s">
        <v>812</v>
      </c>
      <c r="W10" s="12" t="s">
        <v>169</v>
      </c>
      <c r="X10" s="12">
        <v>9</v>
      </c>
      <c r="Y10" s="12"/>
      <c r="Z10" s="12"/>
      <c r="AA10" s="12"/>
      <c r="AB10" s="12"/>
      <c r="AC10" s="12" t="s">
        <v>147</v>
      </c>
      <c r="AD10" s="12" t="s">
        <v>129</v>
      </c>
    </row>
    <row r="11" spans="1:30" x14ac:dyDescent="0.2">
      <c r="A11" s="78">
        <v>0</v>
      </c>
      <c r="B11" s="69" t="s">
        <v>208</v>
      </c>
      <c r="C11" s="69" t="s">
        <v>326</v>
      </c>
      <c r="D11" s="69"/>
      <c r="E11" s="70" t="s">
        <v>109</v>
      </c>
      <c r="F11" s="70">
        <v>0</v>
      </c>
      <c r="G11" s="70">
        <v>5000</v>
      </c>
      <c r="H11" s="70">
        <v>20</v>
      </c>
      <c r="I11" s="79"/>
      <c r="W11" s="12" t="s">
        <v>169</v>
      </c>
      <c r="X11" s="12">
        <v>10</v>
      </c>
      <c r="Y11" s="12"/>
      <c r="Z11" s="12"/>
      <c r="AA11" s="12"/>
      <c r="AB11" s="12"/>
      <c r="AC11" s="12" t="s">
        <v>148</v>
      </c>
      <c r="AD11" s="12" t="s">
        <v>130</v>
      </c>
    </row>
    <row r="12" spans="1:30" x14ac:dyDescent="0.2">
      <c r="A12" s="78">
        <v>1</v>
      </c>
      <c r="B12" s="69" t="s">
        <v>208</v>
      </c>
      <c r="C12" s="69" t="s">
        <v>924</v>
      </c>
      <c r="D12" s="69"/>
      <c r="E12" s="70" t="s">
        <v>108</v>
      </c>
      <c r="F12" s="70">
        <v>0</v>
      </c>
      <c r="G12" s="70">
        <v>10000</v>
      </c>
      <c r="H12" s="70">
        <v>2000</v>
      </c>
      <c r="I12" s="79"/>
      <c r="W12" s="12" t="s">
        <v>169</v>
      </c>
      <c r="X12" s="12">
        <v>11</v>
      </c>
      <c r="Y12" s="12"/>
      <c r="Z12" s="12"/>
      <c r="AA12" s="12"/>
      <c r="AB12" s="12"/>
      <c r="AC12" s="12" t="s">
        <v>149</v>
      </c>
      <c r="AD12" s="12" t="s">
        <v>186</v>
      </c>
    </row>
    <row r="13" spans="1:30" x14ac:dyDescent="0.2">
      <c r="A13" s="78">
        <v>2</v>
      </c>
      <c r="B13" s="69" t="s">
        <v>208</v>
      </c>
      <c r="C13" s="69" t="s">
        <v>328</v>
      </c>
      <c r="D13" s="69"/>
      <c r="E13" s="70" t="s">
        <v>110</v>
      </c>
      <c r="F13" s="70">
        <v>0</v>
      </c>
      <c r="G13" s="70">
        <v>1</v>
      </c>
      <c r="H13" s="70">
        <v>1</v>
      </c>
      <c r="I13" s="79"/>
      <c r="W13" s="12" t="s">
        <v>169</v>
      </c>
      <c r="X13" s="12">
        <v>12</v>
      </c>
      <c r="Y13" s="12"/>
      <c r="Z13" s="12"/>
      <c r="AA13" s="12"/>
      <c r="AB13" s="12"/>
      <c r="AC13" s="12" t="s">
        <v>150</v>
      </c>
      <c r="AD13" s="12" t="s">
        <v>131</v>
      </c>
    </row>
    <row r="14" spans="1:30" x14ac:dyDescent="0.2">
      <c r="A14" s="78">
        <v>3</v>
      </c>
      <c r="B14" s="69" t="s">
        <v>208</v>
      </c>
      <c r="C14" s="69" t="s">
        <v>714</v>
      </c>
      <c r="D14" s="69"/>
      <c r="E14" s="70" t="s">
        <v>810</v>
      </c>
      <c r="F14" s="70">
        <v>0</v>
      </c>
      <c r="G14" s="70">
        <v>1023</v>
      </c>
      <c r="H14" s="70">
        <v>512</v>
      </c>
      <c r="I14" s="79" t="s">
        <v>833</v>
      </c>
      <c r="W14" s="12" t="s">
        <v>169</v>
      </c>
      <c r="X14" s="12">
        <v>13</v>
      </c>
      <c r="Y14" s="12"/>
      <c r="Z14" s="12"/>
      <c r="AA14" s="12"/>
      <c r="AB14" s="12"/>
      <c r="AC14" s="12" t="s">
        <v>151</v>
      </c>
      <c r="AD14" s="12" t="s">
        <v>132</v>
      </c>
    </row>
    <row r="15" spans="1:30" x14ac:dyDescent="0.2">
      <c r="A15" s="78">
        <v>4</v>
      </c>
      <c r="B15" s="69" t="s">
        <v>208</v>
      </c>
      <c r="C15" s="69" t="s">
        <v>715</v>
      </c>
      <c r="D15" s="69"/>
      <c r="E15" s="70" t="s">
        <v>809</v>
      </c>
      <c r="F15" s="70">
        <v>0</v>
      </c>
      <c r="G15" s="70">
        <v>3</v>
      </c>
      <c r="H15" s="70">
        <v>3</v>
      </c>
      <c r="I15" s="79" t="s">
        <v>834</v>
      </c>
      <c r="W15" s="12" t="s">
        <v>169</v>
      </c>
      <c r="X15" s="12">
        <v>14</v>
      </c>
      <c r="Y15" s="12"/>
      <c r="Z15" s="12"/>
      <c r="AA15" s="12"/>
      <c r="AB15" s="12"/>
      <c r="AC15" s="12" t="s">
        <v>152</v>
      </c>
      <c r="AD15" s="12" t="s">
        <v>133</v>
      </c>
    </row>
    <row r="16" spans="1:30" x14ac:dyDescent="0.2">
      <c r="A16" s="78">
        <v>5</v>
      </c>
      <c r="B16" s="69" t="s">
        <v>208</v>
      </c>
      <c r="C16" s="69" t="s">
        <v>709</v>
      </c>
      <c r="D16" s="69"/>
      <c r="E16" s="70" t="s">
        <v>706</v>
      </c>
      <c r="F16" s="70">
        <v>-32</v>
      </c>
      <c r="G16" s="70">
        <v>150</v>
      </c>
      <c r="H16" s="70">
        <v>80</v>
      </c>
      <c r="I16" s="79" t="s">
        <v>835</v>
      </c>
      <c r="W16" s="12" t="s">
        <v>169</v>
      </c>
      <c r="X16" s="12">
        <v>15</v>
      </c>
      <c r="Y16" s="12"/>
      <c r="Z16" s="12"/>
      <c r="AA16" s="12"/>
      <c r="AB16" s="12"/>
      <c r="AC16" s="12" t="s">
        <v>153</v>
      </c>
      <c r="AD16" s="12" t="s">
        <v>134</v>
      </c>
    </row>
    <row r="17" spans="1:30" x14ac:dyDescent="0.2">
      <c r="A17" s="78">
        <v>6</v>
      </c>
      <c r="B17" s="69" t="s">
        <v>208</v>
      </c>
      <c r="C17" s="69" t="s">
        <v>707</v>
      </c>
      <c r="D17" s="69"/>
      <c r="E17" s="70" t="s">
        <v>120</v>
      </c>
      <c r="F17" s="70"/>
      <c r="G17" s="70"/>
      <c r="H17" s="70"/>
      <c r="I17" s="79"/>
      <c r="W17" s="12" t="s">
        <v>169</v>
      </c>
      <c r="X17" s="12">
        <v>16</v>
      </c>
      <c r="Y17" s="12"/>
      <c r="Z17" s="12"/>
      <c r="AA17" s="12"/>
      <c r="AB17" s="12"/>
      <c r="AC17" s="12" t="s">
        <v>166</v>
      </c>
      <c r="AD17" s="12" t="s">
        <v>178</v>
      </c>
    </row>
    <row r="18" spans="1:30" x14ac:dyDescent="0.2">
      <c r="A18" s="78">
        <v>7</v>
      </c>
      <c r="B18" s="69" t="s">
        <v>208</v>
      </c>
      <c r="C18" s="69" t="s">
        <v>708</v>
      </c>
      <c r="D18" s="69"/>
      <c r="E18" s="70" t="s">
        <v>121</v>
      </c>
      <c r="F18" s="70"/>
      <c r="G18" s="70"/>
      <c r="H18" s="70"/>
      <c r="I18" s="79"/>
      <c r="W18" s="12" t="s">
        <v>169</v>
      </c>
      <c r="X18" s="12">
        <v>17</v>
      </c>
      <c r="Y18" s="12"/>
      <c r="Z18" s="12"/>
      <c r="AA18" s="12"/>
      <c r="AB18" s="12"/>
      <c r="AC18" s="12" t="s">
        <v>167</v>
      </c>
      <c r="AD18" s="12" t="s">
        <v>179</v>
      </c>
    </row>
    <row r="19" spans="1:30" x14ac:dyDescent="0.2">
      <c r="A19" s="78">
        <v>8</v>
      </c>
      <c r="B19" s="69" t="s">
        <v>208</v>
      </c>
      <c r="C19" s="69" t="s">
        <v>290</v>
      </c>
      <c r="D19" s="69"/>
      <c r="E19" s="70" t="s">
        <v>445</v>
      </c>
      <c r="F19" s="70">
        <v>0</v>
      </c>
      <c r="G19" s="70">
        <v>28800</v>
      </c>
      <c r="H19" s="70"/>
      <c r="I19" s="79"/>
      <c r="W19" s="12" t="s">
        <v>169</v>
      </c>
      <c r="X19" s="12">
        <v>18</v>
      </c>
      <c r="Y19" s="12"/>
      <c r="Z19" s="12"/>
      <c r="AA19" s="12"/>
      <c r="AB19" s="12"/>
      <c r="AC19" s="12" t="s">
        <v>168</v>
      </c>
      <c r="AD19" s="12" t="s">
        <v>180</v>
      </c>
    </row>
    <row r="20" spans="1:30" ht="17" thickBot="1" x14ac:dyDescent="0.25">
      <c r="A20" s="158">
        <v>9</v>
      </c>
      <c r="B20" s="159" t="s">
        <v>208</v>
      </c>
      <c r="C20" s="159" t="s">
        <v>289</v>
      </c>
      <c r="D20" s="159"/>
      <c r="E20" s="160" t="s">
        <v>18</v>
      </c>
      <c r="F20" s="160"/>
      <c r="G20" s="160"/>
      <c r="H20" s="160"/>
      <c r="I20" s="161"/>
      <c r="W20" s="12" t="s">
        <v>169</v>
      </c>
      <c r="X20" s="12">
        <v>19</v>
      </c>
      <c r="Y20" s="12"/>
      <c r="Z20" s="12"/>
      <c r="AA20" s="12"/>
      <c r="AB20" s="12"/>
      <c r="AC20" s="12" t="s">
        <v>154</v>
      </c>
      <c r="AD20" s="12" t="s">
        <v>135</v>
      </c>
    </row>
    <row r="21" spans="1:30" x14ac:dyDescent="0.2">
      <c r="A21" s="157">
        <v>10</v>
      </c>
      <c r="B21" s="171" t="s">
        <v>208</v>
      </c>
      <c r="C21" s="164" t="s">
        <v>943</v>
      </c>
      <c r="D21" s="164"/>
      <c r="E21" s="165" t="s">
        <v>951</v>
      </c>
      <c r="F21" s="165"/>
      <c r="G21" s="165"/>
      <c r="H21" s="165"/>
      <c r="I21" s="166" t="s">
        <v>963</v>
      </c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78">
        <v>11</v>
      </c>
      <c r="B22" s="69" t="s">
        <v>208</v>
      </c>
      <c r="C22" s="162" t="s">
        <v>944</v>
      </c>
      <c r="D22" s="162"/>
      <c r="E22" s="163" t="s">
        <v>952</v>
      </c>
      <c r="F22" s="163"/>
      <c r="G22" s="163"/>
      <c r="H22" s="163"/>
      <c r="I22" s="167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78">
        <v>12</v>
      </c>
      <c r="B23" s="69" t="s">
        <v>208</v>
      </c>
      <c r="C23" s="162" t="s">
        <v>945</v>
      </c>
      <c r="D23" s="162"/>
      <c r="E23" s="163" t="s">
        <v>953</v>
      </c>
      <c r="F23" s="163"/>
      <c r="G23" s="163"/>
      <c r="H23" s="163"/>
      <c r="I23" s="167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78">
        <v>13</v>
      </c>
      <c r="B24" s="69" t="s">
        <v>208</v>
      </c>
      <c r="C24" s="162" t="s">
        <v>946</v>
      </c>
      <c r="D24" s="162"/>
      <c r="E24" s="163" t="s">
        <v>954</v>
      </c>
      <c r="F24" s="163"/>
      <c r="G24" s="163"/>
      <c r="H24" s="163"/>
      <c r="I24" s="167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78">
        <v>14</v>
      </c>
      <c r="B25" s="69" t="s">
        <v>208</v>
      </c>
      <c r="C25" s="162" t="s">
        <v>947</v>
      </c>
      <c r="D25" s="162"/>
      <c r="E25" s="163" t="s">
        <v>955</v>
      </c>
      <c r="F25" s="163"/>
      <c r="G25" s="163"/>
      <c r="H25" s="163"/>
      <c r="I25" s="167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78">
        <v>15</v>
      </c>
      <c r="B26" s="69" t="s">
        <v>208</v>
      </c>
      <c r="C26" s="162" t="s">
        <v>948</v>
      </c>
      <c r="D26" s="162"/>
      <c r="E26" s="163" t="s">
        <v>956</v>
      </c>
      <c r="F26" s="163"/>
      <c r="G26" s="163"/>
      <c r="H26" s="163"/>
      <c r="I26" s="167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78">
        <v>16</v>
      </c>
      <c r="B27" s="69" t="s">
        <v>208</v>
      </c>
      <c r="C27" s="162" t="s">
        <v>949</v>
      </c>
      <c r="D27" s="162"/>
      <c r="E27" s="163" t="s">
        <v>957</v>
      </c>
      <c r="F27" s="163"/>
      <c r="G27" s="163"/>
      <c r="H27" s="163"/>
      <c r="I27" s="167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78">
        <v>17</v>
      </c>
      <c r="B28" s="69" t="s">
        <v>208</v>
      </c>
      <c r="C28" s="162" t="s">
        <v>950</v>
      </c>
      <c r="D28" s="162"/>
      <c r="E28" s="163" t="s">
        <v>958</v>
      </c>
      <c r="F28" s="163"/>
      <c r="G28" s="163"/>
      <c r="H28" s="163"/>
      <c r="I28" s="167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78">
        <v>18</v>
      </c>
      <c r="B29" s="69" t="s">
        <v>208</v>
      </c>
      <c r="C29" s="162" t="s">
        <v>959</v>
      </c>
      <c r="D29" s="162"/>
      <c r="E29" s="163" t="s">
        <v>961</v>
      </c>
      <c r="F29" s="163"/>
      <c r="G29" s="163"/>
      <c r="H29" s="163"/>
      <c r="I29" s="167"/>
      <c r="W29" s="12"/>
      <c r="X29" s="12"/>
      <c r="Y29" s="12"/>
      <c r="Z29" s="12"/>
      <c r="AA29" s="12"/>
      <c r="AB29" s="12"/>
      <c r="AC29" s="12"/>
      <c r="AD29" s="12"/>
    </row>
    <row r="30" spans="1:30" ht="17" thickBot="1" x14ac:dyDescent="0.25">
      <c r="A30" s="152">
        <v>19</v>
      </c>
      <c r="B30" s="153" t="s">
        <v>208</v>
      </c>
      <c r="C30" s="168" t="s">
        <v>960</v>
      </c>
      <c r="D30" s="168"/>
      <c r="E30" s="169" t="s">
        <v>962</v>
      </c>
      <c r="F30" s="169"/>
      <c r="G30" s="169"/>
      <c r="H30" s="169"/>
      <c r="I30" s="170"/>
      <c r="W30" s="12"/>
      <c r="X30" s="12"/>
      <c r="Y30" s="12"/>
      <c r="Z30" s="12"/>
      <c r="AA30" s="12"/>
      <c r="AB30" s="12"/>
      <c r="AC30" s="12"/>
      <c r="AD30" s="12"/>
    </row>
    <row r="31" spans="1:30" ht="17" thickBot="1" x14ac:dyDescent="0.25">
      <c r="E31" s="146"/>
      <c r="F31" s="146"/>
      <c r="G31" s="146"/>
      <c r="H31" s="146"/>
      <c r="I31" s="146"/>
      <c r="W31" s="12" t="s">
        <v>169</v>
      </c>
      <c r="X31" s="12">
        <v>20</v>
      </c>
      <c r="Y31" s="12"/>
      <c r="Z31" s="12"/>
      <c r="AA31" s="12"/>
      <c r="AB31" s="12"/>
      <c r="AC31" s="12" t="s">
        <v>155</v>
      </c>
      <c r="AD31" s="12" t="s">
        <v>182</v>
      </c>
    </row>
    <row r="32" spans="1:30" x14ac:dyDescent="0.2">
      <c r="A32" s="72" t="s">
        <v>816</v>
      </c>
      <c r="B32" s="91" t="s">
        <v>813</v>
      </c>
      <c r="C32" s="73"/>
      <c r="D32" s="73"/>
      <c r="E32" s="73"/>
      <c r="F32" s="73"/>
      <c r="G32" s="73"/>
      <c r="H32" s="73"/>
      <c r="I32" s="156"/>
      <c r="W32" s="12" t="s">
        <v>169</v>
      </c>
      <c r="X32" s="12">
        <v>21</v>
      </c>
      <c r="Y32" s="12"/>
      <c r="Z32" s="12"/>
      <c r="AA32" s="12"/>
      <c r="AB32" s="12"/>
      <c r="AC32" s="12" t="s">
        <v>156</v>
      </c>
      <c r="AD32" s="12" t="s">
        <v>181</v>
      </c>
    </row>
    <row r="33" spans="1:30" x14ac:dyDescent="0.2">
      <c r="A33" s="76" t="s">
        <v>817</v>
      </c>
      <c r="B33" s="92" t="s">
        <v>916</v>
      </c>
      <c r="C33" s="8"/>
      <c r="D33" s="8"/>
      <c r="E33" s="8"/>
      <c r="F33" s="8"/>
      <c r="G33" s="8"/>
      <c r="H33" s="8"/>
      <c r="I33" s="149"/>
      <c r="W33" s="12" t="s">
        <v>169</v>
      </c>
      <c r="X33" s="12">
        <v>22</v>
      </c>
      <c r="Y33" s="12"/>
      <c r="Z33" s="12"/>
      <c r="AA33" s="12"/>
      <c r="AB33" s="12"/>
      <c r="AC33" s="12" t="s">
        <v>157</v>
      </c>
      <c r="AD33" s="12" t="s">
        <v>174</v>
      </c>
    </row>
    <row r="34" spans="1:30" x14ac:dyDescent="0.2">
      <c r="A34" s="76" t="s">
        <v>772</v>
      </c>
      <c r="B34" s="92" t="s">
        <v>825</v>
      </c>
      <c r="C34" s="8"/>
      <c r="D34" s="8"/>
      <c r="E34" s="8"/>
      <c r="F34" s="8"/>
      <c r="G34" s="8"/>
      <c r="H34" s="8"/>
      <c r="I34" s="149"/>
      <c r="W34" s="12" t="s">
        <v>169</v>
      </c>
      <c r="X34" s="12">
        <v>23</v>
      </c>
      <c r="Y34" s="12"/>
      <c r="Z34" s="12"/>
      <c r="AA34" s="12"/>
      <c r="AB34" s="12"/>
      <c r="AC34" s="12" t="s">
        <v>158</v>
      </c>
      <c r="AD34" s="12" t="s">
        <v>175</v>
      </c>
    </row>
    <row r="35" spans="1:30" x14ac:dyDescent="0.2">
      <c r="A35" s="76" t="s">
        <v>818</v>
      </c>
      <c r="B35" s="92" t="s">
        <v>824</v>
      </c>
      <c r="C35" s="8"/>
      <c r="D35" s="8"/>
      <c r="E35" s="8"/>
      <c r="F35" s="8"/>
      <c r="G35" s="8"/>
      <c r="H35" s="8"/>
      <c r="I35" s="149"/>
      <c r="W35" s="12" t="s">
        <v>169</v>
      </c>
      <c r="X35" s="12">
        <v>24</v>
      </c>
      <c r="Y35" s="12"/>
      <c r="Z35" s="12"/>
      <c r="AA35" s="12"/>
      <c r="AB35" s="12"/>
      <c r="AC35" s="12" t="s">
        <v>159</v>
      </c>
      <c r="AD35" s="12" t="s">
        <v>176</v>
      </c>
    </row>
    <row r="36" spans="1:30" x14ac:dyDescent="0.2">
      <c r="A36" s="76" t="s">
        <v>970</v>
      </c>
      <c r="B36" s="92" t="s">
        <v>971</v>
      </c>
      <c r="C36" s="8"/>
      <c r="D36" s="8"/>
      <c r="E36" s="8"/>
      <c r="F36" s="8"/>
      <c r="G36" s="8"/>
      <c r="H36" s="8"/>
      <c r="I36" s="149"/>
      <c r="W36" s="12" t="s">
        <v>169</v>
      </c>
      <c r="X36" s="12">
        <v>25</v>
      </c>
      <c r="Y36" s="12"/>
      <c r="Z36" s="12"/>
      <c r="AA36" s="12"/>
      <c r="AB36" s="12"/>
      <c r="AC36" s="12" t="s">
        <v>160</v>
      </c>
      <c r="AD36" s="12" t="s">
        <v>177</v>
      </c>
    </row>
    <row r="37" spans="1:30" x14ac:dyDescent="0.2">
      <c r="A37" s="76" t="s">
        <v>940</v>
      </c>
      <c r="B37" s="92" t="s">
        <v>941</v>
      </c>
      <c r="C37" s="8"/>
      <c r="D37" s="8"/>
      <c r="E37" s="8"/>
      <c r="F37" s="8"/>
      <c r="G37" s="8"/>
      <c r="H37" s="8"/>
      <c r="I37" s="149"/>
      <c r="W37" s="12" t="s">
        <v>169</v>
      </c>
      <c r="X37" s="12">
        <v>26</v>
      </c>
      <c r="Y37" s="12"/>
      <c r="Z37" s="12"/>
      <c r="AA37" s="12"/>
      <c r="AB37" s="12"/>
      <c r="AC37" s="12" t="s">
        <v>161</v>
      </c>
      <c r="AD37" s="12" t="s">
        <v>170</v>
      </c>
    </row>
    <row r="38" spans="1:30" x14ac:dyDescent="0.2">
      <c r="A38" s="76" t="s">
        <v>820</v>
      </c>
      <c r="B38" s="92" t="s">
        <v>790</v>
      </c>
      <c r="C38" s="8"/>
      <c r="D38" s="8"/>
      <c r="E38" s="8"/>
      <c r="F38" s="8"/>
      <c r="G38" s="8"/>
      <c r="H38" s="8"/>
      <c r="I38" s="149"/>
      <c r="W38" s="12" t="s">
        <v>169</v>
      </c>
      <c r="X38" s="12">
        <v>27</v>
      </c>
      <c r="Y38" s="12"/>
      <c r="Z38" s="12"/>
      <c r="AA38" s="12"/>
      <c r="AB38" s="12"/>
      <c r="AC38" s="12" t="s">
        <v>162</v>
      </c>
      <c r="AD38" s="12" t="s">
        <v>171</v>
      </c>
    </row>
    <row r="39" spans="1:30" x14ac:dyDescent="0.2">
      <c r="A39" s="76" t="s">
        <v>821</v>
      </c>
      <c r="B39" s="92"/>
      <c r="C39" s="8" t="s">
        <v>966</v>
      </c>
      <c r="D39" s="8"/>
      <c r="E39" s="8"/>
      <c r="F39" s="8"/>
      <c r="G39" s="8"/>
      <c r="H39" s="8"/>
      <c r="I39" s="149"/>
      <c r="W39" s="12" t="s">
        <v>169</v>
      </c>
      <c r="X39" s="12">
        <v>28</v>
      </c>
      <c r="Y39" s="12"/>
      <c r="Z39" s="12"/>
      <c r="AA39" s="12"/>
      <c r="AB39" s="12"/>
      <c r="AC39" s="12" t="s">
        <v>163</v>
      </c>
      <c r="AD39" s="12" t="s">
        <v>172</v>
      </c>
    </row>
    <row r="40" spans="1:30" ht="17" thickBot="1" x14ac:dyDescent="0.25">
      <c r="A40" s="76" t="s">
        <v>793</v>
      </c>
      <c r="B40" s="93">
        <v>10</v>
      </c>
      <c r="C40" s="81"/>
      <c r="D40" s="81"/>
      <c r="E40" s="81"/>
      <c r="F40" s="81"/>
      <c r="G40" s="81"/>
      <c r="H40" s="81"/>
      <c r="I40" s="150"/>
      <c r="W40" s="12" t="s">
        <v>169</v>
      </c>
      <c r="X40" s="12">
        <v>29</v>
      </c>
      <c r="Y40" s="12"/>
      <c r="Z40" s="12"/>
      <c r="AA40" s="12"/>
      <c r="AB40" s="12"/>
      <c r="AC40" s="12" t="s">
        <v>164</v>
      </c>
      <c r="AD40" s="12" t="s">
        <v>173</v>
      </c>
    </row>
    <row r="41" spans="1:30" x14ac:dyDescent="0.2">
      <c r="A41" s="90" t="s">
        <v>784</v>
      </c>
      <c r="B41" s="89" t="s">
        <v>785</v>
      </c>
      <c r="C41" s="89" t="s">
        <v>787</v>
      </c>
      <c r="D41" s="89"/>
      <c r="E41" s="89" t="s">
        <v>788</v>
      </c>
      <c r="F41" s="89" t="s">
        <v>807</v>
      </c>
      <c r="G41" s="89" t="s">
        <v>808</v>
      </c>
      <c r="H41" s="89" t="s">
        <v>811</v>
      </c>
      <c r="I41" s="151" t="s">
        <v>812</v>
      </c>
      <c r="W41" s="12" t="s">
        <v>169</v>
      </c>
      <c r="X41" s="12">
        <v>30</v>
      </c>
      <c r="Y41" s="12"/>
      <c r="Z41" s="12"/>
      <c r="AA41" s="12"/>
      <c r="AB41" s="12"/>
      <c r="AC41" s="12" t="s">
        <v>165</v>
      </c>
      <c r="AD41" s="12" t="s">
        <v>136</v>
      </c>
    </row>
    <row r="42" spans="1:30" x14ac:dyDescent="0.2">
      <c r="A42" s="78">
        <v>0</v>
      </c>
      <c r="B42" s="69" t="s">
        <v>208</v>
      </c>
      <c r="C42" s="69" t="s">
        <v>326</v>
      </c>
      <c r="D42" s="69"/>
      <c r="E42" s="70" t="s">
        <v>109</v>
      </c>
      <c r="F42" s="70">
        <v>0</v>
      </c>
      <c r="G42" s="70">
        <v>5000</v>
      </c>
      <c r="H42" s="70">
        <v>20</v>
      </c>
      <c r="I42" s="79"/>
    </row>
    <row r="43" spans="1:30" x14ac:dyDescent="0.2">
      <c r="A43" s="78">
        <v>1</v>
      </c>
      <c r="B43" s="69" t="s">
        <v>208</v>
      </c>
      <c r="C43" s="69" t="s">
        <v>924</v>
      </c>
      <c r="D43" s="69"/>
      <c r="E43" s="70" t="s">
        <v>108</v>
      </c>
      <c r="F43" s="70">
        <v>0</v>
      </c>
      <c r="G43" s="70">
        <v>10000</v>
      </c>
      <c r="H43" s="70">
        <v>2000</v>
      </c>
      <c r="I43" s="79"/>
    </row>
    <row r="44" spans="1:30" x14ac:dyDescent="0.2">
      <c r="A44" s="78">
        <v>2</v>
      </c>
      <c r="B44" s="69" t="s">
        <v>208</v>
      </c>
      <c r="C44" s="69" t="s">
        <v>328</v>
      </c>
      <c r="D44" s="69"/>
      <c r="E44" s="70" t="s">
        <v>110</v>
      </c>
      <c r="F44" s="70">
        <v>0</v>
      </c>
      <c r="G44" s="70">
        <v>1</v>
      </c>
      <c r="H44" s="70">
        <v>1</v>
      </c>
      <c r="I44" s="79"/>
    </row>
    <row r="45" spans="1:30" x14ac:dyDescent="0.2">
      <c r="A45" s="78">
        <v>3</v>
      </c>
      <c r="B45" s="69" t="s">
        <v>208</v>
      </c>
      <c r="C45" s="69" t="s">
        <v>714</v>
      </c>
      <c r="D45" s="69"/>
      <c r="E45" s="70" t="s">
        <v>810</v>
      </c>
      <c r="F45" s="70">
        <v>0</v>
      </c>
      <c r="G45" s="70">
        <v>1023</v>
      </c>
      <c r="H45" s="70">
        <v>512</v>
      </c>
      <c r="I45" s="79" t="s">
        <v>833</v>
      </c>
    </row>
    <row r="46" spans="1:30" x14ac:dyDescent="0.2">
      <c r="A46" s="78">
        <v>4</v>
      </c>
      <c r="B46" s="69" t="s">
        <v>208</v>
      </c>
      <c r="C46" s="69" t="s">
        <v>715</v>
      </c>
      <c r="D46" s="69"/>
      <c r="E46" s="70" t="s">
        <v>809</v>
      </c>
      <c r="F46" s="70">
        <v>0</v>
      </c>
      <c r="G46" s="70">
        <v>3</v>
      </c>
      <c r="H46" s="70">
        <v>3</v>
      </c>
      <c r="I46" s="79" t="s">
        <v>834</v>
      </c>
    </row>
    <row r="47" spans="1:30" x14ac:dyDescent="0.2">
      <c r="A47" s="78">
        <v>5</v>
      </c>
      <c r="B47" s="69" t="s">
        <v>208</v>
      </c>
      <c r="C47" s="69" t="s">
        <v>709</v>
      </c>
      <c r="D47" s="69"/>
      <c r="E47" s="70" t="s">
        <v>706</v>
      </c>
      <c r="F47" s="70">
        <v>-32</v>
      </c>
      <c r="G47" s="70">
        <v>150</v>
      </c>
      <c r="H47" s="70">
        <v>80</v>
      </c>
      <c r="I47" s="79" t="s">
        <v>835</v>
      </c>
    </row>
    <row r="48" spans="1:30" x14ac:dyDescent="0.2">
      <c r="A48" s="78">
        <v>6</v>
      </c>
      <c r="B48" s="69" t="s">
        <v>208</v>
      </c>
      <c r="C48" s="69" t="s">
        <v>707</v>
      </c>
      <c r="D48" s="69"/>
      <c r="E48" s="70" t="s">
        <v>120</v>
      </c>
      <c r="F48" s="70"/>
      <c r="G48" s="70"/>
      <c r="H48" s="70"/>
      <c r="I48" s="79"/>
    </row>
    <row r="49" spans="1:9" x14ac:dyDescent="0.2">
      <c r="A49" s="78">
        <v>7</v>
      </c>
      <c r="B49" s="69" t="s">
        <v>208</v>
      </c>
      <c r="C49" s="69" t="s">
        <v>708</v>
      </c>
      <c r="D49" s="69"/>
      <c r="E49" s="70" t="s">
        <v>121</v>
      </c>
      <c r="F49" s="70"/>
      <c r="G49" s="70"/>
      <c r="H49" s="70"/>
      <c r="I49" s="79"/>
    </row>
    <row r="50" spans="1:9" x14ac:dyDescent="0.2">
      <c r="A50" s="78">
        <v>8</v>
      </c>
      <c r="B50" s="69" t="s">
        <v>208</v>
      </c>
      <c r="C50" s="69" t="s">
        <v>290</v>
      </c>
      <c r="D50" s="69"/>
      <c r="E50" s="70" t="s">
        <v>445</v>
      </c>
      <c r="F50" s="70">
        <v>0</v>
      </c>
      <c r="G50" s="70">
        <v>28800</v>
      </c>
      <c r="H50" s="70"/>
      <c r="I50" s="79"/>
    </row>
    <row r="51" spans="1:9" ht="17" thickBot="1" x14ac:dyDescent="0.25">
      <c r="A51" s="152">
        <v>9</v>
      </c>
      <c r="B51" s="153" t="s">
        <v>208</v>
      </c>
      <c r="C51" s="153" t="s">
        <v>289</v>
      </c>
      <c r="D51" s="153"/>
      <c r="E51" s="154" t="s">
        <v>18</v>
      </c>
      <c r="F51" s="154"/>
      <c r="G51" s="154"/>
      <c r="H51" s="154"/>
      <c r="I51" s="155"/>
    </row>
    <row r="52" spans="1:9" ht="17" thickBot="1" x14ac:dyDescent="0.25">
      <c r="A52" s="147"/>
      <c r="E52" s="146"/>
      <c r="F52" s="146"/>
      <c r="G52" s="146"/>
      <c r="H52" s="146"/>
      <c r="I52" s="146"/>
    </row>
    <row r="53" spans="1:9" x14ac:dyDescent="0.2">
      <c r="A53" s="72" t="s">
        <v>816</v>
      </c>
      <c r="B53" s="91" t="s">
        <v>822</v>
      </c>
      <c r="C53" s="73"/>
      <c r="D53" s="73"/>
      <c r="E53" s="73"/>
      <c r="F53" s="73"/>
      <c r="G53" s="73"/>
      <c r="H53" s="73"/>
      <c r="I53" s="156"/>
    </row>
    <row r="54" spans="1:9" x14ac:dyDescent="0.2">
      <c r="A54" s="76" t="s">
        <v>817</v>
      </c>
      <c r="B54" s="92" t="s">
        <v>911</v>
      </c>
      <c r="C54" s="8"/>
      <c r="D54" s="8"/>
      <c r="E54" s="8"/>
      <c r="F54" s="8"/>
      <c r="G54" s="8"/>
      <c r="H54" s="8"/>
      <c r="I54" s="149"/>
    </row>
    <row r="55" spans="1:9" x14ac:dyDescent="0.2">
      <c r="A55" s="76" t="s">
        <v>772</v>
      </c>
      <c r="B55" s="92" t="s">
        <v>827</v>
      </c>
      <c r="C55" s="8"/>
      <c r="D55" s="8"/>
      <c r="E55" s="8"/>
      <c r="F55" s="8"/>
      <c r="G55" s="8"/>
      <c r="H55" s="8"/>
      <c r="I55" s="149"/>
    </row>
    <row r="56" spans="1:9" x14ac:dyDescent="0.2">
      <c r="A56" s="76" t="s">
        <v>818</v>
      </c>
      <c r="B56" s="92" t="s">
        <v>826</v>
      </c>
      <c r="C56" s="8"/>
      <c r="D56" s="8"/>
      <c r="E56" s="8"/>
      <c r="F56" s="8"/>
      <c r="G56" s="8"/>
      <c r="H56" s="8"/>
      <c r="I56" s="149"/>
    </row>
    <row r="57" spans="1:9" x14ac:dyDescent="0.2">
      <c r="A57" s="76" t="s">
        <v>970</v>
      </c>
      <c r="B57" s="92" t="s">
        <v>971</v>
      </c>
      <c r="C57" s="8"/>
      <c r="D57" s="8"/>
      <c r="E57" s="8"/>
      <c r="F57" s="8"/>
      <c r="G57" s="8"/>
      <c r="H57" s="8"/>
      <c r="I57" s="149"/>
    </row>
    <row r="58" spans="1:9" x14ac:dyDescent="0.2">
      <c r="A58" s="76" t="s">
        <v>940</v>
      </c>
      <c r="B58" s="92" t="s">
        <v>941</v>
      </c>
      <c r="C58" s="8"/>
      <c r="D58" s="8"/>
      <c r="E58" s="8"/>
      <c r="F58" s="8"/>
      <c r="G58" s="8"/>
      <c r="H58" s="8"/>
      <c r="I58" s="149"/>
    </row>
    <row r="59" spans="1:9" x14ac:dyDescent="0.2">
      <c r="A59" s="76" t="s">
        <v>820</v>
      </c>
      <c r="B59" s="92" t="s">
        <v>823</v>
      </c>
      <c r="C59" s="8"/>
      <c r="D59" s="8"/>
      <c r="E59" s="8"/>
      <c r="F59" s="8"/>
      <c r="G59" s="8"/>
      <c r="H59" s="8"/>
      <c r="I59" s="149"/>
    </row>
    <row r="60" spans="1:9" x14ac:dyDescent="0.2">
      <c r="A60" s="76" t="s">
        <v>821</v>
      </c>
      <c r="B60" s="92"/>
      <c r="C60" s="8" t="s">
        <v>966</v>
      </c>
      <c r="D60" s="8"/>
      <c r="E60" s="8"/>
      <c r="F60" s="8"/>
      <c r="G60" s="8"/>
      <c r="H60" s="8"/>
      <c r="I60" s="149"/>
    </row>
    <row r="61" spans="1:9" ht="17" thickBot="1" x14ac:dyDescent="0.25">
      <c r="A61" s="76" t="s">
        <v>793</v>
      </c>
      <c r="B61" s="93">
        <v>10</v>
      </c>
      <c r="C61" s="81"/>
      <c r="D61" s="81"/>
      <c r="E61" s="81"/>
      <c r="F61" s="81"/>
      <c r="G61" s="81"/>
      <c r="H61" s="81"/>
      <c r="I61" s="150"/>
    </row>
    <row r="62" spans="1:9" x14ac:dyDescent="0.2">
      <c r="A62" s="90" t="s">
        <v>784</v>
      </c>
      <c r="B62" s="89" t="s">
        <v>785</v>
      </c>
      <c r="C62" s="89" t="s">
        <v>787</v>
      </c>
      <c r="D62" s="89"/>
      <c r="E62" s="89" t="s">
        <v>788</v>
      </c>
      <c r="F62" s="89" t="s">
        <v>807</v>
      </c>
      <c r="G62" s="89" t="s">
        <v>808</v>
      </c>
      <c r="H62" s="89" t="s">
        <v>811</v>
      </c>
      <c r="I62" s="151" t="s">
        <v>812</v>
      </c>
    </row>
    <row r="63" spans="1:9" x14ac:dyDescent="0.2">
      <c r="A63" s="78">
        <v>0</v>
      </c>
      <c r="B63" s="69" t="s">
        <v>208</v>
      </c>
      <c r="C63" s="69" t="s">
        <v>326</v>
      </c>
      <c r="D63" s="69"/>
      <c r="E63" s="70" t="s">
        <v>109</v>
      </c>
      <c r="F63" s="70">
        <v>0</v>
      </c>
      <c r="G63" s="70">
        <v>5000</v>
      </c>
      <c r="H63" s="70">
        <v>20</v>
      </c>
      <c r="I63" s="79"/>
    </row>
    <row r="64" spans="1:9" x14ac:dyDescent="0.2">
      <c r="A64" s="78">
        <v>1</v>
      </c>
      <c r="B64" s="69" t="s">
        <v>208</v>
      </c>
      <c r="C64" s="69" t="s">
        <v>924</v>
      </c>
      <c r="D64" s="69"/>
      <c r="E64" s="70" t="s">
        <v>108</v>
      </c>
      <c r="F64" s="70">
        <v>0</v>
      </c>
      <c r="G64" s="70">
        <v>10000</v>
      </c>
      <c r="H64" s="70">
        <v>2000</v>
      </c>
      <c r="I64" s="79"/>
    </row>
    <row r="65" spans="1:9" x14ac:dyDescent="0.2">
      <c r="A65" s="78">
        <v>2</v>
      </c>
      <c r="B65" s="69" t="s">
        <v>208</v>
      </c>
      <c r="C65" s="69" t="s">
        <v>328</v>
      </c>
      <c r="D65" s="69"/>
      <c r="E65" s="70" t="s">
        <v>110</v>
      </c>
      <c r="F65" s="70">
        <v>0</v>
      </c>
      <c r="G65" s="70">
        <v>1</v>
      </c>
      <c r="H65" s="70">
        <v>1</v>
      </c>
      <c r="I65" s="79"/>
    </row>
    <row r="66" spans="1:9" x14ac:dyDescent="0.2">
      <c r="A66" s="78">
        <v>3</v>
      </c>
      <c r="B66" s="69" t="s">
        <v>208</v>
      </c>
      <c r="C66" s="69" t="s">
        <v>714</v>
      </c>
      <c r="D66" s="69"/>
      <c r="E66" s="70" t="s">
        <v>810</v>
      </c>
      <c r="F66" s="70">
        <v>0</v>
      </c>
      <c r="G66" s="70">
        <v>1023</v>
      </c>
      <c r="H66" s="70">
        <v>512</v>
      </c>
      <c r="I66" s="79" t="s">
        <v>832</v>
      </c>
    </row>
    <row r="67" spans="1:9" x14ac:dyDescent="0.2">
      <c r="A67" s="78">
        <v>4</v>
      </c>
      <c r="B67" s="69" t="s">
        <v>208</v>
      </c>
      <c r="C67" s="69" t="s">
        <v>715</v>
      </c>
      <c r="D67" s="69"/>
      <c r="E67" s="70" t="s">
        <v>809</v>
      </c>
      <c r="F67" s="70">
        <v>0</v>
      </c>
      <c r="G67" s="70">
        <v>3</v>
      </c>
      <c r="H67" s="70">
        <v>3</v>
      </c>
      <c r="I67" s="79" t="s">
        <v>815</v>
      </c>
    </row>
    <row r="68" spans="1:9" x14ac:dyDescent="0.2">
      <c r="A68" s="78">
        <v>5</v>
      </c>
      <c r="B68" s="69" t="s">
        <v>208</v>
      </c>
      <c r="C68" s="69" t="s">
        <v>709</v>
      </c>
      <c r="D68" s="69"/>
      <c r="E68" s="70" t="s">
        <v>706</v>
      </c>
      <c r="F68" s="70">
        <v>-32</v>
      </c>
      <c r="G68" s="70">
        <v>150</v>
      </c>
      <c r="H68" s="70">
        <v>80</v>
      </c>
      <c r="I68" s="79" t="s">
        <v>836</v>
      </c>
    </row>
    <row r="69" spans="1:9" x14ac:dyDescent="0.2">
      <c r="A69" s="78">
        <v>6</v>
      </c>
      <c r="B69" s="69" t="s">
        <v>208</v>
      </c>
      <c r="C69" s="69" t="s">
        <v>707</v>
      </c>
      <c r="D69" s="69"/>
      <c r="E69" s="70" t="s">
        <v>120</v>
      </c>
      <c r="F69" s="70"/>
      <c r="G69" s="70"/>
      <c r="H69" s="70"/>
      <c r="I69" s="79"/>
    </row>
    <row r="70" spans="1:9" x14ac:dyDescent="0.2">
      <c r="A70" s="78">
        <v>7</v>
      </c>
      <c r="B70" s="69" t="s">
        <v>208</v>
      </c>
      <c r="C70" s="69" t="s">
        <v>708</v>
      </c>
      <c r="D70" s="69"/>
      <c r="E70" s="70" t="s">
        <v>121</v>
      </c>
      <c r="F70" s="70"/>
      <c r="G70" s="70"/>
      <c r="H70" s="70"/>
      <c r="I70" s="79"/>
    </row>
    <row r="71" spans="1:9" x14ac:dyDescent="0.2">
      <c r="A71" s="78">
        <v>8</v>
      </c>
      <c r="B71" s="69" t="s">
        <v>208</v>
      </c>
      <c r="C71" s="69" t="s">
        <v>290</v>
      </c>
      <c r="D71" s="69"/>
      <c r="E71" s="70" t="s">
        <v>445</v>
      </c>
      <c r="F71" s="70">
        <v>0</v>
      </c>
      <c r="G71" s="70">
        <v>28800</v>
      </c>
      <c r="H71" s="70"/>
      <c r="I71" s="79"/>
    </row>
    <row r="72" spans="1:9" ht="17" thickBot="1" x14ac:dyDescent="0.25">
      <c r="A72" s="152">
        <v>9</v>
      </c>
      <c r="B72" s="153" t="s">
        <v>208</v>
      </c>
      <c r="C72" s="153" t="s">
        <v>289</v>
      </c>
      <c r="D72" s="153"/>
      <c r="E72" s="154" t="s">
        <v>18</v>
      </c>
      <c r="F72" s="154"/>
      <c r="G72" s="154"/>
      <c r="H72" s="154"/>
      <c r="I72" s="155"/>
    </row>
    <row r="73" spans="1:9" ht="17" thickBot="1" x14ac:dyDescent="0.25"/>
    <row r="74" spans="1:9" x14ac:dyDescent="0.2">
      <c r="A74" s="72" t="s">
        <v>816</v>
      </c>
      <c r="B74" s="91" t="s">
        <v>828</v>
      </c>
      <c r="C74" s="73"/>
      <c r="D74" s="73"/>
      <c r="E74" s="73"/>
      <c r="F74" s="73"/>
      <c r="G74" s="73"/>
      <c r="H74" s="73"/>
      <c r="I74" s="73"/>
    </row>
    <row r="75" spans="1:9" x14ac:dyDescent="0.2">
      <c r="A75" s="76" t="s">
        <v>817</v>
      </c>
      <c r="B75" s="92" t="s">
        <v>914</v>
      </c>
      <c r="C75" s="8"/>
      <c r="D75" s="8"/>
      <c r="E75" s="8"/>
      <c r="F75" s="8"/>
      <c r="G75" s="8"/>
      <c r="H75" s="8"/>
      <c r="I75" s="8"/>
    </row>
    <row r="76" spans="1:9" x14ac:dyDescent="0.2">
      <c r="A76" s="76" t="s">
        <v>772</v>
      </c>
      <c r="B76" s="92" t="s">
        <v>830</v>
      </c>
      <c r="C76" s="8"/>
      <c r="D76" s="8"/>
      <c r="E76" s="8"/>
      <c r="F76" s="8"/>
      <c r="G76" s="8"/>
      <c r="H76" s="8"/>
      <c r="I76" s="8"/>
    </row>
    <row r="77" spans="1:9" x14ac:dyDescent="0.2">
      <c r="A77" s="76" t="s">
        <v>818</v>
      </c>
      <c r="B77" s="92" t="s">
        <v>829</v>
      </c>
      <c r="C77" s="8"/>
      <c r="D77" s="8"/>
      <c r="E77" s="8"/>
      <c r="F77" s="8"/>
      <c r="G77" s="8"/>
      <c r="H77" s="8"/>
      <c r="I77" s="8"/>
    </row>
    <row r="78" spans="1:9" x14ac:dyDescent="0.2">
      <c r="A78" s="76" t="s">
        <v>970</v>
      </c>
      <c r="B78" s="92" t="s">
        <v>971</v>
      </c>
      <c r="C78" s="8"/>
      <c r="D78" s="8"/>
      <c r="E78" s="8"/>
      <c r="F78" s="8"/>
      <c r="G78" s="8"/>
      <c r="H78" s="8"/>
      <c r="I78" s="8"/>
    </row>
    <row r="79" spans="1:9" x14ac:dyDescent="0.2">
      <c r="A79" s="76" t="s">
        <v>940</v>
      </c>
      <c r="B79" s="92" t="s">
        <v>941</v>
      </c>
      <c r="C79" s="8"/>
      <c r="D79" s="8"/>
      <c r="E79" s="8"/>
      <c r="F79" s="8"/>
      <c r="G79" s="8"/>
      <c r="H79" s="8"/>
      <c r="I79" s="8"/>
    </row>
    <row r="80" spans="1:9" x14ac:dyDescent="0.2">
      <c r="A80" s="76" t="s">
        <v>820</v>
      </c>
      <c r="B80" s="92" t="s">
        <v>848</v>
      </c>
      <c r="C80" s="8"/>
      <c r="D80" s="8"/>
      <c r="E80" s="8"/>
      <c r="F80" s="8"/>
      <c r="G80" s="8"/>
      <c r="H80" s="8"/>
      <c r="I80" s="8"/>
    </row>
    <row r="81" spans="1:9" x14ac:dyDescent="0.2">
      <c r="A81" s="76" t="s">
        <v>821</v>
      </c>
      <c r="B81" s="92"/>
      <c r="C81" s="8" t="s">
        <v>966</v>
      </c>
      <c r="D81" s="8"/>
      <c r="E81" s="8"/>
      <c r="F81" s="8"/>
      <c r="G81" s="8"/>
      <c r="H81" s="8"/>
      <c r="I81" s="8"/>
    </row>
    <row r="82" spans="1:9" ht="17" thickBot="1" x14ac:dyDescent="0.25">
      <c r="A82" s="76" t="s">
        <v>793</v>
      </c>
      <c r="B82" s="93">
        <v>10</v>
      </c>
      <c r="C82" s="81"/>
      <c r="D82" s="81"/>
      <c r="E82" s="81"/>
      <c r="F82" s="81"/>
      <c r="G82" s="81"/>
      <c r="H82" s="81"/>
      <c r="I82" s="81"/>
    </row>
    <row r="83" spans="1:9" x14ac:dyDescent="0.2">
      <c r="A83" s="90" t="s">
        <v>784</v>
      </c>
      <c r="B83" s="89" t="s">
        <v>785</v>
      </c>
      <c r="C83" s="89" t="s">
        <v>787</v>
      </c>
      <c r="D83" s="89"/>
      <c r="E83" s="89" t="s">
        <v>788</v>
      </c>
      <c r="F83" s="89" t="s">
        <v>807</v>
      </c>
      <c r="G83" s="89" t="s">
        <v>808</v>
      </c>
      <c r="H83" s="89" t="s">
        <v>811</v>
      </c>
      <c r="I83" s="89" t="s">
        <v>812</v>
      </c>
    </row>
    <row r="84" spans="1:9" x14ac:dyDescent="0.2">
      <c r="A84" s="78">
        <v>0</v>
      </c>
      <c r="B84" s="69" t="s">
        <v>208</v>
      </c>
      <c r="C84" s="69" t="s">
        <v>326</v>
      </c>
      <c r="D84" s="69"/>
      <c r="E84" s="70" t="s">
        <v>109</v>
      </c>
      <c r="F84" s="70">
        <v>0</v>
      </c>
      <c r="G84" s="70">
        <v>5000</v>
      </c>
      <c r="H84" s="70">
        <v>20</v>
      </c>
      <c r="I84" s="70"/>
    </row>
    <row r="85" spans="1:9" x14ac:dyDescent="0.2">
      <c r="A85" s="78">
        <v>1</v>
      </c>
      <c r="B85" s="69" t="s">
        <v>208</v>
      </c>
      <c r="C85" s="69" t="s">
        <v>924</v>
      </c>
      <c r="D85" s="69"/>
      <c r="E85" s="70" t="s">
        <v>108</v>
      </c>
      <c r="F85" s="70">
        <v>0</v>
      </c>
      <c r="G85" s="70">
        <v>10000</v>
      </c>
      <c r="H85" s="70">
        <v>2000</v>
      </c>
      <c r="I85" s="70"/>
    </row>
    <row r="86" spans="1:9" x14ac:dyDescent="0.2">
      <c r="A86" s="78">
        <v>2</v>
      </c>
      <c r="B86" s="69" t="s">
        <v>208</v>
      </c>
      <c r="C86" s="69" t="s">
        <v>328</v>
      </c>
      <c r="D86" s="69"/>
      <c r="E86" s="70" t="s">
        <v>110</v>
      </c>
      <c r="F86" s="70">
        <v>0</v>
      </c>
      <c r="G86" s="70">
        <v>1</v>
      </c>
      <c r="H86" s="70">
        <v>1</v>
      </c>
      <c r="I86" s="70"/>
    </row>
    <row r="87" spans="1:9" x14ac:dyDescent="0.2">
      <c r="A87" s="78">
        <v>3</v>
      </c>
      <c r="B87" s="69" t="s">
        <v>208</v>
      </c>
      <c r="C87" s="69" t="s">
        <v>714</v>
      </c>
      <c r="D87" s="69"/>
      <c r="E87" s="70" t="s">
        <v>810</v>
      </c>
      <c r="F87" s="70">
        <v>0</v>
      </c>
      <c r="G87" s="70">
        <v>1023</v>
      </c>
      <c r="H87" s="70">
        <v>512</v>
      </c>
      <c r="I87" s="70" t="s">
        <v>831</v>
      </c>
    </row>
    <row r="88" spans="1:9" ht="14" customHeight="1" x14ac:dyDescent="0.2">
      <c r="A88" s="78">
        <v>4</v>
      </c>
      <c r="B88" s="69" t="s">
        <v>208</v>
      </c>
      <c r="C88" s="69" t="s">
        <v>715</v>
      </c>
      <c r="D88" s="69"/>
      <c r="E88" s="70" t="s">
        <v>809</v>
      </c>
      <c r="F88" s="70">
        <v>0</v>
      </c>
      <c r="G88" s="70">
        <v>3</v>
      </c>
      <c r="H88" s="70">
        <v>3</v>
      </c>
      <c r="I88" s="70" t="s">
        <v>815</v>
      </c>
    </row>
    <row r="89" spans="1:9" x14ac:dyDescent="0.2">
      <c r="A89" s="78">
        <v>5</v>
      </c>
      <c r="B89" s="69" t="s">
        <v>208</v>
      </c>
      <c r="C89" s="69" t="s">
        <v>709</v>
      </c>
      <c r="D89" s="69"/>
      <c r="E89" s="70" t="s">
        <v>706</v>
      </c>
      <c r="F89" s="70">
        <v>-32</v>
      </c>
      <c r="G89" s="70">
        <v>150</v>
      </c>
      <c r="H89" s="70">
        <v>80</v>
      </c>
      <c r="I89" s="70" t="s">
        <v>837</v>
      </c>
    </row>
    <row r="90" spans="1:9" x14ac:dyDescent="0.2">
      <c r="A90" s="78">
        <v>6</v>
      </c>
      <c r="B90" s="69" t="s">
        <v>208</v>
      </c>
      <c r="C90" s="69" t="s">
        <v>707</v>
      </c>
      <c r="D90" s="69"/>
      <c r="E90" s="70" t="s">
        <v>120</v>
      </c>
      <c r="F90" s="70"/>
      <c r="G90" s="70"/>
      <c r="H90" s="70"/>
      <c r="I90" s="70"/>
    </row>
    <row r="91" spans="1:9" x14ac:dyDescent="0.2">
      <c r="A91" s="78">
        <v>7</v>
      </c>
      <c r="B91" s="69" t="s">
        <v>208</v>
      </c>
      <c r="C91" s="69" t="s">
        <v>708</v>
      </c>
      <c r="D91" s="69"/>
      <c r="E91" s="70" t="s">
        <v>121</v>
      </c>
      <c r="F91" s="70"/>
      <c r="G91" s="70"/>
      <c r="H91" s="70"/>
      <c r="I91" s="70"/>
    </row>
    <row r="92" spans="1:9" x14ac:dyDescent="0.2">
      <c r="A92" s="78">
        <v>8</v>
      </c>
      <c r="B92" s="69" t="s">
        <v>208</v>
      </c>
      <c r="C92" s="69" t="s">
        <v>290</v>
      </c>
      <c r="D92" s="69"/>
      <c r="E92" s="70" t="s">
        <v>445</v>
      </c>
      <c r="F92" s="70">
        <v>0</v>
      </c>
      <c r="G92" s="70">
        <v>28800</v>
      </c>
      <c r="H92" s="70"/>
      <c r="I92" s="70"/>
    </row>
    <row r="93" spans="1:9" x14ac:dyDescent="0.2">
      <c r="A93" s="78">
        <v>9</v>
      </c>
      <c r="B93" s="69" t="s">
        <v>208</v>
      </c>
      <c r="C93" s="69" t="s">
        <v>289</v>
      </c>
      <c r="D93" s="69"/>
      <c r="E93" s="70" t="s">
        <v>18</v>
      </c>
      <c r="F93" s="70"/>
      <c r="G93" s="70"/>
      <c r="H93" s="70"/>
      <c r="I93" s="70"/>
    </row>
    <row r="94" spans="1:9" ht="17" thickBot="1" x14ac:dyDescent="0.25">
      <c r="I94"/>
    </row>
    <row r="95" spans="1:9" x14ac:dyDescent="0.2">
      <c r="A95" s="72" t="s">
        <v>816</v>
      </c>
      <c r="B95" s="91" t="s">
        <v>838</v>
      </c>
      <c r="C95" s="73"/>
      <c r="D95" s="73"/>
      <c r="E95" s="73"/>
      <c r="F95" s="73"/>
      <c r="G95" s="73"/>
      <c r="H95" s="73"/>
      <c r="I95" s="73"/>
    </row>
    <row r="96" spans="1:9" x14ac:dyDescent="0.2">
      <c r="A96" s="76" t="s">
        <v>817</v>
      </c>
      <c r="B96" s="92" t="s">
        <v>1231</v>
      </c>
      <c r="C96" s="8"/>
      <c r="D96" s="8"/>
      <c r="E96" s="8"/>
      <c r="F96" s="8"/>
      <c r="G96" s="8"/>
      <c r="H96" s="8"/>
      <c r="I96" s="8"/>
    </row>
    <row r="97" spans="1:9" x14ac:dyDescent="0.2">
      <c r="A97" s="76" t="s">
        <v>772</v>
      </c>
      <c r="B97" s="92" t="s">
        <v>1232</v>
      </c>
      <c r="C97" s="8"/>
      <c r="D97" s="8"/>
      <c r="E97" s="8"/>
      <c r="F97" s="8"/>
      <c r="G97" s="8"/>
      <c r="H97" s="8"/>
      <c r="I97" s="8"/>
    </row>
    <row r="98" spans="1:9" x14ac:dyDescent="0.2">
      <c r="A98" s="76" t="s">
        <v>818</v>
      </c>
      <c r="B98" s="92" t="s">
        <v>1220</v>
      </c>
      <c r="C98" s="8"/>
      <c r="D98" s="8"/>
      <c r="E98" s="8"/>
      <c r="F98" s="8"/>
      <c r="G98" s="8"/>
      <c r="H98" s="8"/>
      <c r="I98" s="8"/>
    </row>
    <row r="99" spans="1:9" x14ac:dyDescent="0.2">
      <c r="A99" s="76" t="s">
        <v>970</v>
      </c>
      <c r="B99" s="92" t="s">
        <v>971</v>
      </c>
      <c r="C99" s="8"/>
      <c r="D99" s="8"/>
      <c r="E99" s="8"/>
      <c r="F99" s="8"/>
      <c r="G99" s="8"/>
      <c r="H99" s="8"/>
      <c r="I99" s="8"/>
    </row>
    <row r="100" spans="1:9" x14ac:dyDescent="0.2">
      <c r="A100" s="76" t="s">
        <v>940</v>
      </c>
      <c r="B100" s="92" t="s">
        <v>941</v>
      </c>
      <c r="C100" s="8"/>
      <c r="D100" s="8"/>
      <c r="E100" s="8"/>
      <c r="F100" s="8"/>
      <c r="G100" s="8"/>
      <c r="H100" s="8"/>
      <c r="I100" s="8"/>
    </row>
    <row r="101" spans="1:9" x14ac:dyDescent="0.2">
      <c r="A101" s="76" t="s">
        <v>820</v>
      </c>
      <c r="B101" s="92" t="s">
        <v>1233</v>
      </c>
      <c r="C101" s="8"/>
      <c r="D101" s="8"/>
      <c r="E101" s="8"/>
      <c r="F101" s="8"/>
      <c r="G101" s="8"/>
      <c r="H101" s="8"/>
      <c r="I101" s="8"/>
    </row>
    <row r="102" spans="1:9" x14ac:dyDescent="0.2">
      <c r="A102" s="76" t="s">
        <v>821</v>
      </c>
      <c r="B102" s="92"/>
      <c r="C102" s="8" t="s">
        <v>966</v>
      </c>
      <c r="D102" s="8"/>
      <c r="E102" s="8"/>
      <c r="F102" s="8"/>
      <c r="G102" s="8"/>
      <c r="H102" s="8"/>
      <c r="I102" s="8"/>
    </row>
    <row r="103" spans="1:9" ht="17" thickBot="1" x14ac:dyDescent="0.25">
      <c r="A103" s="76" t="s">
        <v>793</v>
      </c>
      <c r="B103" s="93">
        <v>10</v>
      </c>
      <c r="C103" s="81"/>
      <c r="D103" s="81"/>
      <c r="E103" s="81"/>
      <c r="F103" s="81"/>
      <c r="G103" s="81"/>
      <c r="H103" s="81"/>
      <c r="I103" s="81"/>
    </row>
    <row r="104" spans="1:9" x14ac:dyDescent="0.2">
      <c r="A104" s="90" t="s">
        <v>784</v>
      </c>
      <c r="B104" s="89" t="s">
        <v>785</v>
      </c>
      <c r="C104" s="89" t="s">
        <v>787</v>
      </c>
      <c r="D104" s="89"/>
      <c r="E104" s="89" t="s">
        <v>788</v>
      </c>
      <c r="F104" s="89" t="s">
        <v>807</v>
      </c>
      <c r="G104" s="89" t="s">
        <v>808</v>
      </c>
      <c r="H104" s="89" t="s">
        <v>811</v>
      </c>
      <c r="I104" s="89" t="s">
        <v>812</v>
      </c>
    </row>
    <row r="105" spans="1:9" x14ac:dyDescent="0.2">
      <c r="A105" s="78">
        <v>0</v>
      </c>
      <c r="B105" s="69" t="s">
        <v>208</v>
      </c>
      <c r="C105" s="69" t="s">
        <v>326</v>
      </c>
      <c r="D105" s="69"/>
      <c r="E105" s="70" t="s">
        <v>109</v>
      </c>
      <c r="F105" s="70">
        <v>0</v>
      </c>
      <c r="G105" s="70">
        <v>5000</v>
      </c>
      <c r="H105" s="70">
        <v>20</v>
      </c>
      <c r="I105" s="70"/>
    </row>
    <row r="106" spans="1:9" x14ac:dyDescent="0.2">
      <c r="A106" s="78">
        <v>1</v>
      </c>
      <c r="B106" s="69" t="s">
        <v>208</v>
      </c>
      <c r="C106" s="69" t="s">
        <v>924</v>
      </c>
      <c r="D106" s="69"/>
      <c r="E106" s="70" t="s">
        <v>108</v>
      </c>
      <c r="F106" s="70">
        <v>0</v>
      </c>
      <c r="G106" s="70">
        <v>10000</v>
      </c>
      <c r="H106" s="70">
        <v>2000</v>
      </c>
      <c r="I106" s="70"/>
    </row>
    <row r="107" spans="1:9" x14ac:dyDescent="0.2">
      <c r="A107" s="78">
        <v>2</v>
      </c>
      <c r="B107" s="69" t="s">
        <v>208</v>
      </c>
      <c r="C107" s="69" t="s">
        <v>328</v>
      </c>
      <c r="D107" s="69"/>
      <c r="E107" s="70" t="s">
        <v>110</v>
      </c>
      <c r="F107" s="70">
        <v>0</v>
      </c>
      <c r="G107" s="70">
        <v>1</v>
      </c>
      <c r="H107" s="70">
        <v>1</v>
      </c>
      <c r="I107" s="70"/>
    </row>
    <row r="108" spans="1:9" x14ac:dyDescent="0.2">
      <c r="A108" s="78">
        <v>3</v>
      </c>
      <c r="B108" s="69" t="s">
        <v>208</v>
      </c>
      <c r="C108" s="69" t="s">
        <v>714</v>
      </c>
      <c r="D108" s="69"/>
      <c r="E108" s="70" t="s">
        <v>810</v>
      </c>
      <c r="F108" s="70">
        <v>0</v>
      </c>
      <c r="G108" s="70">
        <v>1023</v>
      </c>
      <c r="H108" s="70">
        <v>512</v>
      </c>
      <c r="I108" s="70"/>
    </row>
    <row r="109" spans="1:9" x14ac:dyDescent="0.2">
      <c r="A109" s="78">
        <v>4</v>
      </c>
      <c r="B109" s="69" t="s">
        <v>208</v>
      </c>
      <c r="C109" s="69" t="s">
        <v>715</v>
      </c>
      <c r="D109" s="69"/>
      <c r="E109" s="70" t="s">
        <v>809</v>
      </c>
      <c r="F109" s="70">
        <v>0</v>
      </c>
      <c r="G109" s="70">
        <v>3</v>
      </c>
      <c r="H109" s="70">
        <v>3</v>
      </c>
      <c r="I109" s="70" t="s">
        <v>815</v>
      </c>
    </row>
    <row r="110" spans="1:9" x14ac:dyDescent="0.2">
      <c r="A110" s="78">
        <v>5</v>
      </c>
      <c r="B110" s="69" t="s">
        <v>208</v>
      </c>
      <c r="C110" s="69" t="s">
        <v>709</v>
      </c>
      <c r="D110" s="69"/>
      <c r="E110" s="70" t="s">
        <v>706</v>
      </c>
      <c r="F110" s="70">
        <v>-32</v>
      </c>
      <c r="G110" s="70">
        <v>150</v>
      </c>
      <c r="H110" s="70">
        <v>80</v>
      </c>
      <c r="I110" s="70"/>
    </row>
    <row r="111" spans="1:9" x14ac:dyDescent="0.2">
      <c r="A111" s="78">
        <v>6</v>
      </c>
      <c r="B111" s="69" t="s">
        <v>208</v>
      </c>
      <c r="C111" s="69" t="s">
        <v>707</v>
      </c>
      <c r="D111" s="69"/>
      <c r="E111" s="70" t="s">
        <v>120</v>
      </c>
      <c r="F111" s="70"/>
      <c r="G111" s="70"/>
      <c r="H111" s="70"/>
      <c r="I111" s="70"/>
    </row>
    <row r="112" spans="1:9" x14ac:dyDescent="0.2">
      <c r="A112" s="78">
        <v>7</v>
      </c>
      <c r="B112" s="69" t="s">
        <v>208</v>
      </c>
      <c r="C112" s="69" t="s">
        <v>708</v>
      </c>
      <c r="D112" s="69"/>
      <c r="E112" s="70" t="s">
        <v>121</v>
      </c>
      <c r="F112" s="70"/>
      <c r="G112" s="70"/>
      <c r="H112" s="70"/>
      <c r="I112" s="70"/>
    </row>
    <row r="113" spans="1:9" x14ac:dyDescent="0.2">
      <c r="A113" s="78">
        <v>8</v>
      </c>
      <c r="B113" s="69" t="s">
        <v>208</v>
      </c>
      <c r="C113" s="69" t="s">
        <v>290</v>
      </c>
      <c r="D113" s="69"/>
      <c r="E113" s="70" t="s">
        <v>445</v>
      </c>
      <c r="F113" s="70">
        <v>0</v>
      </c>
      <c r="G113" s="70">
        <v>28800</v>
      </c>
      <c r="H113" s="70"/>
      <c r="I113" s="70"/>
    </row>
    <row r="114" spans="1:9" x14ac:dyDescent="0.2">
      <c r="A114" s="78">
        <v>9</v>
      </c>
      <c r="B114" s="69" t="s">
        <v>208</v>
      </c>
      <c r="C114" s="69" t="s">
        <v>289</v>
      </c>
      <c r="D114" s="69"/>
      <c r="E114" s="70" t="s">
        <v>18</v>
      </c>
      <c r="F114" s="70"/>
      <c r="G114" s="70"/>
      <c r="H114" s="70"/>
      <c r="I114" s="70"/>
    </row>
    <row r="115" spans="1:9" ht="17" thickBot="1" x14ac:dyDescent="0.25">
      <c r="I115"/>
    </row>
    <row r="116" spans="1:9" x14ac:dyDescent="0.2">
      <c r="A116" s="72" t="s">
        <v>816</v>
      </c>
      <c r="B116" s="91" t="s">
        <v>847</v>
      </c>
      <c r="C116" s="73"/>
      <c r="D116" s="73"/>
      <c r="E116" s="73"/>
      <c r="F116" s="73"/>
      <c r="G116" s="73"/>
      <c r="H116" s="73"/>
      <c r="I116" s="73"/>
    </row>
    <row r="117" spans="1:9" x14ac:dyDescent="0.2">
      <c r="A117" s="76" t="s">
        <v>817</v>
      </c>
      <c r="B117" s="92" t="s">
        <v>915</v>
      </c>
      <c r="C117" s="8"/>
      <c r="D117" s="8"/>
      <c r="E117" s="8"/>
      <c r="F117" s="8"/>
      <c r="G117" s="8"/>
      <c r="H117" s="8"/>
      <c r="I117" s="8"/>
    </row>
    <row r="118" spans="1:9" x14ac:dyDescent="0.2">
      <c r="A118" s="76" t="s">
        <v>772</v>
      </c>
      <c r="B118" s="92" t="s">
        <v>840</v>
      </c>
      <c r="C118" s="8"/>
      <c r="D118" s="8"/>
      <c r="E118" s="8"/>
      <c r="F118" s="8"/>
      <c r="G118" s="8"/>
      <c r="H118" s="8"/>
      <c r="I118" s="8"/>
    </row>
    <row r="119" spans="1:9" x14ac:dyDescent="0.2">
      <c r="A119" s="76" t="s">
        <v>818</v>
      </c>
      <c r="B119" s="92" t="s">
        <v>839</v>
      </c>
      <c r="C119" s="8"/>
      <c r="D119" s="8"/>
      <c r="E119" s="8"/>
      <c r="F119" s="8"/>
      <c r="G119" s="8"/>
      <c r="H119" s="8"/>
      <c r="I119" s="8"/>
    </row>
    <row r="120" spans="1:9" x14ac:dyDescent="0.2">
      <c r="A120" s="76" t="s">
        <v>970</v>
      </c>
      <c r="B120" s="92" t="s">
        <v>971</v>
      </c>
      <c r="C120" s="8"/>
      <c r="D120" s="8"/>
      <c r="E120" s="8"/>
      <c r="F120" s="8"/>
      <c r="G120" s="8"/>
      <c r="H120" s="8"/>
      <c r="I120" s="8"/>
    </row>
    <row r="121" spans="1:9" x14ac:dyDescent="0.2">
      <c r="A121" s="76" t="s">
        <v>940</v>
      </c>
      <c r="B121" s="92" t="s">
        <v>941</v>
      </c>
      <c r="C121" s="8"/>
      <c r="D121" s="8"/>
      <c r="E121" s="8"/>
      <c r="F121" s="8"/>
      <c r="G121" s="8"/>
      <c r="H121" s="8"/>
      <c r="I121" s="8"/>
    </row>
    <row r="122" spans="1:9" x14ac:dyDescent="0.2">
      <c r="A122" s="76" t="s">
        <v>820</v>
      </c>
      <c r="B122" s="92" t="s">
        <v>841</v>
      </c>
      <c r="C122" s="8"/>
      <c r="D122" s="8"/>
      <c r="E122" s="8"/>
      <c r="F122" s="8"/>
      <c r="G122" s="8"/>
      <c r="H122" s="8"/>
      <c r="I122" s="8"/>
    </row>
    <row r="123" spans="1:9" x14ac:dyDescent="0.2">
      <c r="A123" s="76" t="s">
        <v>821</v>
      </c>
      <c r="B123" s="92"/>
      <c r="C123" s="8" t="s">
        <v>966</v>
      </c>
      <c r="D123" s="8"/>
      <c r="E123" s="8"/>
      <c r="F123" s="8"/>
      <c r="G123" s="8"/>
      <c r="H123" s="8"/>
      <c r="I123" s="8"/>
    </row>
    <row r="124" spans="1:9" ht="17" thickBot="1" x14ac:dyDescent="0.25">
      <c r="A124" s="76" t="s">
        <v>793</v>
      </c>
      <c r="B124" s="93">
        <v>20</v>
      </c>
      <c r="C124" s="81"/>
      <c r="D124" s="81"/>
      <c r="E124" s="81"/>
      <c r="F124" s="81"/>
      <c r="G124" s="81"/>
      <c r="H124" s="81"/>
      <c r="I124" s="81"/>
    </row>
    <row r="125" spans="1:9" x14ac:dyDescent="0.2">
      <c r="A125" s="90" t="s">
        <v>784</v>
      </c>
      <c r="B125" s="89" t="s">
        <v>785</v>
      </c>
      <c r="C125" s="89" t="s">
        <v>787</v>
      </c>
      <c r="D125" s="89"/>
      <c r="E125" s="89" t="s">
        <v>788</v>
      </c>
      <c r="F125" s="89" t="s">
        <v>807</v>
      </c>
      <c r="G125" s="89" t="s">
        <v>808</v>
      </c>
      <c r="H125" s="89" t="s">
        <v>811</v>
      </c>
      <c r="I125" s="89" t="s">
        <v>812</v>
      </c>
    </row>
    <row r="126" spans="1:9" x14ac:dyDescent="0.2">
      <c r="A126" s="78">
        <v>0</v>
      </c>
      <c r="B126" s="69" t="s">
        <v>208</v>
      </c>
      <c r="C126" s="69" t="s">
        <v>326</v>
      </c>
      <c r="D126" s="69"/>
      <c r="E126" s="70" t="s">
        <v>109</v>
      </c>
      <c r="F126" s="70">
        <v>0</v>
      </c>
      <c r="G126" s="70">
        <v>5000</v>
      </c>
      <c r="H126" s="70">
        <v>20</v>
      </c>
      <c r="I126" s="70"/>
    </row>
    <row r="127" spans="1:9" x14ac:dyDescent="0.2">
      <c r="A127" s="78">
        <v>1</v>
      </c>
      <c r="B127" s="69" t="s">
        <v>208</v>
      </c>
      <c r="C127" s="69" t="s">
        <v>924</v>
      </c>
      <c r="D127" s="69"/>
      <c r="E127" s="70" t="s">
        <v>108</v>
      </c>
      <c r="F127" s="70">
        <v>0</v>
      </c>
      <c r="G127" s="70">
        <v>10000</v>
      </c>
      <c r="H127" s="70">
        <v>2000</v>
      </c>
      <c r="I127" s="70"/>
    </row>
    <row r="128" spans="1:9" x14ac:dyDescent="0.2">
      <c r="A128" s="78">
        <v>2</v>
      </c>
      <c r="B128" s="69" t="s">
        <v>208</v>
      </c>
      <c r="C128" s="69" t="s">
        <v>328</v>
      </c>
      <c r="D128" s="69"/>
      <c r="E128" s="70" t="s">
        <v>110</v>
      </c>
      <c r="F128" s="70">
        <v>0</v>
      </c>
      <c r="G128" s="70">
        <v>1</v>
      </c>
      <c r="H128" s="70">
        <v>1</v>
      </c>
      <c r="I128" s="70"/>
    </row>
    <row r="129" spans="1:9" x14ac:dyDescent="0.2">
      <c r="A129" s="78">
        <v>3</v>
      </c>
      <c r="B129" s="69" t="s">
        <v>208</v>
      </c>
      <c r="C129" s="69" t="s">
        <v>714</v>
      </c>
      <c r="D129" s="69"/>
      <c r="E129" s="70" t="s">
        <v>810</v>
      </c>
      <c r="F129" s="70">
        <v>0</v>
      </c>
      <c r="G129" s="70">
        <v>1023</v>
      </c>
      <c r="H129" s="70">
        <v>512</v>
      </c>
      <c r="I129" s="70"/>
    </row>
    <row r="130" spans="1:9" x14ac:dyDescent="0.2">
      <c r="A130" s="78">
        <v>4</v>
      </c>
      <c r="B130" s="69" t="s">
        <v>208</v>
      </c>
      <c r="C130" s="69" t="s">
        <v>715</v>
      </c>
      <c r="D130" s="69"/>
      <c r="E130" s="70" t="s">
        <v>809</v>
      </c>
      <c r="F130" s="70">
        <v>0</v>
      </c>
      <c r="G130" s="70">
        <v>3</v>
      </c>
      <c r="H130" s="70">
        <v>3</v>
      </c>
      <c r="I130" s="70"/>
    </row>
    <row r="131" spans="1:9" x14ac:dyDescent="0.2">
      <c r="A131" s="78">
        <v>5</v>
      </c>
      <c r="B131" s="69" t="s">
        <v>208</v>
      </c>
      <c r="C131" s="69" t="s">
        <v>709</v>
      </c>
      <c r="D131" s="69"/>
      <c r="E131" s="70" t="s">
        <v>706</v>
      </c>
      <c r="F131" s="70">
        <v>-32</v>
      </c>
      <c r="G131" s="70">
        <v>150</v>
      </c>
      <c r="H131" s="70">
        <v>80</v>
      </c>
      <c r="I131" s="70" t="s">
        <v>846</v>
      </c>
    </row>
    <row r="132" spans="1:9" x14ac:dyDescent="0.2">
      <c r="A132" s="78">
        <v>6</v>
      </c>
      <c r="B132" s="69" t="s">
        <v>208</v>
      </c>
      <c r="C132" s="69" t="s">
        <v>707</v>
      </c>
      <c r="D132" s="69"/>
      <c r="E132" s="70" t="s">
        <v>120</v>
      </c>
      <c r="F132" s="70"/>
      <c r="G132" s="70"/>
      <c r="H132" s="70"/>
      <c r="I132" s="70"/>
    </row>
    <row r="133" spans="1:9" x14ac:dyDescent="0.2">
      <c r="A133" s="78">
        <v>7</v>
      </c>
      <c r="B133" s="69" t="s">
        <v>208</v>
      </c>
      <c r="C133" s="69" t="s">
        <v>708</v>
      </c>
      <c r="D133" s="69"/>
      <c r="E133" s="70" t="s">
        <v>121</v>
      </c>
      <c r="F133" s="70"/>
      <c r="G133" s="70"/>
      <c r="H133" s="70"/>
      <c r="I133" s="172"/>
    </row>
    <row r="134" spans="1:9" x14ac:dyDescent="0.2">
      <c r="A134" s="78">
        <v>8</v>
      </c>
      <c r="B134" s="69" t="s">
        <v>208</v>
      </c>
      <c r="C134" s="69" t="s">
        <v>290</v>
      </c>
      <c r="D134" s="69"/>
      <c r="E134" s="70" t="s">
        <v>445</v>
      </c>
      <c r="F134" s="70">
        <v>0</v>
      </c>
      <c r="G134" s="70">
        <v>28800</v>
      </c>
      <c r="H134" s="70"/>
      <c r="I134" s="70"/>
    </row>
    <row r="135" spans="1:9" ht="17" thickBot="1" x14ac:dyDescent="0.25">
      <c r="A135" s="78">
        <v>9</v>
      </c>
      <c r="B135" s="69" t="s">
        <v>208</v>
      </c>
      <c r="C135" s="69" t="s">
        <v>289</v>
      </c>
      <c r="D135" s="69"/>
      <c r="E135" s="70" t="s">
        <v>18</v>
      </c>
      <c r="F135" s="70"/>
      <c r="G135" s="70"/>
      <c r="H135" s="70"/>
      <c r="I135" s="70"/>
    </row>
    <row r="136" spans="1:9" x14ac:dyDescent="0.2">
      <c r="A136" s="157">
        <v>10</v>
      </c>
      <c r="B136" s="171" t="s">
        <v>208</v>
      </c>
      <c r="C136" s="164" t="s">
        <v>943</v>
      </c>
      <c r="D136" s="164"/>
      <c r="E136" s="163" t="s">
        <v>842</v>
      </c>
      <c r="F136" s="165"/>
      <c r="G136" s="165"/>
      <c r="H136" s="165"/>
      <c r="I136" s="166" t="s">
        <v>963</v>
      </c>
    </row>
    <row r="137" spans="1:9" x14ac:dyDescent="0.2">
      <c r="A137" s="78">
        <v>11</v>
      </c>
      <c r="B137" s="69" t="s">
        <v>208</v>
      </c>
      <c r="C137" s="162" t="s">
        <v>944</v>
      </c>
      <c r="D137" s="162"/>
      <c r="E137" s="163" t="s">
        <v>843</v>
      </c>
      <c r="F137" s="163"/>
      <c r="G137" s="163"/>
      <c r="H137" s="163"/>
      <c r="I137" s="167"/>
    </row>
    <row r="138" spans="1:9" x14ac:dyDescent="0.2">
      <c r="A138" s="78">
        <v>12</v>
      </c>
      <c r="B138" s="69" t="s">
        <v>208</v>
      </c>
      <c r="C138" s="162" t="s">
        <v>945</v>
      </c>
      <c r="D138" s="162"/>
      <c r="E138" s="163" t="s">
        <v>844</v>
      </c>
      <c r="F138" s="163"/>
      <c r="G138" s="163"/>
      <c r="H138" s="163"/>
      <c r="I138" s="167"/>
    </row>
    <row r="139" spans="1:9" x14ac:dyDescent="0.2">
      <c r="A139" s="78">
        <v>13</v>
      </c>
      <c r="B139" s="69" t="s">
        <v>208</v>
      </c>
      <c r="C139" s="162" t="s">
        <v>946</v>
      </c>
      <c r="D139" s="162"/>
      <c r="E139" s="163" t="s">
        <v>845</v>
      </c>
      <c r="F139" s="163"/>
      <c r="G139" s="163"/>
      <c r="H139" s="163"/>
      <c r="I139" s="167"/>
    </row>
    <row r="140" spans="1:9" x14ac:dyDescent="0.2">
      <c r="A140" s="78">
        <v>14</v>
      </c>
      <c r="B140" s="69" t="s">
        <v>208</v>
      </c>
      <c r="C140" s="162" t="s">
        <v>947</v>
      </c>
      <c r="D140" s="162"/>
      <c r="E140" s="163" t="s">
        <v>955</v>
      </c>
      <c r="F140" s="163"/>
      <c r="G140" s="163"/>
      <c r="H140" s="163"/>
      <c r="I140" s="167"/>
    </row>
    <row r="141" spans="1:9" x14ac:dyDescent="0.2">
      <c r="A141" s="78">
        <v>15</v>
      </c>
      <c r="B141" s="69" t="s">
        <v>208</v>
      </c>
      <c r="C141" s="162" t="s">
        <v>948</v>
      </c>
      <c r="D141" s="162"/>
      <c r="E141" s="163" t="s">
        <v>956</v>
      </c>
      <c r="F141" s="163"/>
      <c r="G141" s="163"/>
      <c r="H141" s="163"/>
      <c r="I141" s="167"/>
    </row>
    <row r="142" spans="1:9" x14ac:dyDescent="0.2">
      <c r="A142" s="78">
        <v>16</v>
      </c>
      <c r="B142" s="69" t="s">
        <v>208</v>
      </c>
      <c r="C142" s="162" t="s">
        <v>949</v>
      </c>
      <c r="D142" s="162"/>
      <c r="E142" s="163" t="s">
        <v>957</v>
      </c>
      <c r="F142" s="163"/>
      <c r="G142" s="163"/>
      <c r="H142" s="163"/>
      <c r="I142" s="167"/>
    </row>
    <row r="143" spans="1:9" x14ac:dyDescent="0.2">
      <c r="A143" s="78">
        <v>17</v>
      </c>
      <c r="B143" s="69" t="s">
        <v>208</v>
      </c>
      <c r="C143" s="162" t="s">
        <v>950</v>
      </c>
      <c r="D143" s="162"/>
      <c r="E143" s="163" t="s">
        <v>958</v>
      </c>
      <c r="F143" s="163"/>
      <c r="G143" s="163"/>
      <c r="H143" s="163"/>
      <c r="I143" s="167"/>
    </row>
    <row r="144" spans="1:9" x14ac:dyDescent="0.2">
      <c r="A144" s="78">
        <v>18</v>
      </c>
      <c r="B144" s="69" t="s">
        <v>208</v>
      </c>
      <c r="C144" s="162" t="s">
        <v>959</v>
      </c>
      <c r="D144" s="162"/>
      <c r="E144" s="163" t="s">
        <v>961</v>
      </c>
      <c r="F144" s="163"/>
      <c r="G144" s="163"/>
      <c r="H144" s="163"/>
      <c r="I144" s="167" t="s">
        <v>976</v>
      </c>
    </row>
    <row r="145" spans="1:9" ht="17" thickBot="1" x14ac:dyDescent="0.25">
      <c r="A145" s="152">
        <v>19</v>
      </c>
      <c r="B145" s="153" t="s">
        <v>208</v>
      </c>
      <c r="C145" s="168" t="s">
        <v>960</v>
      </c>
      <c r="D145" s="168"/>
      <c r="E145" s="169" t="s">
        <v>962</v>
      </c>
      <c r="F145" s="169"/>
      <c r="G145" s="169"/>
      <c r="H145" s="169"/>
      <c r="I145" s="170"/>
    </row>
    <row r="146" spans="1:9" ht="17" thickBot="1" x14ac:dyDescent="0.25">
      <c r="I146"/>
    </row>
    <row r="147" spans="1:9" x14ac:dyDescent="0.2">
      <c r="A147" s="106" t="s">
        <v>816</v>
      </c>
      <c r="B147" s="107" t="s">
        <v>849</v>
      </c>
      <c r="C147" s="108"/>
      <c r="D147" s="108"/>
      <c r="E147" s="108"/>
      <c r="F147" s="108"/>
      <c r="G147" s="108"/>
      <c r="H147" s="108"/>
      <c r="I147" s="108"/>
    </row>
    <row r="148" spans="1:9" x14ac:dyDescent="0.2">
      <c r="A148" s="109" t="s">
        <v>817</v>
      </c>
      <c r="B148" s="110" t="s">
        <v>850</v>
      </c>
      <c r="C148" s="111"/>
      <c r="D148" s="111"/>
      <c r="E148" s="111"/>
      <c r="F148" s="111"/>
      <c r="G148" s="111"/>
      <c r="H148" s="111"/>
      <c r="I148" s="111"/>
    </row>
    <row r="149" spans="1:9" x14ac:dyDescent="0.2">
      <c r="A149" s="109" t="s">
        <v>772</v>
      </c>
      <c r="B149" s="110" t="s">
        <v>851</v>
      </c>
      <c r="C149" s="111"/>
      <c r="D149" s="111"/>
      <c r="E149" s="111"/>
      <c r="F149" s="111"/>
      <c r="G149" s="111"/>
      <c r="H149" s="111"/>
      <c r="I149" s="111"/>
    </row>
    <row r="150" spans="1:9" x14ac:dyDescent="0.2">
      <c r="A150" s="109" t="s">
        <v>818</v>
      </c>
      <c r="B150" s="110" t="s">
        <v>814</v>
      </c>
      <c r="C150" s="111"/>
      <c r="D150" s="111"/>
      <c r="E150" s="111"/>
      <c r="F150" s="111"/>
      <c r="G150" s="111"/>
      <c r="H150" s="111"/>
      <c r="I150" s="111"/>
    </row>
    <row r="151" spans="1:9" x14ac:dyDescent="0.2">
      <c r="A151" s="109" t="s">
        <v>970</v>
      </c>
      <c r="B151" s="110" t="s">
        <v>971</v>
      </c>
      <c r="C151" s="111"/>
      <c r="D151" s="111"/>
      <c r="E151" s="111"/>
      <c r="F151" s="111"/>
      <c r="G151" s="111"/>
      <c r="H151" s="111"/>
      <c r="I151" s="111"/>
    </row>
    <row r="152" spans="1:9" x14ac:dyDescent="0.2">
      <c r="A152" s="109" t="s">
        <v>940</v>
      </c>
      <c r="B152" s="110" t="s">
        <v>852</v>
      </c>
      <c r="C152" s="111"/>
      <c r="D152" s="111"/>
      <c r="E152" s="111"/>
      <c r="F152" s="111"/>
      <c r="G152" s="111"/>
      <c r="H152" s="111"/>
      <c r="I152" s="111"/>
    </row>
    <row r="153" spans="1:9" x14ac:dyDescent="0.2">
      <c r="A153" s="109" t="s">
        <v>820</v>
      </c>
      <c r="B153" s="110" t="s">
        <v>790</v>
      </c>
      <c r="C153" s="111"/>
      <c r="D153" s="111"/>
      <c r="E153" s="111"/>
      <c r="F153" s="111"/>
      <c r="G153" s="111"/>
      <c r="H153" s="111"/>
      <c r="I153" s="111"/>
    </row>
    <row r="154" spans="1:9" x14ac:dyDescent="0.2">
      <c r="A154" s="109" t="s">
        <v>821</v>
      </c>
      <c r="B154" s="110"/>
      <c r="C154" s="111"/>
      <c r="D154" s="111"/>
      <c r="E154" s="111"/>
      <c r="F154" s="111"/>
      <c r="G154" s="111"/>
      <c r="H154" s="111"/>
      <c r="I154" s="111"/>
    </row>
    <row r="155" spans="1:9" ht="17" thickBot="1" x14ac:dyDescent="0.25">
      <c r="A155" s="109" t="s">
        <v>793</v>
      </c>
      <c r="B155" s="112">
        <v>2</v>
      </c>
      <c r="C155" s="113"/>
      <c r="D155" s="113"/>
      <c r="E155" s="113"/>
      <c r="F155" s="113"/>
      <c r="G155" s="113"/>
      <c r="H155" s="113"/>
      <c r="I155" s="113"/>
    </row>
    <row r="156" spans="1:9" x14ac:dyDescent="0.2">
      <c r="A156" s="114" t="s">
        <v>784</v>
      </c>
      <c r="B156" s="115" t="s">
        <v>785</v>
      </c>
      <c r="C156" s="115" t="s">
        <v>787</v>
      </c>
      <c r="D156" s="115"/>
      <c r="E156" s="115" t="s">
        <v>788</v>
      </c>
      <c r="F156" s="115" t="s">
        <v>807</v>
      </c>
      <c r="G156" s="115" t="s">
        <v>808</v>
      </c>
      <c r="H156" s="115" t="s">
        <v>811</v>
      </c>
      <c r="I156" s="115" t="s">
        <v>812</v>
      </c>
    </row>
    <row r="157" spans="1:9" x14ac:dyDescent="0.2">
      <c r="A157" s="116">
        <v>0</v>
      </c>
      <c r="B157" s="117" t="s">
        <v>208</v>
      </c>
      <c r="C157" s="117" t="s">
        <v>852</v>
      </c>
      <c r="D157" s="117"/>
      <c r="E157" s="118" t="s">
        <v>853</v>
      </c>
      <c r="F157" s="118">
        <v>0</v>
      </c>
      <c r="G157" s="118">
        <v>4</v>
      </c>
      <c r="H157" s="118">
        <v>1</v>
      </c>
      <c r="I157" s="118"/>
    </row>
    <row r="158" spans="1:9" x14ac:dyDescent="0.2">
      <c r="A158" s="116">
        <v>1</v>
      </c>
      <c r="B158" s="117" t="s">
        <v>208</v>
      </c>
      <c r="C158" s="117" t="s">
        <v>854</v>
      </c>
      <c r="D158" s="117"/>
      <c r="E158" s="118" t="s">
        <v>910</v>
      </c>
      <c r="F158" s="118">
        <v>0</v>
      </c>
      <c r="G158" s="118">
        <v>8</v>
      </c>
      <c r="H158" s="118">
        <v>4</v>
      </c>
      <c r="I158" s="118"/>
    </row>
    <row r="159" spans="1:9" ht="17" thickBot="1" x14ac:dyDescent="0.25">
      <c r="I159"/>
    </row>
    <row r="160" spans="1:9" x14ac:dyDescent="0.2">
      <c r="A160" s="94" t="s">
        <v>816</v>
      </c>
      <c r="B160" s="95" t="s">
        <v>855</v>
      </c>
      <c r="C160" s="96"/>
      <c r="D160" s="96"/>
      <c r="E160" s="96"/>
      <c r="F160" s="96"/>
      <c r="G160" s="96"/>
      <c r="H160" s="96"/>
      <c r="I160" s="96"/>
    </row>
    <row r="161" spans="1:9" x14ac:dyDescent="0.2">
      <c r="A161" s="97" t="s">
        <v>817</v>
      </c>
      <c r="B161" s="98" t="s">
        <v>859</v>
      </c>
      <c r="C161" s="57"/>
      <c r="D161" s="57"/>
      <c r="E161" s="57"/>
      <c r="F161" s="57"/>
      <c r="G161" s="57"/>
      <c r="H161" s="57"/>
      <c r="I161" s="57"/>
    </row>
    <row r="162" spans="1:9" x14ac:dyDescent="0.2">
      <c r="A162" s="97" t="s">
        <v>772</v>
      </c>
      <c r="B162" s="98" t="s">
        <v>860</v>
      </c>
      <c r="C162" s="57"/>
      <c r="D162" s="57"/>
      <c r="E162" s="57"/>
      <c r="F162" s="57"/>
      <c r="G162" s="57"/>
      <c r="H162" s="57"/>
      <c r="I162" s="57"/>
    </row>
    <row r="163" spans="1:9" x14ac:dyDescent="0.2">
      <c r="A163" s="97" t="s">
        <v>818</v>
      </c>
      <c r="B163" s="98" t="s">
        <v>814</v>
      </c>
      <c r="C163" s="57"/>
      <c r="D163" s="57"/>
      <c r="E163" s="57"/>
      <c r="F163" s="57"/>
      <c r="G163" s="57"/>
      <c r="H163" s="57"/>
      <c r="I163" s="57"/>
    </row>
    <row r="164" spans="1:9" x14ac:dyDescent="0.2">
      <c r="A164" s="97" t="s">
        <v>970</v>
      </c>
      <c r="B164" s="98" t="s">
        <v>971</v>
      </c>
      <c r="C164" s="57"/>
      <c r="D164" s="57"/>
      <c r="E164" s="57"/>
      <c r="F164" s="57"/>
      <c r="G164" s="57"/>
      <c r="H164" s="57"/>
      <c r="I164" s="57"/>
    </row>
    <row r="165" spans="1:9" x14ac:dyDescent="0.2">
      <c r="A165" s="97" t="s">
        <v>940</v>
      </c>
      <c r="B165" s="98" t="s">
        <v>942</v>
      </c>
      <c r="C165" s="57"/>
      <c r="D165" s="57"/>
      <c r="E165" s="57"/>
      <c r="F165" s="57"/>
      <c r="G165" s="57"/>
      <c r="H165" s="57"/>
      <c r="I165" s="57"/>
    </row>
    <row r="166" spans="1:9" x14ac:dyDescent="0.2">
      <c r="A166" s="97" t="s">
        <v>820</v>
      </c>
      <c r="B166" s="98" t="s">
        <v>790</v>
      </c>
      <c r="C166" s="57"/>
      <c r="D166" s="57"/>
      <c r="E166" s="57"/>
      <c r="F166" s="57"/>
      <c r="G166" s="57"/>
      <c r="H166" s="57"/>
      <c r="I166" s="57"/>
    </row>
    <row r="167" spans="1:9" x14ac:dyDescent="0.2">
      <c r="A167" s="97" t="s">
        <v>821</v>
      </c>
      <c r="B167" s="98"/>
      <c r="C167" s="57"/>
      <c r="D167" s="57"/>
      <c r="E167" s="57"/>
      <c r="F167" s="57"/>
      <c r="G167" s="57"/>
      <c r="H167" s="57"/>
      <c r="I167" s="57"/>
    </row>
    <row r="168" spans="1:9" ht="17" thickBot="1" x14ac:dyDescent="0.25">
      <c r="A168" s="97" t="s">
        <v>793</v>
      </c>
      <c r="B168" s="99">
        <v>2</v>
      </c>
      <c r="C168" s="100"/>
      <c r="D168" s="100"/>
      <c r="E168" s="100"/>
      <c r="F168" s="100"/>
      <c r="G168" s="100"/>
      <c r="H168" s="100"/>
      <c r="I168" s="100"/>
    </row>
    <row r="169" spans="1:9" x14ac:dyDescent="0.2">
      <c r="A169" s="101" t="s">
        <v>784</v>
      </c>
      <c r="B169" s="102" t="s">
        <v>785</v>
      </c>
      <c r="C169" s="102" t="s">
        <v>787</v>
      </c>
      <c r="D169" s="102"/>
      <c r="E169" s="102" t="s">
        <v>788</v>
      </c>
      <c r="F169" s="102" t="s">
        <v>807</v>
      </c>
      <c r="G169" s="102" t="s">
        <v>808</v>
      </c>
      <c r="H169" s="102" t="s">
        <v>811</v>
      </c>
      <c r="I169" s="102" t="s">
        <v>812</v>
      </c>
    </row>
    <row r="170" spans="1:9" x14ac:dyDescent="0.2">
      <c r="A170" s="103">
        <v>0</v>
      </c>
      <c r="B170" s="104" t="s">
        <v>208</v>
      </c>
      <c r="C170" s="104" t="s">
        <v>856</v>
      </c>
      <c r="D170" s="104"/>
      <c r="E170" s="105" t="s">
        <v>857</v>
      </c>
      <c r="F170" s="105">
        <v>0</v>
      </c>
      <c r="G170" s="105">
        <v>4</v>
      </c>
      <c r="H170" s="105">
        <v>1</v>
      </c>
      <c r="I170" s="105"/>
    </row>
    <row r="171" spans="1:9" x14ac:dyDescent="0.2">
      <c r="A171" s="103">
        <v>1</v>
      </c>
      <c r="B171" s="104" t="s">
        <v>208</v>
      </c>
      <c r="C171" s="104" t="s">
        <v>909</v>
      </c>
      <c r="D171" s="104"/>
      <c r="E171" s="105" t="s">
        <v>858</v>
      </c>
      <c r="F171" s="105">
        <v>0</v>
      </c>
      <c r="G171" s="105">
        <v>8</v>
      </c>
      <c r="H171" s="105">
        <v>4</v>
      </c>
      <c r="I171" s="105"/>
    </row>
    <row r="172" spans="1:9" ht="17" thickBot="1" x14ac:dyDescent="0.25">
      <c r="I172"/>
    </row>
    <row r="173" spans="1:9" x14ac:dyDescent="0.2">
      <c r="A173" s="119" t="s">
        <v>816</v>
      </c>
      <c r="B173" s="120" t="s">
        <v>861</v>
      </c>
      <c r="C173" s="121"/>
      <c r="D173" s="121"/>
      <c r="E173" s="121"/>
      <c r="F173" s="121"/>
      <c r="G173" s="121"/>
      <c r="H173" s="121"/>
      <c r="I173" s="121"/>
    </row>
    <row r="174" spans="1:9" x14ac:dyDescent="0.2">
      <c r="A174" s="122" t="s">
        <v>817</v>
      </c>
      <c r="B174" s="123" t="s">
        <v>862</v>
      </c>
      <c r="C174" s="124"/>
      <c r="D174" s="124"/>
      <c r="E174" s="124"/>
      <c r="F174" s="124"/>
      <c r="G174" s="124"/>
      <c r="H174" s="124"/>
      <c r="I174" s="124"/>
    </row>
    <row r="175" spans="1:9" x14ac:dyDescent="0.2">
      <c r="A175" s="122" t="s">
        <v>772</v>
      </c>
      <c r="B175" s="123" t="s">
        <v>863</v>
      </c>
      <c r="C175" s="124"/>
      <c r="D175" s="124"/>
      <c r="E175" s="124"/>
      <c r="F175" s="124"/>
      <c r="G175" s="124"/>
      <c r="H175" s="124"/>
      <c r="I175" s="124"/>
    </row>
    <row r="176" spans="1:9" x14ac:dyDescent="0.2">
      <c r="A176" s="122" t="s">
        <v>818</v>
      </c>
      <c r="B176" s="123" t="s">
        <v>814</v>
      </c>
      <c r="C176" s="124"/>
      <c r="D176" s="124"/>
      <c r="E176" s="124"/>
      <c r="F176" s="124"/>
      <c r="G176" s="124"/>
      <c r="H176" s="124"/>
      <c r="I176" s="124"/>
    </row>
    <row r="177" spans="1:9" x14ac:dyDescent="0.2">
      <c r="A177" s="122" t="s">
        <v>970</v>
      </c>
      <c r="B177" s="123" t="s">
        <v>912</v>
      </c>
      <c r="C177" s="124"/>
      <c r="D177" s="124"/>
      <c r="E177" s="124"/>
      <c r="F177" s="124"/>
      <c r="G177" s="124"/>
      <c r="H177" s="124"/>
      <c r="I177" s="124"/>
    </row>
    <row r="178" spans="1:9" x14ac:dyDescent="0.2">
      <c r="A178" s="122" t="s">
        <v>940</v>
      </c>
      <c r="B178" s="123" t="s">
        <v>941</v>
      </c>
      <c r="C178" s="124"/>
      <c r="D178" s="124"/>
      <c r="E178" s="124"/>
      <c r="F178" s="124"/>
      <c r="G178" s="124"/>
      <c r="H178" s="124"/>
      <c r="I178" s="124"/>
    </row>
    <row r="179" spans="1:9" x14ac:dyDescent="0.2">
      <c r="A179" s="122" t="s">
        <v>820</v>
      </c>
      <c r="B179" s="123" t="s">
        <v>864</v>
      </c>
      <c r="C179" s="124"/>
      <c r="D179" s="124"/>
      <c r="E179" s="124"/>
      <c r="F179" s="124"/>
      <c r="G179" s="124"/>
      <c r="H179" s="124"/>
      <c r="I179" s="124"/>
    </row>
    <row r="180" spans="1:9" x14ac:dyDescent="0.2">
      <c r="A180" s="122" t="s">
        <v>821</v>
      </c>
      <c r="B180" s="123"/>
      <c r="C180" s="124"/>
      <c r="D180" s="124"/>
      <c r="E180" s="124"/>
      <c r="F180" s="124"/>
      <c r="G180" s="124"/>
      <c r="H180" s="124"/>
      <c r="I180" s="124"/>
    </row>
    <row r="181" spans="1:9" ht="17" thickBot="1" x14ac:dyDescent="0.25">
      <c r="A181" s="122" t="s">
        <v>793</v>
      </c>
      <c r="B181" s="125">
        <v>16</v>
      </c>
      <c r="C181" s="126"/>
      <c r="D181" s="126"/>
      <c r="E181" s="126"/>
      <c r="F181" s="126"/>
      <c r="G181" s="126"/>
      <c r="H181" s="126"/>
      <c r="I181" s="126"/>
    </row>
    <row r="182" spans="1:9" x14ac:dyDescent="0.2">
      <c r="A182" s="127" t="s">
        <v>784</v>
      </c>
      <c r="B182" s="128" t="s">
        <v>785</v>
      </c>
      <c r="C182" s="128" t="s">
        <v>787</v>
      </c>
      <c r="D182" s="128"/>
      <c r="E182" s="130" t="s">
        <v>788</v>
      </c>
      <c r="F182" s="128" t="s">
        <v>807</v>
      </c>
      <c r="G182" s="128" t="s">
        <v>808</v>
      </c>
      <c r="H182" s="128" t="s">
        <v>811</v>
      </c>
      <c r="I182" s="128" t="s">
        <v>812</v>
      </c>
    </row>
    <row r="183" spans="1:9" x14ac:dyDescent="0.2">
      <c r="A183" s="129">
        <v>0</v>
      </c>
      <c r="B183" s="130" t="s">
        <v>87</v>
      </c>
      <c r="C183" s="130" t="s">
        <v>1200</v>
      </c>
      <c r="D183" s="130"/>
      <c r="E183" s="131" t="s">
        <v>1224</v>
      </c>
      <c r="F183" s="131">
        <v>0</v>
      </c>
      <c r="G183" s="131">
        <v>50</v>
      </c>
      <c r="H183" s="131">
        <v>10</v>
      </c>
      <c r="I183" s="131" t="s">
        <v>865</v>
      </c>
    </row>
    <row r="184" spans="1:9" x14ac:dyDescent="0.2">
      <c r="A184" s="129">
        <v>1</v>
      </c>
      <c r="B184" s="130" t="s">
        <v>87</v>
      </c>
      <c r="C184" s="130" t="s">
        <v>1201</v>
      </c>
      <c r="D184" s="130"/>
      <c r="E184" s="131" t="s">
        <v>1225</v>
      </c>
      <c r="F184" s="131">
        <v>0</v>
      </c>
      <c r="G184" s="131">
        <v>5000</v>
      </c>
      <c r="H184" s="131">
        <v>2000</v>
      </c>
      <c r="I184" s="131" t="s">
        <v>866</v>
      </c>
    </row>
    <row r="185" spans="1:9" x14ac:dyDescent="0.2">
      <c r="A185" s="129">
        <v>2</v>
      </c>
      <c r="B185" s="130" t="s">
        <v>87</v>
      </c>
      <c r="C185" s="130" t="s">
        <v>1047</v>
      </c>
      <c r="D185" s="130"/>
      <c r="E185" s="131" t="s">
        <v>1210</v>
      </c>
      <c r="F185" s="131">
        <v>0</v>
      </c>
      <c r="G185" s="131">
        <v>100</v>
      </c>
      <c r="H185" s="131">
        <v>50</v>
      </c>
      <c r="I185" s="131" t="s">
        <v>115</v>
      </c>
    </row>
    <row r="186" spans="1:9" x14ac:dyDescent="0.2">
      <c r="A186" s="129">
        <v>3</v>
      </c>
      <c r="B186" s="130" t="s">
        <v>87</v>
      </c>
      <c r="C186" s="130" t="s">
        <v>1049</v>
      </c>
      <c r="D186" s="130"/>
      <c r="E186" s="131" t="s">
        <v>1211</v>
      </c>
      <c r="F186" s="131">
        <v>-5</v>
      </c>
      <c r="G186" s="131">
        <v>125</v>
      </c>
      <c r="H186" s="131">
        <v>80</v>
      </c>
      <c r="I186" s="131" t="s">
        <v>831</v>
      </c>
    </row>
    <row r="187" spans="1:9" x14ac:dyDescent="0.2">
      <c r="A187" s="129">
        <v>4</v>
      </c>
      <c r="B187" s="130" t="s">
        <v>87</v>
      </c>
      <c r="C187" s="130" t="s">
        <v>1240</v>
      </c>
      <c r="D187" s="130"/>
      <c r="E187" s="131" t="s">
        <v>1242</v>
      </c>
      <c r="F187" s="131">
        <v>0</v>
      </c>
      <c r="G187" s="131">
        <v>14400</v>
      </c>
      <c r="H187" s="131">
        <v>60</v>
      </c>
      <c r="I187" s="131" t="s">
        <v>1243</v>
      </c>
    </row>
    <row r="188" spans="1:9" ht="15" customHeight="1" x14ac:dyDescent="0.2">
      <c r="A188" s="129">
        <v>5</v>
      </c>
      <c r="B188" s="130" t="s">
        <v>87</v>
      </c>
      <c r="C188" s="130" t="s">
        <v>1202</v>
      </c>
      <c r="D188" s="130"/>
      <c r="E188" s="131" t="s">
        <v>1212</v>
      </c>
      <c r="F188" s="131">
        <v>0</v>
      </c>
      <c r="G188" s="131">
        <v>1</v>
      </c>
      <c r="H188" s="131">
        <v>1</v>
      </c>
      <c r="I188" s="131" t="s">
        <v>867</v>
      </c>
    </row>
    <row r="189" spans="1:9" x14ac:dyDescent="0.2">
      <c r="A189" s="129">
        <v>6</v>
      </c>
      <c r="B189" s="130" t="s">
        <v>87</v>
      </c>
      <c r="C189" s="130" t="s">
        <v>1203</v>
      </c>
      <c r="D189" s="130"/>
      <c r="E189" s="131" t="s">
        <v>1226</v>
      </c>
      <c r="F189" s="131">
        <v>1</v>
      </c>
      <c r="G189" s="131">
        <v>22</v>
      </c>
      <c r="H189" s="131">
        <v>1</v>
      </c>
      <c r="I189" s="131" t="s">
        <v>868</v>
      </c>
    </row>
    <row r="190" spans="1:9" x14ac:dyDescent="0.2">
      <c r="A190" s="129">
        <v>7</v>
      </c>
      <c r="B190" s="130" t="s">
        <v>87</v>
      </c>
      <c r="C190" s="130" t="s">
        <v>1204</v>
      </c>
      <c r="D190" s="130"/>
      <c r="E190" s="131" t="s">
        <v>1095</v>
      </c>
      <c r="F190" s="131">
        <v>0</v>
      </c>
      <c r="G190" s="131">
        <v>1</v>
      </c>
      <c r="H190" s="131">
        <v>1</v>
      </c>
      <c r="I190" s="131"/>
    </row>
    <row r="191" spans="1:9" x14ac:dyDescent="0.2">
      <c r="A191" s="129">
        <v>8</v>
      </c>
      <c r="B191" s="130" t="s">
        <v>87</v>
      </c>
      <c r="C191" s="130" t="s">
        <v>1205</v>
      </c>
      <c r="D191" s="130"/>
      <c r="E191" s="131" t="s">
        <v>758</v>
      </c>
      <c r="F191" s="131">
        <v>1</v>
      </c>
      <c r="G191" s="131">
        <v>22</v>
      </c>
      <c r="H191" s="131">
        <v>1</v>
      </c>
      <c r="I191" s="131"/>
    </row>
    <row r="192" spans="1:9" x14ac:dyDescent="0.2">
      <c r="A192" s="129">
        <v>9</v>
      </c>
      <c r="B192" s="130" t="s">
        <v>87</v>
      </c>
      <c r="C192" s="130" t="s">
        <v>209</v>
      </c>
      <c r="D192" s="130"/>
      <c r="E192" s="131" t="s">
        <v>1216</v>
      </c>
      <c r="F192" s="131">
        <v>0</v>
      </c>
      <c r="G192" s="131">
        <v>28800</v>
      </c>
      <c r="H192" s="131"/>
      <c r="I192" s="131"/>
    </row>
    <row r="193" spans="1:9" x14ac:dyDescent="0.2">
      <c r="A193" s="129">
        <v>10</v>
      </c>
      <c r="B193" s="130" t="s">
        <v>87</v>
      </c>
      <c r="C193" s="130" t="s">
        <v>210</v>
      </c>
      <c r="D193" s="130"/>
      <c r="E193" s="131" t="s">
        <v>1216</v>
      </c>
      <c r="F193" s="131"/>
      <c r="G193" s="131"/>
      <c r="H193" s="131"/>
      <c r="I193" s="131"/>
    </row>
    <row r="194" spans="1:9" x14ac:dyDescent="0.2">
      <c r="A194" s="129">
        <v>11</v>
      </c>
      <c r="B194" s="130" t="s">
        <v>87</v>
      </c>
      <c r="C194" s="130" t="s">
        <v>211</v>
      </c>
      <c r="D194" s="130"/>
      <c r="E194" s="131" t="s">
        <v>1216</v>
      </c>
      <c r="F194" s="131"/>
      <c r="G194" s="131"/>
      <c r="H194" s="131"/>
      <c r="I194" s="131"/>
    </row>
    <row r="195" spans="1:9" x14ac:dyDescent="0.2">
      <c r="A195" s="129">
        <v>12</v>
      </c>
      <c r="B195" s="130" t="s">
        <v>87</v>
      </c>
      <c r="C195" s="130" t="s">
        <v>212</v>
      </c>
      <c r="D195" s="130"/>
      <c r="E195" s="131" t="s">
        <v>1216</v>
      </c>
      <c r="F195" s="131"/>
      <c r="G195" s="131"/>
      <c r="H195" s="131"/>
      <c r="I195" s="131"/>
    </row>
    <row r="196" spans="1:9" x14ac:dyDescent="0.2">
      <c r="A196" s="129">
        <v>13</v>
      </c>
      <c r="B196" s="130" t="s">
        <v>87</v>
      </c>
      <c r="C196" s="130" t="s">
        <v>213</v>
      </c>
      <c r="D196" s="130"/>
      <c r="E196" s="131" t="s">
        <v>1216</v>
      </c>
      <c r="F196" s="131"/>
      <c r="G196" s="131"/>
      <c r="H196" s="131"/>
      <c r="I196" s="131"/>
    </row>
    <row r="197" spans="1:9" x14ac:dyDescent="0.2">
      <c r="A197" s="129">
        <v>14</v>
      </c>
      <c r="B197" s="130" t="s">
        <v>87</v>
      </c>
      <c r="C197" s="130" t="s">
        <v>1206</v>
      </c>
      <c r="D197" s="130"/>
      <c r="E197" s="131" t="s">
        <v>29</v>
      </c>
      <c r="F197" s="131"/>
      <c r="G197" s="131"/>
      <c r="H197" s="131"/>
      <c r="I197" s="131"/>
    </row>
    <row r="198" spans="1:9" x14ac:dyDescent="0.2">
      <c r="A198" s="129">
        <v>15</v>
      </c>
      <c r="B198" s="130" t="s">
        <v>87</v>
      </c>
      <c r="C198" s="130" t="s">
        <v>1207</v>
      </c>
      <c r="D198" s="130"/>
      <c r="E198" s="131" t="s">
        <v>18</v>
      </c>
      <c r="F198" s="131"/>
      <c r="G198" s="131"/>
      <c r="H198" s="131"/>
      <c r="I198" s="131"/>
    </row>
    <row r="199" spans="1:9" ht="17" thickBot="1" x14ac:dyDescent="0.25">
      <c r="I199"/>
    </row>
    <row r="200" spans="1:9" x14ac:dyDescent="0.2">
      <c r="A200" s="106" t="s">
        <v>816</v>
      </c>
      <c r="B200" s="107" t="s">
        <v>925</v>
      </c>
      <c r="C200" s="108"/>
      <c r="D200" s="108"/>
      <c r="E200" s="108"/>
      <c r="F200" s="108"/>
      <c r="G200" s="108"/>
      <c r="H200" s="108"/>
      <c r="I200" s="108"/>
    </row>
    <row r="201" spans="1:9" x14ac:dyDescent="0.2">
      <c r="A201" s="109" t="s">
        <v>817</v>
      </c>
      <c r="B201" s="110" t="s">
        <v>926</v>
      </c>
      <c r="C201" s="111"/>
      <c r="D201" s="111"/>
      <c r="E201" s="111"/>
      <c r="F201" s="111"/>
      <c r="G201" s="111"/>
      <c r="H201" s="111"/>
      <c r="I201" s="111"/>
    </row>
    <row r="202" spans="1:9" x14ac:dyDescent="0.2">
      <c r="A202" s="109" t="s">
        <v>772</v>
      </c>
      <c r="B202" s="110" t="s">
        <v>927</v>
      </c>
      <c r="C202" s="111"/>
      <c r="D202" s="111"/>
      <c r="E202" s="111"/>
      <c r="F202" s="111"/>
      <c r="G202" s="111"/>
      <c r="H202" s="111"/>
      <c r="I202" s="111"/>
    </row>
    <row r="203" spans="1:9" x14ac:dyDescent="0.2">
      <c r="A203" s="109" t="s">
        <v>818</v>
      </c>
      <c r="B203" s="110" t="s">
        <v>937</v>
      </c>
      <c r="C203" s="111"/>
      <c r="D203" s="111"/>
      <c r="E203" s="111"/>
      <c r="F203" s="111"/>
      <c r="G203" s="111"/>
      <c r="H203" s="111"/>
      <c r="I203" s="111"/>
    </row>
    <row r="204" spans="1:9" x14ac:dyDescent="0.2">
      <c r="A204" s="109" t="s">
        <v>819</v>
      </c>
      <c r="B204" s="110" t="s">
        <v>921</v>
      </c>
      <c r="C204" s="111"/>
      <c r="D204" s="111"/>
      <c r="E204" s="111"/>
      <c r="F204" s="111"/>
      <c r="G204" s="111"/>
      <c r="H204" s="111"/>
      <c r="I204" s="111"/>
    </row>
    <row r="205" spans="1:9" x14ac:dyDescent="0.2">
      <c r="A205" s="109" t="s">
        <v>970</v>
      </c>
      <c r="B205" s="110" t="s">
        <v>971</v>
      </c>
      <c r="C205" s="111"/>
      <c r="D205" s="111"/>
      <c r="E205" s="111"/>
      <c r="F205" s="111"/>
      <c r="G205" s="111"/>
      <c r="H205" s="111"/>
      <c r="I205" s="111"/>
    </row>
    <row r="206" spans="1:9" x14ac:dyDescent="0.2">
      <c r="A206" s="109" t="s">
        <v>820</v>
      </c>
      <c r="B206" s="110" t="s">
        <v>939</v>
      </c>
      <c r="C206" s="111"/>
      <c r="D206" s="111"/>
      <c r="E206" s="111"/>
      <c r="F206" s="111"/>
      <c r="G206" s="111"/>
      <c r="H206" s="111"/>
      <c r="I206" s="111"/>
    </row>
    <row r="207" spans="1:9" x14ac:dyDescent="0.2">
      <c r="A207" s="109" t="s">
        <v>821</v>
      </c>
      <c r="B207" s="110" t="s">
        <v>968</v>
      </c>
      <c r="C207" s="111"/>
      <c r="D207" s="111"/>
      <c r="E207" s="111"/>
      <c r="F207" s="111"/>
      <c r="G207" s="111"/>
      <c r="H207" s="111"/>
      <c r="I207" s="111"/>
    </row>
    <row r="208" spans="1:9" ht="17" thickBot="1" x14ac:dyDescent="0.25">
      <c r="A208" s="109" t="s">
        <v>793</v>
      </c>
      <c r="B208" s="112">
        <v>7</v>
      </c>
      <c r="C208" s="113"/>
      <c r="D208" s="113"/>
      <c r="E208" s="113"/>
      <c r="F208" s="113"/>
      <c r="G208" s="113"/>
      <c r="H208" s="113"/>
      <c r="I208" s="113" t="s">
        <v>932</v>
      </c>
    </row>
    <row r="209" spans="1:9" x14ac:dyDescent="0.2">
      <c r="A209" s="114" t="s">
        <v>784</v>
      </c>
      <c r="B209" s="115" t="s">
        <v>785</v>
      </c>
      <c r="C209" s="115" t="s">
        <v>787</v>
      </c>
      <c r="D209" s="115"/>
      <c r="E209" s="115" t="s">
        <v>788</v>
      </c>
      <c r="F209" s="115" t="s">
        <v>807</v>
      </c>
      <c r="G209" s="115" t="s">
        <v>808</v>
      </c>
      <c r="H209" s="115" t="s">
        <v>811</v>
      </c>
      <c r="I209" s="115" t="s">
        <v>812</v>
      </c>
    </row>
    <row r="210" spans="1:9" x14ac:dyDescent="0.2">
      <c r="A210" s="116">
        <v>0</v>
      </c>
      <c r="B210" s="117" t="s">
        <v>934</v>
      </c>
      <c r="C210" s="117" t="s">
        <v>935</v>
      </c>
      <c r="D210" s="117"/>
      <c r="E210" s="118" t="s">
        <v>853</v>
      </c>
      <c r="F210" s="118"/>
      <c r="G210" s="118"/>
      <c r="H210" s="118"/>
      <c r="I210" s="118" t="s">
        <v>931</v>
      </c>
    </row>
    <row r="211" spans="1:9" ht="17" thickBot="1" x14ac:dyDescent="0.25">
      <c r="I211"/>
    </row>
    <row r="212" spans="1:9" x14ac:dyDescent="0.2">
      <c r="A212" s="94" t="s">
        <v>816</v>
      </c>
      <c r="B212" s="95" t="s">
        <v>928</v>
      </c>
      <c r="C212" s="96"/>
      <c r="D212" s="96"/>
      <c r="E212" s="96"/>
      <c r="F212" s="96"/>
      <c r="G212" s="96"/>
      <c r="H212" s="96"/>
      <c r="I212" s="96"/>
    </row>
    <row r="213" spans="1:9" x14ac:dyDescent="0.2">
      <c r="A213" s="97" t="s">
        <v>817</v>
      </c>
      <c r="B213" s="98" t="s">
        <v>929</v>
      </c>
      <c r="C213" s="57"/>
      <c r="D213" s="57"/>
      <c r="E213" s="57"/>
      <c r="F213" s="57"/>
      <c r="G213" s="57"/>
      <c r="H213" s="57"/>
      <c r="I213" s="57"/>
    </row>
    <row r="214" spans="1:9" x14ac:dyDescent="0.2">
      <c r="A214" s="97" t="s">
        <v>772</v>
      </c>
      <c r="B214" s="98" t="s">
        <v>930</v>
      </c>
      <c r="C214" s="57"/>
      <c r="D214" s="57"/>
      <c r="E214" s="57"/>
      <c r="F214" s="57"/>
      <c r="G214" s="57"/>
      <c r="H214" s="57"/>
      <c r="I214" s="57"/>
    </row>
    <row r="215" spans="1:9" x14ac:dyDescent="0.2">
      <c r="A215" s="97" t="s">
        <v>818</v>
      </c>
      <c r="B215" s="98" t="s">
        <v>937</v>
      </c>
      <c r="C215" s="57"/>
      <c r="D215" s="57"/>
      <c r="E215" s="57"/>
      <c r="F215" s="57"/>
      <c r="G215" s="57"/>
      <c r="H215" s="57"/>
      <c r="I215" s="57"/>
    </row>
    <row r="216" spans="1:9" x14ac:dyDescent="0.2">
      <c r="A216" s="97" t="s">
        <v>970</v>
      </c>
      <c r="B216" s="98" t="s">
        <v>971</v>
      </c>
      <c r="C216" s="57"/>
      <c r="D216" s="57"/>
      <c r="E216" s="57"/>
      <c r="F216" s="57"/>
      <c r="G216" s="57"/>
      <c r="H216" s="57"/>
      <c r="I216" s="57"/>
    </row>
    <row r="217" spans="1:9" x14ac:dyDescent="0.2">
      <c r="A217" s="97" t="s">
        <v>940</v>
      </c>
      <c r="B217" s="98" t="s">
        <v>942</v>
      </c>
      <c r="C217" s="57"/>
      <c r="D217" s="57"/>
      <c r="E217" s="57"/>
      <c r="F217" s="57"/>
      <c r="G217" s="57"/>
      <c r="H217" s="57"/>
      <c r="I217" s="57"/>
    </row>
    <row r="218" spans="1:9" x14ac:dyDescent="0.2">
      <c r="A218" s="97" t="s">
        <v>820</v>
      </c>
      <c r="B218" s="98" t="s">
        <v>939</v>
      </c>
      <c r="C218" s="57"/>
      <c r="D218" s="57"/>
      <c r="E218" s="57"/>
      <c r="F218" s="57"/>
      <c r="G218" s="57"/>
      <c r="H218" s="57"/>
      <c r="I218" s="57"/>
    </row>
    <row r="219" spans="1:9" x14ac:dyDescent="0.2">
      <c r="A219" s="97" t="s">
        <v>821</v>
      </c>
      <c r="B219" s="98" t="s">
        <v>969</v>
      </c>
      <c r="C219" s="57"/>
      <c r="D219" s="57"/>
      <c r="E219" s="57"/>
      <c r="F219" s="57"/>
      <c r="G219" s="57"/>
      <c r="H219" s="57"/>
      <c r="I219" s="57" t="s">
        <v>938</v>
      </c>
    </row>
    <row r="220" spans="1:9" ht="17" thickBot="1" x14ac:dyDescent="0.25">
      <c r="A220" s="97" t="s">
        <v>793</v>
      </c>
      <c r="B220" s="99">
        <v>255</v>
      </c>
      <c r="C220" s="100"/>
      <c r="D220" s="100"/>
      <c r="E220" s="100"/>
      <c r="F220" s="100"/>
      <c r="G220" s="100"/>
      <c r="H220" s="100"/>
      <c r="I220" s="100" t="s">
        <v>933</v>
      </c>
    </row>
    <row r="221" spans="1:9" x14ac:dyDescent="0.2">
      <c r="A221" s="101" t="s">
        <v>784</v>
      </c>
      <c r="B221" s="102" t="s">
        <v>785</v>
      </c>
      <c r="C221" s="102" t="s">
        <v>787</v>
      </c>
      <c r="D221" s="102"/>
      <c r="E221" s="102" t="s">
        <v>788</v>
      </c>
      <c r="F221" s="102" t="s">
        <v>807</v>
      </c>
      <c r="G221" s="102" t="s">
        <v>808</v>
      </c>
      <c r="H221" s="102" t="s">
        <v>811</v>
      </c>
      <c r="I221" s="102" t="s">
        <v>812</v>
      </c>
    </row>
    <row r="222" spans="1:9" x14ac:dyDescent="0.2">
      <c r="A222" s="103">
        <v>0</v>
      </c>
      <c r="B222" s="104" t="s">
        <v>934</v>
      </c>
      <c r="C222" s="104" t="s">
        <v>936</v>
      </c>
      <c r="D222" s="104"/>
      <c r="E222" s="105" t="s">
        <v>857</v>
      </c>
      <c r="F222" s="105"/>
      <c r="G222" s="105"/>
      <c r="H222" s="105"/>
      <c r="I222" s="105"/>
    </row>
    <row r="223" spans="1:9" ht="17" thickBot="1" x14ac:dyDescent="0.25">
      <c r="I223"/>
    </row>
    <row r="224" spans="1:9" x14ac:dyDescent="0.2">
      <c r="A224" s="119" t="s">
        <v>816</v>
      </c>
      <c r="B224" s="120" t="s">
        <v>869</v>
      </c>
      <c r="C224" s="121"/>
      <c r="D224" s="121"/>
      <c r="E224" s="121"/>
      <c r="F224" s="121"/>
      <c r="G224" s="121"/>
      <c r="H224" s="121"/>
      <c r="I224" s="121"/>
    </row>
    <row r="225" spans="1:9" x14ac:dyDescent="0.2">
      <c r="A225" s="122" t="s">
        <v>817</v>
      </c>
      <c r="B225" s="123" t="s">
        <v>870</v>
      </c>
      <c r="C225" s="124"/>
      <c r="D225" s="124"/>
      <c r="E225" s="124"/>
      <c r="F225" s="124"/>
      <c r="G225" s="124"/>
      <c r="H225" s="124"/>
      <c r="I225" s="124"/>
    </row>
    <row r="226" spans="1:9" x14ac:dyDescent="0.2">
      <c r="A226" s="122" t="s">
        <v>772</v>
      </c>
      <c r="B226" s="123" t="s">
        <v>871</v>
      </c>
      <c r="C226" s="124"/>
      <c r="D226" s="124"/>
      <c r="E226" s="124"/>
      <c r="F226" s="124"/>
      <c r="G226" s="124"/>
      <c r="H226" s="124"/>
      <c r="I226" s="124"/>
    </row>
    <row r="227" spans="1:9" x14ac:dyDescent="0.2">
      <c r="A227" s="122" t="s">
        <v>818</v>
      </c>
      <c r="B227" s="123" t="s">
        <v>826</v>
      </c>
      <c r="C227" s="124"/>
      <c r="D227" s="124"/>
      <c r="E227" s="124"/>
      <c r="F227" s="124"/>
      <c r="G227" s="124"/>
      <c r="H227" s="124"/>
      <c r="I227" s="124"/>
    </row>
    <row r="228" spans="1:9" x14ac:dyDescent="0.2">
      <c r="A228" s="122" t="s">
        <v>970</v>
      </c>
      <c r="B228" s="123" t="s">
        <v>912</v>
      </c>
      <c r="C228" s="124"/>
      <c r="D228" s="124"/>
      <c r="E228" s="124"/>
      <c r="F228" s="124"/>
      <c r="G228" s="124"/>
      <c r="H228" s="124"/>
      <c r="I228" s="124"/>
    </row>
    <row r="229" spans="1:9" x14ac:dyDescent="0.2">
      <c r="A229" s="122" t="s">
        <v>940</v>
      </c>
      <c r="B229" s="123" t="s">
        <v>941</v>
      </c>
      <c r="C229" s="124"/>
      <c r="D229" s="124"/>
      <c r="E229" s="124"/>
      <c r="F229" s="124"/>
      <c r="G229" s="124"/>
      <c r="H229" s="124"/>
      <c r="I229" s="124"/>
    </row>
    <row r="230" spans="1:9" x14ac:dyDescent="0.2">
      <c r="A230" s="122" t="s">
        <v>820</v>
      </c>
      <c r="B230" s="123" t="s">
        <v>872</v>
      </c>
      <c r="C230" s="124"/>
      <c r="D230" s="124"/>
      <c r="E230" s="124"/>
      <c r="F230" s="124"/>
      <c r="G230" s="124"/>
      <c r="H230" s="124"/>
      <c r="I230" s="124"/>
    </row>
    <row r="231" spans="1:9" x14ac:dyDescent="0.2">
      <c r="A231" s="122" t="s">
        <v>821</v>
      </c>
      <c r="B231" s="123"/>
      <c r="C231" s="124"/>
      <c r="D231" s="124"/>
      <c r="E231" s="124"/>
      <c r="F231" s="124"/>
      <c r="G231" s="124"/>
      <c r="H231" s="124"/>
      <c r="I231" s="124"/>
    </row>
    <row r="232" spans="1:9" ht="17" thickBot="1" x14ac:dyDescent="0.25">
      <c r="A232" s="122" t="s">
        <v>793</v>
      </c>
      <c r="B232" s="125">
        <v>16</v>
      </c>
      <c r="C232" s="126"/>
      <c r="D232" s="126"/>
      <c r="E232" s="126"/>
      <c r="F232" s="126"/>
      <c r="G232" s="126"/>
      <c r="H232" s="126"/>
      <c r="I232" s="126"/>
    </row>
    <row r="233" spans="1:9" x14ac:dyDescent="0.2">
      <c r="A233" s="127" t="s">
        <v>784</v>
      </c>
      <c r="B233" s="128" t="s">
        <v>785</v>
      </c>
      <c r="C233" s="128" t="s">
        <v>787</v>
      </c>
      <c r="D233" s="128"/>
      <c r="E233" s="130" t="s">
        <v>788</v>
      </c>
      <c r="F233" s="128" t="s">
        <v>807</v>
      </c>
      <c r="G233" s="128" t="s">
        <v>808</v>
      </c>
      <c r="H233" s="128" t="s">
        <v>811</v>
      </c>
      <c r="I233" s="128" t="s">
        <v>812</v>
      </c>
    </row>
    <row r="234" spans="1:9" x14ac:dyDescent="0.2">
      <c r="A234" s="129">
        <v>0</v>
      </c>
      <c r="B234" s="130" t="s">
        <v>87</v>
      </c>
      <c r="C234" s="130" t="s">
        <v>1200</v>
      </c>
      <c r="D234" s="130"/>
      <c r="E234" s="131" t="s">
        <v>1208</v>
      </c>
      <c r="F234" s="131"/>
      <c r="G234" s="131"/>
      <c r="H234" s="131"/>
      <c r="I234" s="131"/>
    </row>
    <row r="235" spans="1:9" x14ac:dyDescent="0.2">
      <c r="A235" s="129">
        <v>1</v>
      </c>
      <c r="B235" s="130" t="s">
        <v>87</v>
      </c>
      <c r="C235" s="130" t="s">
        <v>1201</v>
      </c>
      <c r="D235" s="130"/>
      <c r="E235" s="131" t="s">
        <v>1209</v>
      </c>
      <c r="F235" s="131"/>
      <c r="G235" s="131"/>
      <c r="H235" s="131"/>
      <c r="I235" s="131"/>
    </row>
    <row r="236" spans="1:9" x14ac:dyDescent="0.2">
      <c r="A236" s="129">
        <v>2</v>
      </c>
      <c r="B236" s="130" t="s">
        <v>87</v>
      </c>
      <c r="C236" s="130" t="s">
        <v>1047</v>
      </c>
      <c r="D236" s="130"/>
      <c r="E236" s="131" t="s">
        <v>1229</v>
      </c>
      <c r="F236" s="131"/>
      <c r="G236" s="131"/>
      <c r="H236" s="131"/>
      <c r="I236" s="131"/>
    </row>
    <row r="237" spans="1:9" x14ac:dyDescent="0.2">
      <c r="A237" s="129">
        <v>3</v>
      </c>
      <c r="B237" s="130" t="s">
        <v>87</v>
      </c>
      <c r="C237" s="130" t="s">
        <v>1049</v>
      </c>
      <c r="D237" s="130"/>
      <c r="E237" s="131" t="s">
        <v>1230</v>
      </c>
      <c r="F237" s="131"/>
      <c r="G237" s="131"/>
      <c r="H237" s="131"/>
      <c r="I237" s="131"/>
    </row>
    <row r="238" spans="1:9" x14ac:dyDescent="0.2">
      <c r="A238" s="199">
        <v>4</v>
      </c>
      <c r="B238" s="200" t="s">
        <v>87</v>
      </c>
      <c r="C238" s="200" t="s">
        <v>1240</v>
      </c>
      <c r="D238" s="200"/>
      <c r="E238" s="201" t="s">
        <v>1242</v>
      </c>
      <c r="F238" s="201">
        <v>0</v>
      </c>
      <c r="G238" s="201">
        <v>14400</v>
      </c>
      <c r="H238" s="201">
        <v>60</v>
      </c>
      <c r="I238" s="201" t="s">
        <v>1243</v>
      </c>
    </row>
    <row r="239" spans="1:9" x14ac:dyDescent="0.2">
      <c r="A239" s="129">
        <v>5</v>
      </c>
      <c r="B239" s="130" t="s">
        <v>87</v>
      </c>
      <c r="C239" s="130" t="s">
        <v>1202</v>
      </c>
      <c r="D239" s="130"/>
      <c r="E239" s="131" t="s">
        <v>1212</v>
      </c>
      <c r="F239" s="131"/>
      <c r="G239" s="131"/>
      <c r="H239" s="131"/>
      <c r="I239" s="131"/>
    </row>
    <row r="240" spans="1:9" x14ac:dyDescent="0.2">
      <c r="A240" s="129">
        <v>6</v>
      </c>
      <c r="B240" s="130" t="s">
        <v>87</v>
      </c>
      <c r="C240" s="130" t="s">
        <v>1203</v>
      </c>
      <c r="D240" s="130"/>
      <c r="E240" s="131" t="s">
        <v>372</v>
      </c>
      <c r="F240" s="131"/>
      <c r="G240" s="131"/>
      <c r="H240" s="131"/>
      <c r="I240" s="131"/>
    </row>
    <row r="241" spans="1:9" x14ac:dyDescent="0.2">
      <c r="A241" s="129">
        <v>7</v>
      </c>
      <c r="B241" s="130" t="s">
        <v>87</v>
      </c>
      <c r="C241" s="130" t="s">
        <v>1204</v>
      </c>
      <c r="D241" s="130"/>
      <c r="E241" s="131" t="s">
        <v>1095</v>
      </c>
      <c r="F241" s="131"/>
      <c r="G241" s="131"/>
      <c r="H241" s="131"/>
      <c r="I241" s="131"/>
    </row>
    <row r="242" spans="1:9" x14ac:dyDescent="0.2">
      <c r="A242" s="199">
        <v>8</v>
      </c>
      <c r="B242" s="130" t="s">
        <v>87</v>
      </c>
      <c r="C242" s="130" t="s">
        <v>1205</v>
      </c>
      <c r="D242" s="130"/>
      <c r="E242" s="131" t="s">
        <v>758</v>
      </c>
      <c r="F242" s="131"/>
      <c r="G242" s="131"/>
      <c r="H242" s="131"/>
      <c r="I242" s="131"/>
    </row>
    <row r="243" spans="1:9" x14ac:dyDescent="0.2">
      <c r="A243" s="129">
        <v>9</v>
      </c>
      <c r="B243" s="130" t="s">
        <v>87</v>
      </c>
      <c r="C243" s="130" t="s">
        <v>286</v>
      </c>
      <c r="D243" s="130"/>
      <c r="E243" s="131" t="s">
        <v>20</v>
      </c>
      <c r="F243" s="131"/>
      <c r="G243" s="131"/>
      <c r="H243" s="131"/>
      <c r="I243" s="131"/>
    </row>
    <row r="244" spans="1:9" x14ac:dyDescent="0.2">
      <c r="A244" s="129">
        <v>10</v>
      </c>
      <c r="B244" s="130" t="s">
        <v>87</v>
      </c>
      <c r="C244" s="130" t="s">
        <v>287</v>
      </c>
      <c r="D244" s="130"/>
      <c r="E244" s="131" t="s">
        <v>18</v>
      </c>
      <c r="F244" s="131"/>
      <c r="G244" s="131"/>
      <c r="H244" s="131"/>
      <c r="I244" s="131"/>
    </row>
    <row r="245" spans="1:9" x14ac:dyDescent="0.2">
      <c r="A245" s="129">
        <v>11</v>
      </c>
      <c r="B245" s="130" t="s">
        <v>87</v>
      </c>
      <c r="C245" s="130" t="s">
        <v>288</v>
      </c>
      <c r="D245" s="130"/>
      <c r="E245" s="131" t="s">
        <v>22</v>
      </c>
      <c r="F245" s="131"/>
      <c r="G245" s="131"/>
      <c r="H245" s="131"/>
      <c r="I245" s="131"/>
    </row>
    <row r="246" spans="1:9" x14ac:dyDescent="0.2">
      <c r="A246" s="199">
        <v>12</v>
      </c>
      <c r="B246" s="130" t="s">
        <v>87</v>
      </c>
      <c r="C246" s="130" t="s">
        <v>873</v>
      </c>
      <c r="D246" s="130"/>
      <c r="E246" s="131" t="s">
        <v>875</v>
      </c>
      <c r="F246" s="131"/>
      <c r="G246" s="131"/>
      <c r="H246" s="131"/>
      <c r="I246" s="131"/>
    </row>
    <row r="247" spans="1:9" x14ac:dyDescent="0.2">
      <c r="A247" s="129">
        <v>13</v>
      </c>
      <c r="B247" s="130" t="s">
        <v>87</v>
      </c>
      <c r="C247" s="130" t="s">
        <v>874</v>
      </c>
      <c r="D247" s="130"/>
      <c r="E247" s="131" t="s">
        <v>876</v>
      </c>
      <c r="F247" s="131"/>
      <c r="G247" s="131"/>
      <c r="H247" s="131"/>
      <c r="I247" s="131"/>
    </row>
    <row r="248" spans="1:9" x14ac:dyDescent="0.2">
      <c r="A248" s="129">
        <v>14</v>
      </c>
      <c r="B248" s="130" t="s">
        <v>87</v>
      </c>
      <c r="C248" s="130" t="s">
        <v>1206</v>
      </c>
      <c r="D248" s="130"/>
      <c r="E248" s="131" t="s">
        <v>29</v>
      </c>
      <c r="F248" s="131"/>
      <c r="G248" s="131"/>
      <c r="H248" s="131"/>
      <c r="I248" s="131"/>
    </row>
    <row r="249" spans="1:9" x14ac:dyDescent="0.2">
      <c r="A249" s="129">
        <v>15</v>
      </c>
      <c r="B249" s="130" t="s">
        <v>87</v>
      </c>
      <c r="C249" s="130" t="s">
        <v>1207</v>
      </c>
      <c r="D249" s="130"/>
      <c r="E249" s="131" t="s">
        <v>18</v>
      </c>
      <c r="F249" s="131"/>
      <c r="G249" s="131"/>
      <c r="H249" s="131"/>
      <c r="I249" s="131"/>
    </row>
    <row r="250" spans="1:9" ht="17" thickBot="1" x14ac:dyDescent="0.25">
      <c r="I250"/>
    </row>
    <row r="251" spans="1:9" x14ac:dyDescent="0.2">
      <c r="A251" s="119" t="s">
        <v>816</v>
      </c>
      <c r="B251" s="120" t="s">
        <v>878</v>
      </c>
      <c r="C251" s="121"/>
      <c r="D251" s="121"/>
      <c r="E251" s="121"/>
      <c r="F251" s="121"/>
      <c r="G251" s="121"/>
      <c r="H251" s="121"/>
      <c r="I251" s="121"/>
    </row>
    <row r="252" spans="1:9" x14ac:dyDescent="0.2">
      <c r="A252" s="122" t="s">
        <v>817</v>
      </c>
      <c r="B252" s="123" t="s">
        <v>877</v>
      </c>
      <c r="C252" s="124"/>
      <c r="D252" s="124"/>
      <c r="E252" s="124"/>
      <c r="F252" s="124"/>
      <c r="G252" s="124"/>
      <c r="H252" s="124"/>
      <c r="I252" s="124"/>
    </row>
    <row r="253" spans="1:9" ht="29" customHeight="1" x14ac:dyDescent="0.2">
      <c r="A253" s="122" t="s">
        <v>772</v>
      </c>
      <c r="B253" s="123" t="s">
        <v>879</v>
      </c>
      <c r="C253" s="124"/>
      <c r="D253" s="124"/>
      <c r="E253" s="124"/>
      <c r="F253" s="124"/>
      <c r="G253" s="124"/>
      <c r="H253" s="124"/>
      <c r="I253" s="124"/>
    </row>
    <row r="254" spans="1:9" x14ac:dyDescent="0.2">
      <c r="A254" s="122" t="s">
        <v>818</v>
      </c>
      <c r="B254" s="123" t="s">
        <v>829</v>
      </c>
      <c r="C254" s="124"/>
      <c r="D254" s="124"/>
      <c r="E254" s="124"/>
      <c r="F254" s="124"/>
      <c r="G254" s="124"/>
      <c r="H254" s="124"/>
      <c r="I254" s="124"/>
    </row>
    <row r="255" spans="1:9" x14ac:dyDescent="0.2">
      <c r="A255" s="122" t="s">
        <v>970</v>
      </c>
      <c r="B255" s="123" t="s">
        <v>912</v>
      </c>
      <c r="C255" s="124"/>
      <c r="D255" s="124"/>
      <c r="E255" s="124"/>
      <c r="F255" s="124"/>
      <c r="G255" s="124"/>
      <c r="H255" s="124"/>
      <c r="I255" s="124"/>
    </row>
    <row r="256" spans="1:9" x14ac:dyDescent="0.2">
      <c r="A256" s="122" t="s">
        <v>940</v>
      </c>
      <c r="B256" s="123" t="s">
        <v>941</v>
      </c>
      <c r="C256" s="124"/>
      <c r="D256" s="124"/>
      <c r="E256" s="124"/>
      <c r="F256" s="124"/>
      <c r="G256" s="124"/>
      <c r="H256" s="124"/>
      <c r="I256" s="124"/>
    </row>
    <row r="257" spans="1:9" x14ac:dyDescent="0.2">
      <c r="A257" s="122" t="s">
        <v>820</v>
      </c>
      <c r="B257" s="123" t="s">
        <v>880</v>
      </c>
      <c r="C257" s="124"/>
      <c r="D257" s="124"/>
      <c r="E257" s="124"/>
      <c r="F257" s="124"/>
      <c r="G257" s="124"/>
      <c r="H257" s="124"/>
      <c r="I257" s="124"/>
    </row>
    <row r="258" spans="1:9" x14ac:dyDescent="0.2">
      <c r="A258" s="122" t="s">
        <v>821</v>
      </c>
      <c r="B258" s="123"/>
      <c r="C258" s="124"/>
      <c r="D258" s="124"/>
      <c r="E258" s="124"/>
      <c r="F258" s="124"/>
      <c r="G258" s="124"/>
      <c r="H258" s="124"/>
      <c r="I258" s="124"/>
    </row>
    <row r="259" spans="1:9" ht="17" thickBot="1" x14ac:dyDescent="0.25">
      <c r="A259" s="122" t="s">
        <v>793</v>
      </c>
      <c r="B259" s="125">
        <v>16</v>
      </c>
      <c r="C259" s="126"/>
      <c r="D259" s="126"/>
      <c r="E259" s="126"/>
      <c r="F259" s="126"/>
      <c r="G259" s="126"/>
      <c r="H259" s="126"/>
      <c r="I259" s="126"/>
    </row>
    <row r="260" spans="1:9" x14ac:dyDescent="0.2">
      <c r="A260" s="127" t="s">
        <v>784</v>
      </c>
      <c r="B260" s="128" t="s">
        <v>785</v>
      </c>
      <c r="C260" s="128" t="s">
        <v>787</v>
      </c>
      <c r="D260" s="128"/>
      <c r="E260" s="130" t="s">
        <v>788</v>
      </c>
      <c r="F260" s="128" t="s">
        <v>807</v>
      </c>
      <c r="G260" s="128" t="s">
        <v>808</v>
      </c>
      <c r="H260" s="128" t="s">
        <v>811</v>
      </c>
      <c r="I260" s="128" t="s">
        <v>812</v>
      </c>
    </row>
    <row r="261" spans="1:9" x14ac:dyDescent="0.2">
      <c r="A261" s="129">
        <v>0</v>
      </c>
      <c r="B261" s="130" t="s">
        <v>87</v>
      </c>
      <c r="C261" s="130" t="s">
        <v>1200</v>
      </c>
      <c r="D261" s="130"/>
      <c r="E261" s="131" t="s">
        <v>1213</v>
      </c>
      <c r="F261" s="131">
        <v>0</v>
      </c>
      <c r="G261" s="131">
        <v>25</v>
      </c>
      <c r="H261" s="131">
        <v>15</v>
      </c>
      <c r="I261" s="131"/>
    </row>
    <row r="262" spans="1:9" x14ac:dyDescent="0.2">
      <c r="A262" s="129">
        <v>1</v>
      </c>
      <c r="B262" s="130" t="s">
        <v>87</v>
      </c>
      <c r="C262" s="130" t="s">
        <v>1201</v>
      </c>
      <c r="D262" s="130"/>
      <c r="E262" s="131" t="s">
        <v>1214</v>
      </c>
      <c r="F262" s="131">
        <v>0</v>
      </c>
      <c r="G262" s="131">
        <v>5000</v>
      </c>
      <c r="H262" s="131">
        <v>100</v>
      </c>
      <c r="I262" s="131"/>
    </row>
    <row r="263" spans="1:9" x14ac:dyDescent="0.2">
      <c r="A263" s="129">
        <v>2</v>
      </c>
      <c r="B263" s="130" t="s">
        <v>87</v>
      </c>
      <c r="C263" s="130" t="s">
        <v>1047</v>
      </c>
      <c r="D263" s="130"/>
      <c r="E263" s="131" t="s">
        <v>1210</v>
      </c>
      <c r="F263" s="131">
        <v>0</v>
      </c>
      <c r="G263" s="131">
        <v>100</v>
      </c>
      <c r="H263" s="131">
        <v>65</v>
      </c>
      <c r="I263" s="131"/>
    </row>
    <row r="264" spans="1:9" x14ac:dyDescent="0.2">
      <c r="A264" s="129">
        <v>3</v>
      </c>
      <c r="B264" s="130" t="s">
        <v>87</v>
      </c>
      <c r="C264" s="130" t="s">
        <v>1049</v>
      </c>
      <c r="D264" s="130"/>
      <c r="E264" s="131" t="s">
        <v>1211</v>
      </c>
      <c r="F264" s="131">
        <v>0</v>
      </c>
      <c r="G264" s="131">
        <v>125</v>
      </c>
      <c r="H264" s="131">
        <v>80</v>
      </c>
      <c r="I264" s="131"/>
    </row>
    <row r="265" spans="1:9" x14ac:dyDescent="0.2">
      <c r="A265" s="199">
        <v>4</v>
      </c>
      <c r="B265" s="200" t="s">
        <v>87</v>
      </c>
      <c r="C265" s="200" t="s">
        <v>1240</v>
      </c>
      <c r="D265" s="200"/>
      <c r="E265" s="201" t="s">
        <v>1242</v>
      </c>
      <c r="F265" s="201">
        <v>0</v>
      </c>
      <c r="G265" s="201">
        <v>14400</v>
      </c>
      <c r="H265" s="201">
        <v>60</v>
      </c>
      <c r="I265" s="201" t="s">
        <v>1243</v>
      </c>
    </row>
    <row r="266" spans="1:9" x14ac:dyDescent="0.2">
      <c r="A266" s="129">
        <v>5</v>
      </c>
      <c r="B266" s="130" t="s">
        <v>87</v>
      </c>
      <c r="C266" s="130" t="s">
        <v>1202</v>
      </c>
      <c r="D266" s="130"/>
      <c r="E266" s="131" t="s">
        <v>1212</v>
      </c>
      <c r="F266" s="131"/>
      <c r="G266" s="131"/>
      <c r="H266" s="131"/>
      <c r="I266" s="131"/>
    </row>
    <row r="267" spans="1:9" x14ac:dyDescent="0.2">
      <c r="A267" s="129">
        <v>6</v>
      </c>
      <c r="B267" s="130" t="s">
        <v>87</v>
      </c>
      <c r="C267" s="130" t="s">
        <v>1203</v>
      </c>
      <c r="D267" s="130"/>
      <c r="E267" s="131" t="s">
        <v>1227</v>
      </c>
      <c r="F267" s="131"/>
      <c r="G267" s="131"/>
      <c r="H267" s="131"/>
      <c r="I267" s="131"/>
    </row>
    <row r="268" spans="1:9" x14ac:dyDescent="0.2">
      <c r="A268" s="129">
        <v>7</v>
      </c>
      <c r="B268" s="130" t="s">
        <v>87</v>
      </c>
      <c r="C268" s="130" t="s">
        <v>1204</v>
      </c>
      <c r="D268" s="130"/>
      <c r="E268" s="131" t="s">
        <v>1095</v>
      </c>
      <c r="F268" s="131"/>
      <c r="G268" s="131"/>
      <c r="H268" s="131"/>
      <c r="I268" s="131"/>
    </row>
    <row r="269" spans="1:9" x14ac:dyDescent="0.2">
      <c r="A269" s="199">
        <v>8</v>
      </c>
      <c r="B269" s="130" t="s">
        <v>87</v>
      </c>
      <c r="C269" s="130" t="s">
        <v>1205</v>
      </c>
      <c r="D269" s="130"/>
      <c r="E269" s="131" t="s">
        <v>758</v>
      </c>
      <c r="F269" s="131"/>
      <c r="G269" s="131"/>
      <c r="H269" s="131"/>
      <c r="I269" s="131"/>
    </row>
    <row r="270" spans="1:9" x14ac:dyDescent="0.2">
      <c r="A270" s="129">
        <v>9</v>
      </c>
      <c r="B270" s="130" t="s">
        <v>87</v>
      </c>
      <c r="C270" s="130" t="s">
        <v>209</v>
      </c>
      <c r="D270" s="130"/>
      <c r="E270" s="131" t="s">
        <v>972</v>
      </c>
      <c r="F270" s="131">
        <v>0</v>
      </c>
      <c r="G270" s="131">
        <v>28800</v>
      </c>
      <c r="H270" s="131"/>
      <c r="I270" s="131"/>
    </row>
    <row r="271" spans="1:9" x14ac:dyDescent="0.2">
      <c r="A271" s="129">
        <v>10</v>
      </c>
      <c r="B271" s="130" t="s">
        <v>87</v>
      </c>
      <c r="C271" s="130" t="s">
        <v>210</v>
      </c>
      <c r="D271" s="130"/>
      <c r="E271" s="131" t="s">
        <v>973</v>
      </c>
      <c r="F271" s="131"/>
      <c r="G271" s="131"/>
      <c r="H271" s="131"/>
      <c r="I271" s="131"/>
    </row>
    <row r="272" spans="1:9" x14ac:dyDescent="0.2">
      <c r="A272" s="129">
        <v>11</v>
      </c>
      <c r="B272" s="130" t="s">
        <v>87</v>
      </c>
      <c r="C272" s="130" t="s">
        <v>211</v>
      </c>
      <c r="D272" s="130"/>
      <c r="E272" s="131" t="s">
        <v>974</v>
      </c>
      <c r="F272" s="131"/>
      <c r="G272" s="131"/>
      <c r="H272" s="131"/>
      <c r="I272" s="131"/>
    </row>
    <row r="273" spans="1:9" x14ac:dyDescent="0.2">
      <c r="A273" s="199">
        <v>12</v>
      </c>
      <c r="B273" s="130" t="s">
        <v>87</v>
      </c>
      <c r="C273" s="130" t="s">
        <v>212</v>
      </c>
      <c r="D273" s="130"/>
      <c r="E273" s="131" t="s">
        <v>975</v>
      </c>
      <c r="F273" s="131"/>
      <c r="G273" s="131"/>
      <c r="H273" s="131"/>
      <c r="I273" s="131"/>
    </row>
    <row r="274" spans="1:9" x14ac:dyDescent="0.2">
      <c r="A274" s="129">
        <v>13</v>
      </c>
      <c r="B274" s="130" t="s">
        <v>87</v>
      </c>
      <c r="C274" s="130" t="s">
        <v>213</v>
      </c>
      <c r="D274" s="130"/>
      <c r="E274" s="131" t="s">
        <v>1215</v>
      </c>
      <c r="F274" s="131"/>
      <c r="G274" s="131"/>
      <c r="H274" s="131"/>
      <c r="I274" s="131"/>
    </row>
    <row r="275" spans="1:9" x14ac:dyDescent="0.2">
      <c r="A275" s="129">
        <v>14</v>
      </c>
      <c r="B275" s="130" t="s">
        <v>87</v>
      </c>
      <c r="C275" s="130" t="s">
        <v>1206</v>
      </c>
      <c r="D275" s="130"/>
      <c r="E275" s="131" t="s">
        <v>29</v>
      </c>
      <c r="F275" s="131"/>
      <c r="G275" s="131"/>
      <c r="H275" s="131"/>
      <c r="I275" s="131"/>
    </row>
    <row r="276" spans="1:9" x14ac:dyDescent="0.2">
      <c r="A276" s="129">
        <v>15</v>
      </c>
      <c r="B276" s="130" t="s">
        <v>87</v>
      </c>
      <c r="C276" s="130" t="s">
        <v>1207</v>
      </c>
      <c r="D276" s="130"/>
      <c r="E276" s="131" t="s">
        <v>18</v>
      </c>
      <c r="F276" s="131"/>
      <c r="G276" s="131"/>
      <c r="H276" s="131"/>
      <c r="I276" s="131"/>
    </row>
    <row r="277" spans="1:9" ht="17" thickBot="1" x14ac:dyDescent="0.25">
      <c r="I277"/>
    </row>
    <row r="278" spans="1:9" x14ac:dyDescent="0.2">
      <c r="A278" s="119" t="s">
        <v>816</v>
      </c>
      <c r="B278" s="120" t="s">
        <v>881</v>
      </c>
      <c r="C278" s="121"/>
      <c r="D278" s="121"/>
      <c r="E278" s="121"/>
      <c r="F278" s="121"/>
      <c r="G278" s="121"/>
      <c r="H278" s="121"/>
      <c r="I278" s="121"/>
    </row>
    <row r="279" spans="1:9" x14ac:dyDescent="0.2">
      <c r="A279" s="122" t="s">
        <v>817</v>
      </c>
      <c r="B279" s="123" t="s">
        <v>882</v>
      </c>
      <c r="C279" s="124"/>
      <c r="D279" s="124"/>
      <c r="E279" s="124"/>
      <c r="F279" s="124"/>
      <c r="G279" s="124"/>
      <c r="H279" s="124"/>
      <c r="I279" s="124"/>
    </row>
    <row r="280" spans="1:9" x14ac:dyDescent="0.2">
      <c r="A280" s="122" t="s">
        <v>772</v>
      </c>
      <c r="B280" s="123" t="s">
        <v>883</v>
      </c>
      <c r="C280" s="124"/>
      <c r="D280" s="124"/>
      <c r="E280" s="124"/>
      <c r="F280" s="124"/>
      <c r="G280" s="124"/>
      <c r="H280" s="124"/>
      <c r="I280" s="124"/>
    </row>
    <row r="281" spans="1:9" x14ac:dyDescent="0.2">
      <c r="A281" s="122" t="s">
        <v>818</v>
      </c>
      <c r="B281" s="123" t="s">
        <v>839</v>
      </c>
      <c r="C281" s="124"/>
      <c r="D281" s="124"/>
      <c r="E281" s="124"/>
      <c r="F281" s="124"/>
      <c r="G281" s="124"/>
      <c r="H281" s="124"/>
      <c r="I281" s="124"/>
    </row>
    <row r="282" spans="1:9" x14ac:dyDescent="0.2">
      <c r="A282" s="122" t="s">
        <v>970</v>
      </c>
      <c r="B282" s="123" t="s">
        <v>912</v>
      </c>
      <c r="C282" s="124"/>
      <c r="D282" s="124"/>
      <c r="E282" s="124"/>
      <c r="F282" s="124"/>
      <c r="G282" s="124"/>
      <c r="H282" s="124"/>
      <c r="I282" s="124"/>
    </row>
    <row r="283" spans="1:9" x14ac:dyDescent="0.2">
      <c r="A283" s="122" t="s">
        <v>940</v>
      </c>
      <c r="B283" s="123" t="s">
        <v>941</v>
      </c>
      <c r="C283" s="124"/>
      <c r="D283" s="124"/>
      <c r="E283" s="124"/>
      <c r="F283" s="124"/>
      <c r="G283" s="124"/>
      <c r="H283" s="124"/>
      <c r="I283" s="124"/>
    </row>
    <row r="284" spans="1:9" x14ac:dyDescent="0.2">
      <c r="A284" s="122" t="s">
        <v>820</v>
      </c>
      <c r="B284" s="123" t="s">
        <v>884</v>
      </c>
      <c r="C284" s="124"/>
      <c r="D284" s="124"/>
      <c r="E284" s="124"/>
      <c r="F284" s="124"/>
      <c r="G284" s="124"/>
      <c r="H284" s="124"/>
      <c r="I284" s="124"/>
    </row>
    <row r="285" spans="1:9" x14ac:dyDescent="0.2">
      <c r="A285" s="122" t="s">
        <v>821</v>
      </c>
      <c r="B285" s="123"/>
      <c r="C285" s="124"/>
      <c r="D285" s="124"/>
      <c r="E285" s="124"/>
      <c r="F285" s="124"/>
      <c r="G285" s="124"/>
      <c r="H285" s="124"/>
      <c r="I285" s="124"/>
    </row>
    <row r="286" spans="1:9" ht="17" thickBot="1" x14ac:dyDescent="0.25">
      <c r="A286" s="122" t="s">
        <v>793</v>
      </c>
      <c r="B286" s="125">
        <v>18</v>
      </c>
      <c r="C286" s="126"/>
      <c r="D286" s="126"/>
      <c r="E286" s="126"/>
      <c r="F286" s="126"/>
      <c r="G286" s="126"/>
      <c r="H286" s="126"/>
      <c r="I286" s="126"/>
    </row>
    <row r="287" spans="1:9" x14ac:dyDescent="0.2">
      <c r="A287" s="127" t="s">
        <v>784</v>
      </c>
      <c r="B287" s="128" t="s">
        <v>785</v>
      </c>
      <c r="C287" s="128" t="s">
        <v>787</v>
      </c>
      <c r="D287" s="128"/>
      <c r="E287" s="130" t="s">
        <v>788</v>
      </c>
      <c r="F287" s="128" t="s">
        <v>807</v>
      </c>
      <c r="G287" s="128" t="s">
        <v>808</v>
      </c>
      <c r="H287" s="128" t="s">
        <v>811</v>
      </c>
      <c r="I287" s="128" t="s">
        <v>812</v>
      </c>
    </row>
    <row r="288" spans="1:9" x14ac:dyDescent="0.2">
      <c r="A288" s="129">
        <v>0</v>
      </c>
      <c r="B288" s="130" t="s">
        <v>87</v>
      </c>
      <c r="C288" s="130" t="s">
        <v>398</v>
      </c>
      <c r="D288" s="130"/>
      <c r="E288" s="131" t="s">
        <v>376</v>
      </c>
      <c r="F288" s="131">
        <v>0</v>
      </c>
      <c r="G288" s="131">
        <v>1</v>
      </c>
      <c r="H288" s="131"/>
      <c r="I288" s="131"/>
    </row>
    <row r="289" spans="1:9" x14ac:dyDescent="0.2">
      <c r="A289" s="129">
        <v>1</v>
      </c>
      <c r="B289" s="130" t="s">
        <v>87</v>
      </c>
      <c r="C289" s="130" t="s">
        <v>399</v>
      </c>
      <c r="D289" s="130"/>
      <c r="E289" s="131" t="s">
        <v>377</v>
      </c>
      <c r="F289" s="131">
        <v>0</v>
      </c>
      <c r="G289" s="131">
        <v>1</v>
      </c>
      <c r="H289" s="131"/>
      <c r="I289" s="131"/>
    </row>
    <row r="290" spans="1:9" x14ac:dyDescent="0.2">
      <c r="A290" s="129">
        <v>2</v>
      </c>
      <c r="B290" s="130" t="s">
        <v>87</v>
      </c>
      <c r="C290" s="130" t="s">
        <v>400</v>
      </c>
      <c r="D290" s="130"/>
      <c r="E290" s="131" t="s">
        <v>378</v>
      </c>
      <c r="F290" s="131">
        <v>0</v>
      </c>
      <c r="G290" s="131">
        <v>1</v>
      </c>
      <c r="H290" s="131"/>
      <c r="I290" s="131"/>
    </row>
    <row r="291" spans="1:9" x14ac:dyDescent="0.2">
      <c r="A291" s="129">
        <v>3</v>
      </c>
      <c r="B291" s="130" t="s">
        <v>87</v>
      </c>
      <c r="C291" s="130" t="s">
        <v>401</v>
      </c>
      <c r="D291" s="130"/>
      <c r="E291" s="131" t="s">
        <v>379</v>
      </c>
      <c r="F291" s="131">
        <v>0</v>
      </c>
      <c r="G291" s="131">
        <v>1</v>
      </c>
      <c r="H291" s="131"/>
      <c r="I291" s="131"/>
    </row>
    <row r="292" spans="1:9" x14ac:dyDescent="0.2">
      <c r="A292" s="129">
        <v>4</v>
      </c>
      <c r="B292" s="130" t="s">
        <v>87</v>
      </c>
      <c r="C292" s="130" t="s">
        <v>295</v>
      </c>
      <c r="D292" s="130"/>
      <c r="E292" s="131" t="s">
        <v>380</v>
      </c>
      <c r="F292" s="131">
        <v>0</v>
      </c>
      <c r="G292" s="131">
        <v>100</v>
      </c>
      <c r="H292" s="131"/>
      <c r="I292" s="131"/>
    </row>
    <row r="293" spans="1:9" x14ac:dyDescent="0.2">
      <c r="A293" s="129">
        <v>5</v>
      </c>
      <c r="B293" s="130" t="s">
        <v>87</v>
      </c>
      <c r="C293" s="124" t="s">
        <v>357</v>
      </c>
      <c r="D293" s="130"/>
      <c r="E293" s="131" t="s">
        <v>383</v>
      </c>
      <c r="F293" s="131">
        <v>0</v>
      </c>
      <c r="G293" s="131">
        <v>150</v>
      </c>
      <c r="H293" s="131"/>
      <c r="I293" s="131"/>
    </row>
    <row r="294" spans="1:9" x14ac:dyDescent="0.2">
      <c r="A294" s="129">
        <v>6</v>
      </c>
      <c r="B294" s="130" t="s">
        <v>87</v>
      </c>
      <c r="C294" s="124" t="s">
        <v>402</v>
      </c>
      <c r="D294" s="130"/>
      <c r="E294" s="131" t="s">
        <v>381</v>
      </c>
      <c r="F294" s="131">
        <v>0</v>
      </c>
      <c r="G294" s="131">
        <v>1</v>
      </c>
      <c r="H294" s="131"/>
      <c r="I294" s="131"/>
    </row>
    <row r="295" spans="1:9" x14ac:dyDescent="0.2">
      <c r="A295" s="129">
        <v>7</v>
      </c>
      <c r="B295" s="130" t="s">
        <v>87</v>
      </c>
      <c r="C295" s="130" t="s">
        <v>403</v>
      </c>
      <c r="D295" s="130"/>
      <c r="E295" s="131" t="s">
        <v>382</v>
      </c>
      <c r="F295" s="131">
        <v>0</v>
      </c>
      <c r="G295" s="131">
        <v>1</v>
      </c>
      <c r="H295" s="131"/>
      <c r="I295" s="131"/>
    </row>
    <row r="296" spans="1:9" x14ac:dyDescent="0.2">
      <c r="A296" s="129">
        <v>8</v>
      </c>
      <c r="B296" s="130" t="s">
        <v>87</v>
      </c>
      <c r="C296" s="124" t="s">
        <v>290</v>
      </c>
      <c r="D296" s="130"/>
      <c r="E296" s="131" t="s">
        <v>29</v>
      </c>
      <c r="F296" s="131">
        <v>0</v>
      </c>
      <c r="G296" s="131">
        <v>28800</v>
      </c>
      <c r="H296" s="131"/>
      <c r="I296" s="131"/>
    </row>
    <row r="297" spans="1:9" x14ac:dyDescent="0.2">
      <c r="A297" s="129">
        <v>9</v>
      </c>
      <c r="B297" s="130" t="s">
        <v>87</v>
      </c>
      <c r="C297" s="130" t="s">
        <v>289</v>
      </c>
      <c r="D297" s="130"/>
      <c r="E297" s="131" t="s">
        <v>18</v>
      </c>
      <c r="F297" s="131"/>
      <c r="G297" s="131"/>
      <c r="H297" s="131"/>
      <c r="I297" s="131"/>
    </row>
    <row r="298" spans="1:9" x14ac:dyDescent="0.2">
      <c r="A298" s="129">
        <v>10</v>
      </c>
      <c r="B298" s="130" t="s">
        <v>87</v>
      </c>
      <c r="C298" s="130" t="s">
        <v>1021</v>
      </c>
      <c r="D298" s="130"/>
      <c r="E298" s="131" t="s">
        <v>1029</v>
      </c>
      <c r="F298" s="131">
        <v>0</v>
      </c>
      <c r="G298" s="131">
        <v>1024</v>
      </c>
      <c r="H298" s="131"/>
      <c r="I298" s="131"/>
    </row>
    <row r="299" spans="1:9" x14ac:dyDescent="0.2">
      <c r="A299" s="129">
        <v>11</v>
      </c>
      <c r="B299" s="130" t="s">
        <v>87</v>
      </c>
      <c r="C299" s="130" t="s">
        <v>1022</v>
      </c>
      <c r="D299" s="130"/>
      <c r="E299" s="131" t="s">
        <v>1030</v>
      </c>
      <c r="F299" s="131">
        <v>0</v>
      </c>
      <c r="G299" s="131">
        <v>1024</v>
      </c>
      <c r="H299" s="131"/>
      <c r="I299" s="131"/>
    </row>
    <row r="300" spans="1:9" x14ac:dyDescent="0.2">
      <c r="A300" s="129">
        <v>12</v>
      </c>
      <c r="B300" s="130" t="s">
        <v>87</v>
      </c>
      <c r="C300" s="130" t="s">
        <v>1023</v>
      </c>
      <c r="D300" s="130"/>
      <c r="E300" s="131" t="s">
        <v>1031</v>
      </c>
      <c r="F300" s="131">
        <v>0</v>
      </c>
      <c r="G300" s="131">
        <v>1024</v>
      </c>
      <c r="H300" s="131"/>
      <c r="I300" s="131"/>
    </row>
    <row r="301" spans="1:9" x14ac:dyDescent="0.2">
      <c r="A301" s="129">
        <v>13</v>
      </c>
      <c r="B301" s="130" t="s">
        <v>87</v>
      </c>
      <c r="C301" s="130" t="s">
        <v>1024</v>
      </c>
      <c r="D301" s="130"/>
      <c r="E301" s="131" t="s">
        <v>1032</v>
      </c>
      <c r="F301" s="131">
        <v>0</v>
      </c>
      <c r="G301" s="131">
        <v>1024</v>
      </c>
      <c r="H301" s="131"/>
      <c r="I301" s="131"/>
    </row>
    <row r="302" spans="1:9" x14ac:dyDescent="0.2">
      <c r="A302" s="129">
        <v>14</v>
      </c>
      <c r="B302" s="130" t="s">
        <v>87</v>
      </c>
      <c r="C302" s="130" t="s">
        <v>1025</v>
      </c>
      <c r="D302" s="130"/>
      <c r="E302" s="131" t="s">
        <v>1033</v>
      </c>
      <c r="F302" s="131">
        <v>0</v>
      </c>
      <c r="G302" s="131">
        <v>1024</v>
      </c>
      <c r="H302" s="131"/>
      <c r="I302" s="131"/>
    </row>
    <row r="303" spans="1:9" x14ac:dyDescent="0.2">
      <c r="A303" s="129">
        <v>15</v>
      </c>
      <c r="B303" s="130" t="s">
        <v>87</v>
      </c>
      <c r="C303" s="130" t="s">
        <v>1026</v>
      </c>
      <c r="D303" s="130"/>
      <c r="E303" s="131" t="s">
        <v>1034</v>
      </c>
      <c r="F303" s="131">
        <v>0</v>
      </c>
      <c r="G303" s="131">
        <v>1024</v>
      </c>
      <c r="H303" s="131"/>
      <c r="I303" s="131"/>
    </row>
    <row r="304" spans="1:9" x14ac:dyDescent="0.2">
      <c r="A304" s="129">
        <v>16</v>
      </c>
      <c r="B304" s="130" t="s">
        <v>87</v>
      </c>
      <c r="C304" s="130" t="s">
        <v>1027</v>
      </c>
      <c r="D304" s="130"/>
      <c r="E304" s="131" t="s">
        <v>1035</v>
      </c>
      <c r="F304" s="131">
        <v>0</v>
      </c>
      <c r="G304" s="131">
        <v>1024</v>
      </c>
      <c r="H304" s="131"/>
      <c r="I304" s="131"/>
    </row>
    <row r="305" spans="1:9" x14ac:dyDescent="0.2">
      <c r="A305" s="129">
        <v>17</v>
      </c>
      <c r="B305" s="130" t="s">
        <v>87</v>
      </c>
      <c r="C305" s="130" t="s">
        <v>1028</v>
      </c>
      <c r="D305" s="130"/>
      <c r="E305" s="131" t="s">
        <v>1036</v>
      </c>
      <c r="F305" s="131">
        <v>0</v>
      </c>
      <c r="G305" s="131">
        <v>1024</v>
      </c>
      <c r="H305" s="131"/>
      <c r="I305" s="131"/>
    </row>
    <row r="306" spans="1:9" ht="17" thickBot="1" x14ac:dyDescent="0.25">
      <c r="I306"/>
    </row>
    <row r="307" spans="1:9" x14ac:dyDescent="0.2">
      <c r="A307" s="119" t="s">
        <v>816</v>
      </c>
      <c r="B307" s="120" t="s">
        <v>1217</v>
      </c>
      <c r="C307" s="121"/>
      <c r="D307" s="121"/>
      <c r="E307" s="121"/>
      <c r="F307" s="121"/>
      <c r="G307" s="121"/>
      <c r="H307" s="121"/>
      <c r="I307" s="121"/>
    </row>
    <row r="308" spans="1:9" x14ac:dyDescent="0.2">
      <c r="A308" s="122" t="s">
        <v>817</v>
      </c>
      <c r="B308" s="123" t="s">
        <v>1218</v>
      </c>
      <c r="C308" s="124"/>
      <c r="D308" s="124"/>
      <c r="E308" s="124"/>
      <c r="F308" s="124"/>
      <c r="G308" s="124"/>
      <c r="H308" s="124"/>
      <c r="I308" s="124"/>
    </row>
    <row r="309" spans="1:9" x14ac:dyDescent="0.2">
      <c r="A309" s="122" t="s">
        <v>772</v>
      </c>
      <c r="B309" s="123" t="s">
        <v>1219</v>
      </c>
      <c r="C309" s="124"/>
      <c r="D309" s="124"/>
      <c r="E309" s="124"/>
      <c r="F309" s="124"/>
      <c r="G309" s="124"/>
      <c r="H309" s="124"/>
      <c r="I309" s="124"/>
    </row>
    <row r="310" spans="1:9" x14ac:dyDescent="0.2">
      <c r="A310" s="122" t="s">
        <v>818</v>
      </c>
      <c r="B310" s="123" t="s">
        <v>1220</v>
      </c>
      <c r="C310" s="124"/>
      <c r="D310" s="124"/>
      <c r="E310" s="124"/>
      <c r="F310" s="124"/>
      <c r="G310" s="124"/>
      <c r="H310" s="124"/>
      <c r="I310" s="124"/>
    </row>
    <row r="311" spans="1:9" x14ac:dyDescent="0.2">
      <c r="A311" s="122" t="s">
        <v>970</v>
      </c>
      <c r="B311" s="123" t="s">
        <v>912</v>
      </c>
      <c r="C311" s="124"/>
      <c r="D311" s="124"/>
      <c r="E311" s="124"/>
      <c r="F311" s="124"/>
      <c r="G311" s="124"/>
      <c r="H311" s="124"/>
      <c r="I311" s="124"/>
    </row>
    <row r="312" spans="1:9" x14ac:dyDescent="0.2">
      <c r="A312" s="122" t="s">
        <v>940</v>
      </c>
      <c r="B312" s="123" t="s">
        <v>941</v>
      </c>
      <c r="C312" s="124"/>
      <c r="D312" s="124"/>
      <c r="E312" s="124"/>
      <c r="F312" s="124"/>
      <c r="G312" s="124"/>
      <c r="H312" s="124"/>
      <c r="I312" s="124"/>
    </row>
    <row r="313" spans="1:9" x14ac:dyDescent="0.2">
      <c r="A313" s="122" t="s">
        <v>820</v>
      </c>
      <c r="B313" s="123" t="s">
        <v>1221</v>
      </c>
      <c r="C313" s="124"/>
      <c r="D313" s="124"/>
      <c r="E313" s="124"/>
      <c r="F313" s="124"/>
      <c r="G313" s="124"/>
      <c r="H313" s="124"/>
      <c r="I313" s="124"/>
    </row>
    <row r="314" spans="1:9" x14ac:dyDescent="0.2">
      <c r="A314" s="122" t="s">
        <v>821</v>
      </c>
      <c r="B314" s="123"/>
      <c r="C314" s="124"/>
      <c r="D314" s="124"/>
      <c r="E314" s="124"/>
      <c r="F314" s="124"/>
      <c r="G314" s="124"/>
      <c r="H314" s="124"/>
      <c r="I314" s="124"/>
    </row>
    <row r="315" spans="1:9" ht="17" thickBot="1" x14ac:dyDescent="0.25">
      <c r="A315" s="122" t="s">
        <v>793</v>
      </c>
      <c r="B315" s="125">
        <v>16</v>
      </c>
      <c r="C315" s="126"/>
      <c r="D315" s="126"/>
      <c r="E315" s="126"/>
      <c r="F315" s="126"/>
      <c r="G315" s="126"/>
      <c r="H315" s="126"/>
      <c r="I315" s="126"/>
    </row>
    <row r="316" spans="1:9" x14ac:dyDescent="0.2">
      <c r="A316" s="127" t="s">
        <v>784</v>
      </c>
      <c r="B316" s="128" t="s">
        <v>785</v>
      </c>
      <c r="C316" s="128" t="s">
        <v>787</v>
      </c>
      <c r="D316" s="128"/>
      <c r="E316" s="130" t="s">
        <v>788</v>
      </c>
      <c r="F316" s="128" t="s">
        <v>807</v>
      </c>
      <c r="G316" s="128" t="s">
        <v>808</v>
      </c>
      <c r="H316" s="128" t="s">
        <v>811</v>
      </c>
      <c r="I316" s="128" t="s">
        <v>812</v>
      </c>
    </row>
    <row r="317" spans="1:9" x14ac:dyDescent="0.2">
      <c r="A317" s="129">
        <v>0</v>
      </c>
      <c r="B317" s="130" t="s">
        <v>87</v>
      </c>
      <c r="C317" s="130" t="s">
        <v>1200</v>
      </c>
      <c r="D317" s="130"/>
      <c r="E317" s="131" t="s">
        <v>1222</v>
      </c>
      <c r="F317" s="131">
        <v>0</v>
      </c>
      <c r="G317" s="131">
        <v>25</v>
      </c>
      <c r="H317" s="131">
        <v>15</v>
      </c>
      <c r="I317" s="131"/>
    </row>
    <row r="318" spans="1:9" x14ac:dyDescent="0.2">
      <c r="A318" s="129">
        <v>1</v>
      </c>
      <c r="B318" s="130" t="s">
        <v>87</v>
      </c>
      <c r="C318" s="130" t="s">
        <v>1201</v>
      </c>
      <c r="D318" s="130"/>
      <c r="E318" s="131" t="s">
        <v>1223</v>
      </c>
      <c r="F318" s="131">
        <v>0</v>
      </c>
      <c r="G318" s="131">
        <v>5000</v>
      </c>
      <c r="H318" s="131">
        <v>100</v>
      </c>
      <c r="I318" s="131"/>
    </row>
    <row r="319" spans="1:9" x14ac:dyDescent="0.2">
      <c r="A319" s="129">
        <v>2</v>
      </c>
      <c r="B319" s="130" t="s">
        <v>87</v>
      </c>
      <c r="C319" s="130" t="s">
        <v>1047</v>
      </c>
      <c r="D319" s="130"/>
      <c r="E319" s="131" t="s">
        <v>1210</v>
      </c>
      <c r="F319" s="131">
        <v>0</v>
      </c>
      <c r="G319" s="131">
        <v>100</v>
      </c>
      <c r="H319" s="131">
        <v>65</v>
      </c>
      <c r="I319" s="131"/>
    </row>
    <row r="320" spans="1:9" x14ac:dyDescent="0.2">
      <c r="A320" s="129">
        <v>3</v>
      </c>
      <c r="B320" s="130" t="s">
        <v>87</v>
      </c>
      <c r="C320" s="130" t="s">
        <v>1049</v>
      </c>
      <c r="D320" s="130"/>
      <c r="E320" s="131" t="s">
        <v>1211</v>
      </c>
      <c r="F320" s="131">
        <v>0</v>
      </c>
      <c r="G320" s="131">
        <v>125</v>
      </c>
      <c r="H320" s="131">
        <v>80</v>
      </c>
      <c r="I320" s="131"/>
    </row>
    <row r="321" spans="1:25" x14ac:dyDescent="0.2">
      <c r="A321" s="199">
        <v>4</v>
      </c>
      <c r="B321" s="200" t="s">
        <v>87</v>
      </c>
      <c r="C321" s="200" t="s">
        <v>1240</v>
      </c>
      <c r="D321" s="200"/>
      <c r="E321" s="201" t="s">
        <v>1242</v>
      </c>
      <c r="F321" s="201">
        <v>0</v>
      </c>
      <c r="G321" s="201">
        <v>14400</v>
      </c>
      <c r="H321" s="201">
        <v>60</v>
      </c>
      <c r="I321" s="201" t="s">
        <v>1243</v>
      </c>
    </row>
    <row r="322" spans="1:25" x14ac:dyDescent="0.2">
      <c r="A322" s="129">
        <v>5</v>
      </c>
      <c r="B322" s="130" t="s">
        <v>87</v>
      </c>
      <c r="C322" s="130" t="s">
        <v>1202</v>
      </c>
      <c r="D322" s="130"/>
      <c r="E322" s="131" t="s">
        <v>1212</v>
      </c>
      <c r="F322" s="131"/>
      <c r="G322" s="131"/>
      <c r="H322" s="131"/>
      <c r="I322" s="131"/>
    </row>
    <row r="323" spans="1:25" x14ac:dyDescent="0.2">
      <c r="A323" s="129">
        <v>6</v>
      </c>
      <c r="B323" s="130" t="s">
        <v>87</v>
      </c>
      <c r="C323" s="130" t="s">
        <v>1203</v>
      </c>
      <c r="D323" s="130"/>
      <c r="E323" s="131" t="s">
        <v>1228</v>
      </c>
      <c r="F323" s="131"/>
      <c r="G323" s="131"/>
      <c r="H323" s="131"/>
      <c r="I323" s="131"/>
    </row>
    <row r="324" spans="1:25" x14ac:dyDescent="0.2">
      <c r="A324" s="129">
        <v>7</v>
      </c>
      <c r="B324" s="130" t="s">
        <v>87</v>
      </c>
      <c r="C324" s="130" t="s">
        <v>1204</v>
      </c>
      <c r="D324" s="130"/>
      <c r="E324" s="131" t="s">
        <v>1095</v>
      </c>
      <c r="F324" s="131"/>
      <c r="G324" s="131"/>
      <c r="H324" s="131"/>
      <c r="I324" s="131"/>
    </row>
    <row r="325" spans="1:25" x14ac:dyDescent="0.2">
      <c r="A325" s="199">
        <v>8</v>
      </c>
      <c r="B325" s="130" t="s">
        <v>87</v>
      </c>
      <c r="C325" s="130" t="s">
        <v>1205</v>
      </c>
      <c r="D325" s="130"/>
      <c r="E325" s="131" t="s">
        <v>758</v>
      </c>
      <c r="F325" s="131"/>
      <c r="G325" s="131"/>
      <c r="H325" s="131"/>
      <c r="I325" s="131"/>
    </row>
    <row r="326" spans="1:25" x14ac:dyDescent="0.2">
      <c r="A326" s="129">
        <v>9</v>
      </c>
      <c r="B326" s="130" t="s">
        <v>87</v>
      </c>
      <c r="C326" s="130" t="s">
        <v>209</v>
      </c>
      <c r="D326" s="130"/>
      <c r="E326" s="131" t="s">
        <v>972</v>
      </c>
      <c r="F326" s="131">
        <v>0</v>
      </c>
      <c r="G326" s="131">
        <v>28800</v>
      </c>
      <c r="H326" s="131"/>
      <c r="I326" s="131"/>
    </row>
    <row r="327" spans="1:25" x14ac:dyDescent="0.2">
      <c r="A327" s="129">
        <v>10</v>
      </c>
      <c r="B327" s="130" t="s">
        <v>87</v>
      </c>
      <c r="C327" s="130" t="s">
        <v>210</v>
      </c>
      <c r="D327" s="130"/>
      <c r="E327" s="131" t="s">
        <v>973</v>
      </c>
      <c r="F327" s="131"/>
      <c r="G327" s="131"/>
      <c r="H327" s="131"/>
      <c r="I327" s="131"/>
    </row>
    <row r="328" spans="1:25" x14ac:dyDescent="0.2">
      <c r="A328" s="129">
        <v>11</v>
      </c>
      <c r="B328" s="130" t="s">
        <v>87</v>
      </c>
      <c r="C328" s="130" t="s">
        <v>211</v>
      </c>
      <c r="D328" s="130"/>
      <c r="E328" s="131" t="s">
        <v>974</v>
      </c>
      <c r="F328" s="131"/>
      <c r="G328" s="131"/>
      <c r="H328" s="131"/>
      <c r="I328" s="131"/>
    </row>
    <row r="329" spans="1:25" x14ac:dyDescent="0.2">
      <c r="A329" s="199">
        <v>12</v>
      </c>
      <c r="B329" s="130" t="s">
        <v>87</v>
      </c>
      <c r="C329" s="130" t="s">
        <v>212</v>
      </c>
      <c r="D329" s="130"/>
      <c r="E329" s="131" t="s">
        <v>975</v>
      </c>
      <c r="F329" s="131"/>
      <c r="G329" s="131"/>
      <c r="H329" s="131"/>
      <c r="I329" s="131"/>
    </row>
    <row r="330" spans="1:25" x14ac:dyDescent="0.2">
      <c r="A330" s="129">
        <v>13</v>
      </c>
      <c r="B330" s="130" t="s">
        <v>87</v>
      </c>
      <c r="C330" s="130" t="s">
        <v>213</v>
      </c>
      <c r="D330" s="130"/>
      <c r="E330" s="131" t="s">
        <v>1215</v>
      </c>
      <c r="F330" s="131"/>
      <c r="G330" s="131"/>
      <c r="H330" s="131"/>
      <c r="I330" s="131"/>
    </row>
    <row r="331" spans="1:25" x14ac:dyDescent="0.2">
      <c r="A331" s="129">
        <v>14</v>
      </c>
      <c r="B331" s="130" t="s">
        <v>87</v>
      </c>
      <c r="C331" s="130" t="s">
        <v>1206</v>
      </c>
      <c r="D331" s="130"/>
      <c r="E331" s="131" t="s">
        <v>29</v>
      </c>
      <c r="F331" s="131"/>
      <c r="G331" s="131"/>
      <c r="H331" s="131"/>
      <c r="I331" s="131"/>
    </row>
    <row r="332" spans="1:25" x14ac:dyDescent="0.2">
      <c r="A332" s="129">
        <v>15</v>
      </c>
      <c r="B332" s="130" t="s">
        <v>87</v>
      </c>
      <c r="C332" s="130" t="s">
        <v>1207</v>
      </c>
      <c r="D332" s="130"/>
      <c r="E332" s="131" t="s">
        <v>18</v>
      </c>
      <c r="F332" s="131"/>
      <c r="G332" s="131"/>
      <c r="H332" s="131"/>
      <c r="I332" s="131"/>
    </row>
    <row r="333" spans="1:25" ht="17" thickBot="1" x14ac:dyDescent="0.25">
      <c r="I333"/>
    </row>
    <row r="334" spans="1:25" ht="19" x14ac:dyDescent="0.25">
      <c r="A334" s="132" t="s">
        <v>816</v>
      </c>
      <c r="B334" s="133"/>
      <c r="C334" s="134"/>
      <c r="D334" s="134"/>
      <c r="E334" s="134"/>
      <c r="F334" s="134"/>
      <c r="G334" s="134"/>
      <c r="H334" s="134"/>
      <c r="I334" s="134"/>
      <c r="T334" s="19" t="s">
        <v>301</v>
      </c>
      <c r="W334" t="s">
        <v>417</v>
      </c>
    </row>
    <row r="335" spans="1:25" x14ac:dyDescent="0.2">
      <c r="A335" s="135" t="s">
        <v>817</v>
      </c>
      <c r="B335" s="136" t="s">
        <v>912</v>
      </c>
      <c r="C335" s="137"/>
      <c r="D335" s="137"/>
      <c r="E335" s="137"/>
      <c r="F335" s="137"/>
      <c r="G335" s="137"/>
      <c r="H335" s="137"/>
      <c r="I335" s="137"/>
      <c r="T335" s="25" t="s">
        <v>388</v>
      </c>
      <c r="U335" s="25" t="s">
        <v>395</v>
      </c>
      <c r="W335" t="s">
        <v>208</v>
      </c>
      <c r="X335" t="s">
        <v>266</v>
      </c>
      <c r="Y335" t="s">
        <v>206</v>
      </c>
    </row>
    <row r="336" spans="1:25" x14ac:dyDescent="0.2">
      <c r="A336" s="135" t="s">
        <v>772</v>
      </c>
      <c r="B336" s="136" t="s">
        <v>885</v>
      </c>
      <c r="C336" s="137"/>
      <c r="D336" s="137"/>
      <c r="E336" s="137"/>
      <c r="F336" s="137"/>
      <c r="G336" s="137"/>
      <c r="H336" s="137"/>
      <c r="I336" s="137"/>
      <c r="T336" s="3" t="s">
        <v>86</v>
      </c>
      <c r="U336" s="6" t="s">
        <v>35</v>
      </c>
      <c r="W336" t="s">
        <v>208</v>
      </c>
      <c r="X336" t="s">
        <v>267</v>
      </c>
      <c r="Y336" t="s">
        <v>206</v>
      </c>
    </row>
    <row r="337" spans="1:25" x14ac:dyDescent="0.2">
      <c r="A337" s="135" t="s">
        <v>818</v>
      </c>
      <c r="B337" s="136" t="s">
        <v>912</v>
      </c>
      <c r="C337" s="137"/>
      <c r="D337" s="137"/>
      <c r="E337" s="137"/>
      <c r="F337" s="137"/>
      <c r="G337" s="137"/>
      <c r="H337" s="137"/>
      <c r="I337" s="137"/>
      <c r="T337" s="3" t="s">
        <v>88</v>
      </c>
      <c r="U337" s="6" t="s">
        <v>36</v>
      </c>
      <c r="W337" t="s">
        <v>208</v>
      </c>
      <c r="X337" t="s">
        <v>268</v>
      </c>
      <c r="Y337" t="s">
        <v>206</v>
      </c>
    </row>
    <row r="338" spans="1:25" x14ac:dyDescent="0.2">
      <c r="A338" s="135" t="s">
        <v>970</v>
      </c>
      <c r="B338" s="136" t="s">
        <v>912</v>
      </c>
      <c r="C338" s="137"/>
      <c r="D338" s="137"/>
      <c r="E338" s="137"/>
      <c r="F338" s="137"/>
      <c r="G338" s="137"/>
      <c r="H338" s="137"/>
      <c r="I338" s="137"/>
      <c r="T338" s="3" t="s">
        <v>67</v>
      </c>
      <c r="U338" s="6" t="s">
        <v>37</v>
      </c>
      <c r="W338" t="s">
        <v>208</v>
      </c>
      <c r="X338" t="s">
        <v>269</v>
      </c>
      <c r="Y338" t="s">
        <v>206</v>
      </c>
    </row>
    <row r="339" spans="1:25" x14ac:dyDescent="0.2">
      <c r="A339" s="135" t="s">
        <v>940</v>
      </c>
      <c r="B339" s="136" t="s">
        <v>941</v>
      </c>
      <c r="C339" s="137"/>
      <c r="D339" s="137"/>
      <c r="E339" s="137"/>
      <c r="F339" s="137"/>
      <c r="G339" s="137"/>
      <c r="H339" s="137"/>
      <c r="I339" s="137"/>
      <c r="T339" s="3" t="s">
        <v>68</v>
      </c>
      <c r="U339" s="6" t="s">
        <v>41</v>
      </c>
      <c r="W339" t="s">
        <v>208</v>
      </c>
      <c r="X339" t="s">
        <v>270</v>
      </c>
      <c r="Y339" t="s">
        <v>206</v>
      </c>
    </row>
    <row r="340" spans="1:25" x14ac:dyDescent="0.2">
      <c r="A340" s="135" t="s">
        <v>820</v>
      </c>
      <c r="B340" s="136" t="s">
        <v>886</v>
      </c>
      <c r="C340" s="137"/>
      <c r="D340" s="137"/>
      <c r="E340" s="137"/>
      <c r="F340" s="137"/>
      <c r="G340" s="137"/>
      <c r="H340" s="137"/>
      <c r="I340" s="137"/>
      <c r="T340" s="3" t="s">
        <v>69</v>
      </c>
      <c r="U340" s="6" t="s">
        <v>38</v>
      </c>
      <c r="W340" t="s">
        <v>208</v>
      </c>
      <c r="X340" t="s">
        <v>271</v>
      </c>
      <c r="Y340" t="s">
        <v>206</v>
      </c>
    </row>
    <row r="341" spans="1:25" x14ac:dyDescent="0.2">
      <c r="A341" s="135" t="s">
        <v>821</v>
      </c>
      <c r="B341" s="136"/>
      <c r="C341" s="137"/>
      <c r="D341" s="137"/>
      <c r="E341" s="137"/>
      <c r="F341" s="137"/>
      <c r="G341" s="137"/>
      <c r="H341" s="137"/>
      <c r="I341" s="137"/>
      <c r="T341" s="3" t="s">
        <v>70</v>
      </c>
      <c r="U341" s="6" t="s">
        <v>39</v>
      </c>
      <c r="W341" t="s">
        <v>208</v>
      </c>
      <c r="X341" t="s">
        <v>272</v>
      </c>
      <c r="Y341" t="s">
        <v>206</v>
      </c>
    </row>
    <row r="342" spans="1:25" ht="17" thickBot="1" x14ac:dyDescent="0.25">
      <c r="A342" s="135" t="s">
        <v>793</v>
      </c>
      <c r="B342" s="138">
        <v>30</v>
      </c>
      <c r="C342" s="139"/>
      <c r="D342" s="139"/>
      <c r="E342" s="139"/>
      <c r="F342" s="139"/>
      <c r="G342" s="139"/>
      <c r="H342" s="139"/>
      <c r="I342" s="139"/>
      <c r="T342" s="3" t="s">
        <v>71</v>
      </c>
      <c r="U342" s="6" t="s">
        <v>40</v>
      </c>
      <c r="W342" t="s">
        <v>208</v>
      </c>
      <c r="X342" t="s">
        <v>273</v>
      </c>
      <c r="Y342" t="s">
        <v>206</v>
      </c>
    </row>
    <row r="343" spans="1:25" x14ac:dyDescent="0.2">
      <c r="A343" s="140" t="s">
        <v>784</v>
      </c>
      <c r="B343" s="141" t="s">
        <v>785</v>
      </c>
      <c r="C343" s="141" t="s">
        <v>787</v>
      </c>
      <c r="D343" s="141"/>
      <c r="E343" s="142" t="s">
        <v>788</v>
      </c>
      <c r="F343" s="141" t="s">
        <v>807</v>
      </c>
      <c r="G343" s="141" t="s">
        <v>808</v>
      </c>
      <c r="H343" s="141" t="s">
        <v>811</v>
      </c>
      <c r="I343" s="141" t="s">
        <v>812</v>
      </c>
      <c r="T343" s="3" t="s">
        <v>72</v>
      </c>
      <c r="U343" s="6" t="s">
        <v>42</v>
      </c>
      <c r="W343" t="s">
        <v>208</v>
      </c>
      <c r="X343" t="s">
        <v>274</v>
      </c>
      <c r="Y343" t="s">
        <v>206</v>
      </c>
    </row>
    <row r="344" spans="1:25" x14ac:dyDescent="0.2">
      <c r="A344" s="142">
        <v>0</v>
      </c>
      <c r="B344" s="142" t="s">
        <v>87</v>
      </c>
      <c r="C344" s="142" t="s">
        <v>1055</v>
      </c>
      <c r="D344" s="142"/>
      <c r="E344" s="145"/>
      <c r="F344" s="145">
        <v>0</v>
      </c>
      <c r="G344" s="145">
        <v>8</v>
      </c>
      <c r="H344" s="144"/>
      <c r="I344" s="144"/>
      <c r="T344" s="3" t="s">
        <v>73</v>
      </c>
      <c r="U344" s="6" t="s">
        <v>100</v>
      </c>
      <c r="W344" t="s">
        <v>208</v>
      </c>
      <c r="X344" t="s">
        <v>275</v>
      </c>
      <c r="Y344" t="s">
        <v>206</v>
      </c>
    </row>
    <row r="345" spans="1:25" x14ac:dyDescent="0.2">
      <c r="A345" s="142">
        <v>1</v>
      </c>
      <c r="B345" s="142" t="s">
        <v>87</v>
      </c>
      <c r="C345" s="142" t="s">
        <v>1056</v>
      </c>
      <c r="D345" s="142"/>
      <c r="E345" s="145"/>
      <c r="F345" s="145">
        <v>0</v>
      </c>
      <c r="G345" s="145">
        <v>2500</v>
      </c>
      <c r="H345" s="144"/>
      <c r="I345" s="144"/>
      <c r="T345" s="3" t="s">
        <v>74</v>
      </c>
      <c r="U345" s="6" t="s">
        <v>101</v>
      </c>
      <c r="W345" t="s">
        <v>208</v>
      </c>
      <c r="X345" t="s">
        <v>276</v>
      </c>
      <c r="Y345" t="s">
        <v>206</v>
      </c>
    </row>
    <row r="346" spans="1:25" x14ac:dyDescent="0.2">
      <c r="A346" s="142">
        <v>2</v>
      </c>
      <c r="B346" s="142" t="s">
        <v>87</v>
      </c>
      <c r="C346" s="142" t="s">
        <v>1057</v>
      </c>
      <c r="D346" s="142"/>
      <c r="E346" s="145"/>
      <c r="F346" s="145">
        <v>0</v>
      </c>
      <c r="G346" s="145">
        <v>100</v>
      </c>
      <c r="H346" s="144"/>
      <c r="I346" s="144"/>
      <c r="T346" s="3" t="s">
        <v>75</v>
      </c>
      <c r="U346" s="6" t="s">
        <v>102</v>
      </c>
      <c r="W346" t="s">
        <v>208</v>
      </c>
      <c r="X346" t="s">
        <v>277</v>
      </c>
      <c r="Y346" t="s">
        <v>206</v>
      </c>
    </row>
    <row r="347" spans="1:25" x14ac:dyDescent="0.2">
      <c r="A347" s="142">
        <v>3</v>
      </c>
      <c r="B347" s="142" t="s">
        <v>87</v>
      </c>
      <c r="C347" s="142" t="s">
        <v>1058</v>
      </c>
      <c r="D347" s="142"/>
      <c r="E347" s="145"/>
      <c r="F347" s="145">
        <v>0</v>
      </c>
      <c r="G347" s="145">
        <v>100</v>
      </c>
      <c r="H347" s="144"/>
      <c r="I347" s="144"/>
      <c r="T347" s="3" t="s">
        <v>76</v>
      </c>
      <c r="U347" s="6" t="s">
        <v>103</v>
      </c>
      <c r="W347" t="s">
        <v>208</v>
      </c>
      <c r="X347" t="s">
        <v>278</v>
      </c>
      <c r="Y347" t="s">
        <v>206</v>
      </c>
    </row>
    <row r="348" spans="1:25" x14ac:dyDescent="0.2">
      <c r="A348" s="142">
        <v>4</v>
      </c>
      <c r="B348" s="142" t="s">
        <v>87</v>
      </c>
      <c r="C348" s="142" t="s">
        <v>1061</v>
      </c>
      <c r="D348" s="142"/>
      <c r="E348" s="145"/>
      <c r="F348" s="145">
        <v>0</v>
      </c>
      <c r="G348" s="145">
        <v>100</v>
      </c>
      <c r="H348" s="144"/>
      <c r="I348" s="144"/>
      <c r="T348" s="3" t="s">
        <v>77</v>
      </c>
      <c r="U348" s="6" t="s">
        <v>104</v>
      </c>
      <c r="W348" t="s">
        <v>208</v>
      </c>
      <c r="X348" t="s">
        <v>279</v>
      </c>
      <c r="Y348" t="s">
        <v>206</v>
      </c>
    </row>
    <row r="349" spans="1:25" x14ac:dyDescent="0.2">
      <c r="A349" s="142">
        <v>5</v>
      </c>
      <c r="B349" s="142" t="s">
        <v>87</v>
      </c>
      <c r="C349" s="142" t="s">
        <v>1059</v>
      </c>
      <c r="D349" s="142"/>
      <c r="E349" s="145"/>
      <c r="F349" s="145">
        <v>0</v>
      </c>
      <c r="G349" s="145">
        <v>100</v>
      </c>
      <c r="H349" s="144"/>
      <c r="I349" s="144"/>
      <c r="T349" s="3" t="s">
        <v>78</v>
      </c>
      <c r="U349" s="6" t="s">
        <v>107</v>
      </c>
      <c r="W349" t="s">
        <v>208</v>
      </c>
      <c r="X349" t="s">
        <v>280</v>
      </c>
      <c r="Y349" t="s">
        <v>206</v>
      </c>
    </row>
    <row r="350" spans="1:25" x14ac:dyDescent="0.2">
      <c r="A350" s="142">
        <v>6</v>
      </c>
      <c r="B350" s="142" t="s">
        <v>87</v>
      </c>
      <c r="C350" s="142" t="s">
        <v>1060</v>
      </c>
      <c r="D350" s="142"/>
      <c r="E350" s="145"/>
      <c r="F350" s="145">
        <v>0</v>
      </c>
      <c r="G350" s="145">
        <v>80</v>
      </c>
      <c r="H350" s="144"/>
      <c r="I350" s="144"/>
      <c r="T350" s="3" t="s">
        <v>79</v>
      </c>
      <c r="U350" s="6" t="s">
        <v>106</v>
      </c>
      <c r="W350" t="s">
        <v>208</v>
      </c>
      <c r="X350" t="s">
        <v>281</v>
      </c>
      <c r="Y350" t="s">
        <v>206</v>
      </c>
    </row>
    <row r="351" spans="1:25" x14ac:dyDescent="0.2">
      <c r="A351" s="142">
        <v>7</v>
      </c>
      <c r="B351" s="142" t="s">
        <v>87</v>
      </c>
      <c r="C351" s="142" t="s">
        <v>1062</v>
      </c>
      <c r="D351" s="142"/>
      <c r="E351" s="145"/>
      <c r="F351" s="145">
        <v>0</v>
      </c>
      <c r="G351" s="145">
        <v>80</v>
      </c>
      <c r="H351" s="144"/>
      <c r="I351" s="144"/>
      <c r="T351" s="3" t="s">
        <v>80</v>
      </c>
      <c r="U351" s="6" t="s">
        <v>105</v>
      </c>
      <c r="W351" t="s">
        <v>208</v>
      </c>
      <c r="X351" t="s">
        <v>282</v>
      </c>
      <c r="Y351" t="s">
        <v>206</v>
      </c>
    </row>
    <row r="352" spans="1:25" x14ac:dyDescent="0.2">
      <c r="A352" s="142">
        <v>8</v>
      </c>
      <c r="B352" s="142" t="s">
        <v>87</v>
      </c>
      <c r="C352" s="142" t="s">
        <v>1063</v>
      </c>
      <c r="D352" s="142"/>
      <c r="E352" s="145"/>
      <c r="F352" s="145">
        <v>0</v>
      </c>
      <c r="G352" s="145">
        <v>80</v>
      </c>
      <c r="H352" s="144"/>
      <c r="I352" s="144"/>
      <c r="T352" s="3" t="s">
        <v>81</v>
      </c>
      <c r="U352" s="6" t="s">
        <v>124</v>
      </c>
    </row>
    <row r="353" spans="1:21" x14ac:dyDescent="0.2">
      <c r="A353" s="142">
        <v>9</v>
      </c>
      <c r="B353" s="142" t="s">
        <v>87</v>
      </c>
      <c r="C353" s="142" t="s">
        <v>1064</v>
      </c>
      <c r="D353" s="142"/>
      <c r="E353" s="145"/>
      <c r="F353" s="145">
        <v>0</v>
      </c>
      <c r="G353" s="145">
        <v>4000</v>
      </c>
      <c r="H353" s="144"/>
      <c r="I353" s="144"/>
      <c r="T353" s="3"/>
      <c r="U353" s="6"/>
    </row>
    <row r="354" spans="1:21" x14ac:dyDescent="0.2">
      <c r="A354" s="142">
        <v>10</v>
      </c>
      <c r="B354" s="142" t="s">
        <v>87</v>
      </c>
      <c r="C354" s="142" t="s">
        <v>1065</v>
      </c>
      <c r="D354" s="142"/>
      <c r="E354" s="145"/>
      <c r="F354" s="145">
        <v>0</v>
      </c>
      <c r="G354" s="145">
        <v>4000</v>
      </c>
      <c r="H354" s="144"/>
      <c r="I354" s="144"/>
      <c r="T354" s="3"/>
      <c r="U354" s="6"/>
    </row>
    <row r="355" spans="1:21" x14ac:dyDescent="0.2">
      <c r="A355" s="142">
        <v>11</v>
      </c>
      <c r="B355" s="142" t="s">
        <v>87</v>
      </c>
      <c r="C355" s="142" t="s">
        <v>1066</v>
      </c>
      <c r="D355" s="142"/>
      <c r="E355" s="145"/>
      <c r="F355" s="145">
        <v>0</v>
      </c>
      <c r="G355" s="145">
        <v>4000</v>
      </c>
      <c r="H355" s="144"/>
      <c r="I355" s="144"/>
      <c r="T355" s="3"/>
      <c r="U355" s="6"/>
    </row>
    <row r="356" spans="1:21" x14ac:dyDescent="0.2">
      <c r="A356" s="142">
        <v>12</v>
      </c>
      <c r="B356" s="142" t="s">
        <v>87</v>
      </c>
      <c r="C356" s="142" t="s">
        <v>1067</v>
      </c>
      <c r="D356" s="142"/>
      <c r="E356" s="145"/>
      <c r="F356" s="145">
        <v>-32</v>
      </c>
      <c r="G356" s="145">
        <v>120</v>
      </c>
      <c r="H356" s="144"/>
      <c r="I356" s="144"/>
      <c r="T356" s="3"/>
      <c r="U356" s="6"/>
    </row>
    <row r="357" spans="1:21" x14ac:dyDescent="0.2">
      <c r="A357" s="142">
        <v>13</v>
      </c>
      <c r="B357" s="142" t="s">
        <v>87</v>
      </c>
      <c r="C357" s="142" t="s">
        <v>1068</v>
      </c>
      <c r="D357" s="142"/>
      <c r="E357" s="145"/>
      <c r="F357" s="177">
        <v>-32</v>
      </c>
      <c r="G357" s="177">
        <v>120</v>
      </c>
      <c r="H357" s="144"/>
      <c r="I357" s="144"/>
      <c r="T357" s="3"/>
      <c r="U357" s="6"/>
    </row>
    <row r="358" spans="1:21" x14ac:dyDescent="0.2">
      <c r="A358" s="142">
        <v>14</v>
      </c>
      <c r="B358" s="142" t="s">
        <v>87</v>
      </c>
      <c r="C358" s="142" t="s">
        <v>1069</v>
      </c>
      <c r="D358" s="142"/>
      <c r="E358" s="145"/>
      <c r="F358" s="145">
        <v>-32</v>
      </c>
      <c r="G358" s="145">
        <v>120</v>
      </c>
      <c r="H358" s="144"/>
      <c r="I358" s="144"/>
      <c r="T358" s="3"/>
      <c r="U358" s="6"/>
    </row>
    <row r="359" spans="1:21" x14ac:dyDescent="0.2">
      <c r="A359" s="142">
        <v>15</v>
      </c>
      <c r="B359" s="142" t="s">
        <v>87</v>
      </c>
      <c r="C359" s="142" t="s">
        <v>1070</v>
      </c>
      <c r="D359" s="142"/>
      <c r="E359" s="145"/>
      <c r="F359" s="145">
        <v>-32</v>
      </c>
      <c r="G359" s="145">
        <v>120</v>
      </c>
      <c r="H359" s="144"/>
      <c r="I359" s="144"/>
      <c r="T359" s="3"/>
      <c r="U359" s="6"/>
    </row>
    <row r="360" spans="1:21" x14ac:dyDescent="0.2">
      <c r="A360" s="142">
        <v>16</v>
      </c>
      <c r="B360" s="142" t="s">
        <v>87</v>
      </c>
      <c r="C360" s="142" t="s">
        <v>1071</v>
      </c>
      <c r="D360" s="142"/>
      <c r="E360" s="145"/>
      <c r="F360" s="145">
        <v>0</v>
      </c>
      <c r="G360" s="145">
        <v>0</v>
      </c>
      <c r="H360" s="144"/>
      <c r="I360" s="144"/>
      <c r="T360" s="3"/>
      <c r="U360" s="6"/>
    </row>
    <row r="361" spans="1:21" x14ac:dyDescent="0.2">
      <c r="A361" s="142">
        <v>17</v>
      </c>
      <c r="B361" s="142" t="s">
        <v>87</v>
      </c>
      <c r="C361" s="142" t="s">
        <v>1072</v>
      </c>
      <c r="D361" s="142"/>
      <c r="E361" s="145"/>
      <c r="F361" s="145">
        <v>0</v>
      </c>
      <c r="G361" s="145">
        <v>0</v>
      </c>
      <c r="H361" s="144"/>
      <c r="I361" s="144"/>
      <c r="T361" s="3"/>
      <c r="U361" s="6"/>
    </row>
    <row r="362" spans="1:21" x14ac:dyDescent="0.2">
      <c r="A362" s="142">
        <v>18</v>
      </c>
      <c r="B362" s="142" t="s">
        <v>87</v>
      </c>
      <c r="C362" s="142" t="s">
        <v>1073</v>
      </c>
      <c r="D362" s="142"/>
      <c r="E362" s="145"/>
      <c r="F362" s="145">
        <v>0</v>
      </c>
      <c r="G362" s="145">
        <v>255</v>
      </c>
      <c r="H362" s="144"/>
      <c r="I362" s="144"/>
      <c r="T362" s="3"/>
      <c r="U362" s="6"/>
    </row>
    <row r="363" spans="1:21" x14ac:dyDescent="0.2">
      <c r="A363" s="142">
        <v>19</v>
      </c>
      <c r="B363" s="142" t="s">
        <v>87</v>
      </c>
      <c r="C363" s="142" t="s">
        <v>1075</v>
      </c>
      <c r="D363" s="142"/>
      <c r="E363" s="145"/>
      <c r="F363" s="145">
        <v>0</v>
      </c>
      <c r="G363" s="145">
        <v>255</v>
      </c>
      <c r="H363" s="144"/>
      <c r="I363" s="144"/>
      <c r="T363" s="3"/>
      <c r="U363" s="6"/>
    </row>
    <row r="364" spans="1:21" x14ac:dyDescent="0.2">
      <c r="A364" s="142">
        <v>20</v>
      </c>
      <c r="B364" s="142" t="s">
        <v>87</v>
      </c>
      <c r="C364" s="142" t="s">
        <v>1077</v>
      </c>
      <c r="D364" s="142"/>
      <c r="E364" s="145"/>
      <c r="F364" s="145">
        <v>0</v>
      </c>
      <c r="G364" s="145">
        <v>255</v>
      </c>
      <c r="H364" s="144"/>
      <c r="I364" s="144"/>
      <c r="T364" s="3"/>
      <c r="U364" s="6"/>
    </row>
    <row r="365" spans="1:21" x14ac:dyDescent="0.2">
      <c r="A365" s="142">
        <v>21</v>
      </c>
      <c r="B365" s="142" t="s">
        <v>87</v>
      </c>
      <c r="C365" s="142" t="s">
        <v>1079</v>
      </c>
      <c r="D365" s="142"/>
      <c r="E365" s="145"/>
      <c r="F365" s="145">
        <v>0</v>
      </c>
      <c r="G365" s="145">
        <v>255</v>
      </c>
      <c r="H365" s="144"/>
      <c r="I365" s="144"/>
      <c r="T365" s="3"/>
      <c r="U365" s="6"/>
    </row>
    <row r="366" spans="1:21" x14ac:dyDescent="0.2">
      <c r="A366" s="142">
        <v>22</v>
      </c>
      <c r="B366" s="142" t="s">
        <v>87</v>
      </c>
      <c r="C366" s="142" t="s">
        <v>1081</v>
      </c>
      <c r="D366" s="142"/>
      <c r="E366" s="145"/>
      <c r="F366" s="145">
        <v>0</v>
      </c>
      <c r="G366" s="145">
        <v>255</v>
      </c>
      <c r="H366" s="144"/>
      <c r="I366" s="144"/>
      <c r="T366" s="3"/>
      <c r="U366" s="6"/>
    </row>
    <row r="367" spans="1:21" x14ac:dyDescent="0.2">
      <c r="A367" s="142">
        <v>23</v>
      </c>
      <c r="B367" s="142" t="s">
        <v>87</v>
      </c>
      <c r="C367" s="142" t="s">
        <v>1082</v>
      </c>
      <c r="D367" s="142"/>
      <c r="E367" s="145"/>
      <c r="F367" s="145">
        <v>0</v>
      </c>
      <c r="G367" s="145">
        <v>255</v>
      </c>
      <c r="H367" s="144"/>
      <c r="I367" s="144"/>
      <c r="T367" s="3"/>
      <c r="U367" s="6"/>
    </row>
    <row r="368" spans="1:21" x14ac:dyDescent="0.2">
      <c r="A368" s="142">
        <v>24</v>
      </c>
      <c r="B368" s="142" t="s">
        <v>87</v>
      </c>
      <c r="C368" s="142" t="s">
        <v>1074</v>
      </c>
      <c r="D368" s="142"/>
      <c r="E368" s="145"/>
      <c r="F368" s="145">
        <v>0</v>
      </c>
      <c r="G368" s="145">
        <v>6</v>
      </c>
      <c r="H368" s="144"/>
      <c r="I368" s="144"/>
      <c r="T368" s="3"/>
      <c r="U368" s="6"/>
    </row>
    <row r="369" spans="1:25" x14ac:dyDescent="0.2">
      <c r="A369" s="142">
        <v>25</v>
      </c>
      <c r="B369" s="142" t="s">
        <v>87</v>
      </c>
      <c r="C369" s="142" t="s">
        <v>1076</v>
      </c>
      <c r="D369" s="142"/>
      <c r="E369" s="145"/>
      <c r="F369" s="145">
        <v>0</v>
      </c>
      <c r="G369" s="145">
        <v>6</v>
      </c>
      <c r="H369" s="144"/>
      <c r="I369" s="144"/>
      <c r="T369" s="3"/>
      <c r="U369" s="6"/>
    </row>
    <row r="370" spans="1:25" x14ac:dyDescent="0.2">
      <c r="A370" s="142">
        <v>26</v>
      </c>
      <c r="B370" s="142" t="s">
        <v>87</v>
      </c>
      <c r="C370" s="142" t="s">
        <v>1078</v>
      </c>
      <c r="D370" s="142"/>
      <c r="E370" s="145"/>
      <c r="F370" s="145">
        <v>0</v>
      </c>
      <c r="G370" s="145">
        <v>6</v>
      </c>
      <c r="H370" s="144"/>
      <c r="I370" s="144"/>
      <c r="T370" s="3"/>
      <c r="U370" s="6"/>
    </row>
    <row r="371" spans="1:25" x14ac:dyDescent="0.2">
      <c r="A371" s="142">
        <v>27</v>
      </c>
      <c r="B371" s="142" t="s">
        <v>87</v>
      </c>
      <c r="C371" s="142" t="s">
        <v>1080</v>
      </c>
      <c r="D371" s="142"/>
      <c r="E371" s="145"/>
      <c r="F371" s="145">
        <v>0</v>
      </c>
      <c r="G371" s="145">
        <v>6</v>
      </c>
      <c r="H371" s="144"/>
      <c r="I371" s="144"/>
      <c r="T371" s="3"/>
      <c r="U371" s="6"/>
    </row>
    <row r="372" spans="1:25" x14ac:dyDescent="0.2">
      <c r="A372" s="142">
        <v>28</v>
      </c>
      <c r="B372" s="142" t="s">
        <v>87</v>
      </c>
      <c r="C372" s="142" t="s">
        <v>1095</v>
      </c>
      <c r="D372" s="142"/>
      <c r="E372" s="145"/>
      <c r="F372" s="145">
        <v>0</v>
      </c>
      <c r="G372" s="145">
        <v>6</v>
      </c>
      <c r="H372" s="144"/>
      <c r="I372" s="144"/>
      <c r="T372" s="3"/>
      <c r="U372" s="6"/>
    </row>
    <row r="373" spans="1:25" x14ac:dyDescent="0.2">
      <c r="A373" s="142">
        <v>29</v>
      </c>
      <c r="B373" s="142" t="s">
        <v>87</v>
      </c>
      <c r="C373" s="142" t="s">
        <v>758</v>
      </c>
      <c r="D373" s="142"/>
      <c r="E373" s="145"/>
      <c r="F373" s="145">
        <v>0</v>
      </c>
      <c r="G373" s="145">
        <v>32</v>
      </c>
      <c r="H373" s="144"/>
      <c r="I373" s="144"/>
      <c r="T373" s="3"/>
      <c r="U373" s="6"/>
    </row>
    <row r="374" spans="1:25" ht="17" thickBot="1" x14ac:dyDescent="0.25">
      <c r="T374" s="3" t="s">
        <v>83</v>
      </c>
      <c r="U374" s="6" t="s">
        <v>99</v>
      </c>
      <c r="W374" t="s">
        <v>208</v>
      </c>
      <c r="X374" t="s">
        <v>285</v>
      </c>
      <c r="Y374" t="s">
        <v>206</v>
      </c>
    </row>
    <row r="375" spans="1:25" x14ac:dyDescent="0.2">
      <c r="A375" s="132" t="s">
        <v>816</v>
      </c>
      <c r="B375" s="133"/>
      <c r="C375" s="134"/>
      <c r="D375" s="134"/>
      <c r="E375" s="134"/>
      <c r="F375" s="134"/>
      <c r="G375" s="134"/>
      <c r="H375" s="134"/>
      <c r="I375" s="134"/>
      <c r="T375" s="3" t="s">
        <v>84</v>
      </c>
      <c r="U375" s="6" t="s">
        <v>43</v>
      </c>
      <c r="W375" t="s">
        <v>208</v>
      </c>
      <c r="X375" t="s">
        <v>44</v>
      </c>
      <c r="Y375" t="s">
        <v>206</v>
      </c>
    </row>
    <row r="376" spans="1:25" x14ac:dyDescent="0.2">
      <c r="A376" s="135" t="s">
        <v>817</v>
      </c>
      <c r="B376" s="136" t="s">
        <v>913</v>
      </c>
      <c r="C376" s="137"/>
      <c r="D376" s="137"/>
      <c r="E376" s="137"/>
      <c r="F376" s="137"/>
      <c r="G376" s="137"/>
      <c r="H376" s="137"/>
      <c r="I376" s="137"/>
      <c r="T376" s="3" t="s">
        <v>85</v>
      </c>
      <c r="U376" s="6" t="s">
        <v>44</v>
      </c>
      <c r="W376" t="s">
        <v>207</v>
      </c>
      <c r="Y376" t="s">
        <v>206</v>
      </c>
    </row>
    <row r="377" spans="1:25" x14ac:dyDescent="0.2">
      <c r="A377" s="135" t="s">
        <v>772</v>
      </c>
      <c r="B377" s="136" t="s">
        <v>887</v>
      </c>
      <c r="C377" s="137"/>
      <c r="D377" s="137"/>
      <c r="E377" s="137"/>
      <c r="F377" s="137"/>
      <c r="G377" s="137"/>
      <c r="H377" s="137"/>
      <c r="I377" s="137"/>
      <c r="T377" s="3" t="s">
        <v>1</v>
      </c>
      <c r="U377" s="6"/>
    </row>
    <row r="378" spans="1:25" x14ac:dyDescent="0.2">
      <c r="A378" s="135" t="s">
        <v>818</v>
      </c>
      <c r="B378" s="136" t="s">
        <v>913</v>
      </c>
      <c r="C378" s="137"/>
      <c r="D378" s="137"/>
      <c r="E378" s="137"/>
      <c r="F378" s="137"/>
      <c r="G378" s="137"/>
      <c r="H378" s="137"/>
      <c r="I378" s="137"/>
      <c r="T378" s="3"/>
      <c r="U378" s="6"/>
    </row>
    <row r="379" spans="1:25" x14ac:dyDescent="0.2">
      <c r="A379" s="135" t="s">
        <v>970</v>
      </c>
      <c r="B379" s="136" t="s">
        <v>913</v>
      </c>
      <c r="C379" s="137"/>
      <c r="D379" s="137"/>
      <c r="E379" s="137"/>
      <c r="F379" s="137"/>
      <c r="G379" s="137"/>
      <c r="H379" s="137"/>
      <c r="I379" s="137"/>
      <c r="T379" s="3" t="s">
        <v>0</v>
      </c>
      <c r="U379" s="6"/>
    </row>
    <row r="380" spans="1:25" x14ac:dyDescent="0.2">
      <c r="A380" s="135" t="s">
        <v>940</v>
      </c>
      <c r="B380" s="136" t="s">
        <v>941</v>
      </c>
      <c r="C380" s="137"/>
      <c r="D380" s="137"/>
      <c r="E380" s="137"/>
      <c r="F380" s="137"/>
      <c r="G380" s="137"/>
      <c r="H380" s="137"/>
      <c r="I380" s="137"/>
      <c r="T380" s="8" t="s">
        <v>98</v>
      </c>
      <c r="U380" s="3" t="s">
        <v>420</v>
      </c>
    </row>
    <row r="381" spans="1:25" ht="17" thickBot="1" x14ac:dyDescent="0.25">
      <c r="A381" s="135" t="s">
        <v>820</v>
      </c>
      <c r="B381" s="136" t="s">
        <v>888</v>
      </c>
      <c r="C381" s="137"/>
      <c r="D381" s="137"/>
      <c r="E381" s="137"/>
      <c r="F381" s="137"/>
      <c r="G381" s="137"/>
      <c r="H381" s="137"/>
      <c r="I381" s="137"/>
      <c r="T381" s="4" t="s">
        <v>1</v>
      </c>
      <c r="U381" s="7"/>
    </row>
    <row r="382" spans="1:25" x14ac:dyDescent="0.2">
      <c r="A382" s="135" t="s">
        <v>821</v>
      </c>
      <c r="B382" s="136"/>
      <c r="C382" s="137"/>
      <c r="D382" s="137"/>
      <c r="E382" s="137"/>
      <c r="F382" s="137"/>
      <c r="G382" s="137"/>
      <c r="H382" s="137"/>
      <c r="I382" s="137"/>
    </row>
    <row r="383" spans="1:25" ht="17" thickBot="1" x14ac:dyDescent="0.25">
      <c r="A383" s="135" t="s">
        <v>793</v>
      </c>
      <c r="B383" s="138">
        <v>40</v>
      </c>
      <c r="C383" s="139"/>
      <c r="D383" s="139"/>
      <c r="E383" s="139"/>
      <c r="F383" s="139"/>
      <c r="G383" s="139"/>
      <c r="H383" s="139"/>
      <c r="I383" s="139"/>
    </row>
    <row r="384" spans="1:25" x14ac:dyDescent="0.2">
      <c r="A384" s="140" t="s">
        <v>784</v>
      </c>
      <c r="B384" s="141" t="s">
        <v>785</v>
      </c>
      <c r="C384" s="141" t="s">
        <v>787</v>
      </c>
      <c r="D384" s="141"/>
      <c r="E384" s="142" t="s">
        <v>788</v>
      </c>
      <c r="F384" s="141" t="s">
        <v>807</v>
      </c>
      <c r="G384" s="141" t="s">
        <v>808</v>
      </c>
      <c r="H384" s="141" t="s">
        <v>811</v>
      </c>
      <c r="I384" s="141" t="s">
        <v>812</v>
      </c>
    </row>
    <row r="385" spans="1:25" x14ac:dyDescent="0.2">
      <c r="A385" s="143">
        <v>0</v>
      </c>
      <c r="B385" s="142" t="s">
        <v>208</v>
      </c>
      <c r="C385" s="142" t="s">
        <v>1111</v>
      </c>
      <c r="D385" s="142"/>
      <c r="E385" s="145" t="s">
        <v>889</v>
      </c>
      <c r="F385" s="144">
        <v>0</v>
      </c>
      <c r="G385" s="144">
        <v>100</v>
      </c>
      <c r="H385" s="144"/>
      <c r="I385" s="144"/>
      <c r="X385" t="s">
        <v>426</v>
      </c>
    </row>
    <row r="386" spans="1:25" ht="19" x14ac:dyDescent="0.25">
      <c r="A386" s="143">
        <v>1</v>
      </c>
      <c r="B386" s="142" t="s">
        <v>208</v>
      </c>
      <c r="C386" s="142" t="s">
        <v>1112</v>
      </c>
      <c r="D386" s="142"/>
      <c r="E386" s="145" t="s">
        <v>890</v>
      </c>
      <c r="F386" s="144">
        <v>0</v>
      </c>
      <c r="G386" s="144">
        <v>100</v>
      </c>
      <c r="H386" s="144"/>
      <c r="I386" s="144"/>
      <c r="T386" s="19" t="s">
        <v>358</v>
      </c>
      <c r="W386" t="s">
        <v>418</v>
      </c>
    </row>
    <row r="387" spans="1:25" x14ac:dyDescent="0.2">
      <c r="A387" s="143">
        <v>2</v>
      </c>
      <c r="B387" s="142" t="s">
        <v>208</v>
      </c>
      <c r="C387" s="142" t="s">
        <v>1113</v>
      </c>
      <c r="D387" s="142"/>
      <c r="E387" s="145" t="s">
        <v>891</v>
      </c>
      <c r="F387" s="144">
        <v>0</v>
      </c>
      <c r="G387" s="144">
        <v>100</v>
      </c>
      <c r="H387" s="144"/>
      <c r="I387" s="144"/>
      <c r="T387" s="25" t="s">
        <v>387</v>
      </c>
      <c r="U387" s="25" t="s">
        <v>396</v>
      </c>
      <c r="W387" t="s">
        <v>208</v>
      </c>
      <c r="X387" t="s">
        <v>229</v>
      </c>
      <c r="Y387" t="s">
        <v>206</v>
      </c>
    </row>
    <row r="388" spans="1:25" x14ac:dyDescent="0.2">
      <c r="A388" s="143">
        <v>3</v>
      </c>
      <c r="B388" s="142" t="s">
        <v>208</v>
      </c>
      <c r="C388" s="142" t="s">
        <v>1114</v>
      </c>
      <c r="D388" s="142"/>
      <c r="E388" s="145" t="s">
        <v>892</v>
      </c>
      <c r="F388" s="144">
        <v>0</v>
      </c>
      <c r="G388" s="144">
        <v>100</v>
      </c>
      <c r="H388" s="144"/>
      <c r="I388" s="144"/>
      <c r="T388" s="3" t="s">
        <v>86</v>
      </c>
      <c r="U388" s="6" t="s">
        <v>203</v>
      </c>
      <c r="W388" t="s">
        <v>208</v>
      </c>
      <c r="X388" t="s">
        <v>209</v>
      </c>
      <c r="Y388" t="s">
        <v>206</v>
      </c>
    </row>
    <row r="389" spans="1:25" x14ac:dyDescent="0.2">
      <c r="A389" s="143">
        <v>4</v>
      </c>
      <c r="B389" s="142" t="s">
        <v>208</v>
      </c>
      <c r="C389" s="142" t="s">
        <v>1115</v>
      </c>
      <c r="D389" s="142"/>
      <c r="E389" s="145" t="s">
        <v>893</v>
      </c>
      <c r="F389" s="144">
        <v>0</v>
      </c>
      <c r="G389" s="144">
        <v>100</v>
      </c>
      <c r="H389" s="144"/>
      <c r="I389" s="144"/>
      <c r="T389" s="3" t="s">
        <v>88</v>
      </c>
      <c r="U389" s="6" t="s">
        <v>44</v>
      </c>
      <c r="W389" t="s">
        <v>208</v>
      </c>
      <c r="X389" t="s">
        <v>210</v>
      </c>
      <c r="Y389" t="s">
        <v>206</v>
      </c>
    </row>
    <row r="390" spans="1:25" x14ac:dyDescent="0.2">
      <c r="A390" s="143">
        <v>5</v>
      </c>
      <c r="B390" s="142" t="s">
        <v>208</v>
      </c>
      <c r="C390" s="142" t="s">
        <v>1116</v>
      </c>
      <c r="D390" s="142"/>
      <c r="E390" s="145" t="s">
        <v>894</v>
      </c>
      <c r="F390" s="144">
        <v>0</v>
      </c>
      <c r="G390" s="144">
        <v>100</v>
      </c>
      <c r="H390" s="144"/>
      <c r="I390" s="144"/>
      <c r="T390" s="3" t="s">
        <v>67</v>
      </c>
      <c r="U390" s="6" t="s">
        <v>44</v>
      </c>
      <c r="W390" t="s">
        <v>208</v>
      </c>
      <c r="X390" t="s">
        <v>211</v>
      </c>
      <c r="Y390" t="s">
        <v>206</v>
      </c>
    </row>
    <row r="391" spans="1:25" x14ac:dyDescent="0.2">
      <c r="A391" s="143">
        <v>6</v>
      </c>
      <c r="B391" s="142" t="s">
        <v>208</v>
      </c>
      <c r="C391" s="142" t="s">
        <v>1117</v>
      </c>
      <c r="D391" s="142"/>
      <c r="E391" s="145" t="s">
        <v>895</v>
      </c>
      <c r="F391" s="144">
        <v>0</v>
      </c>
      <c r="G391" s="144">
        <v>100</v>
      </c>
      <c r="H391" s="144"/>
      <c r="I391" s="144"/>
      <c r="T391" s="3" t="s">
        <v>68</v>
      </c>
      <c r="U391" s="6" t="s">
        <v>44</v>
      </c>
      <c r="W391" t="s">
        <v>208</v>
      </c>
      <c r="X391" t="s">
        <v>212</v>
      </c>
      <c r="Y391" t="s">
        <v>206</v>
      </c>
    </row>
    <row r="392" spans="1:25" x14ac:dyDescent="0.2">
      <c r="A392" s="143">
        <v>7</v>
      </c>
      <c r="B392" s="142" t="s">
        <v>208</v>
      </c>
      <c r="C392" s="142" t="s">
        <v>1118</v>
      </c>
      <c r="D392" s="142"/>
      <c r="E392" s="145" t="s">
        <v>896</v>
      </c>
      <c r="F392" s="144">
        <v>0</v>
      </c>
      <c r="G392" s="144">
        <v>100</v>
      </c>
      <c r="H392" s="144"/>
      <c r="I392" s="144"/>
      <c r="T392" s="3" t="s">
        <v>69</v>
      </c>
      <c r="U392" s="6" t="s">
        <v>44</v>
      </c>
      <c r="W392" t="s">
        <v>208</v>
      </c>
      <c r="X392" t="s">
        <v>213</v>
      </c>
      <c r="Y392" t="s">
        <v>206</v>
      </c>
    </row>
    <row r="393" spans="1:25" x14ac:dyDescent="0.2">
      <c r="A393" s="143">
        <v>8</v>
      </c>
      <c r="B393" s="142" t="s">
        <v>208</v>
      </c>
      <c r="C393" s="142" t="s">
        <v>1119</v>
      </c>
      <c r="D393" s="142"/>
      <c r="E393" s="145" t="s">
        <v>897</v>
      </c>
      <c r="F393" s="144">
        <v>0</v>
      </c>
      <c r="G393" s="144">
        <v>100</v>
      </c>
      <c r="H393" s="144"/>
      <c r="I393" s="144"/>
      <c r="T393" s="3" t="s">
        <v>70</v>
      </c>
      <c r="U393" s="6" t="s">
        <v>44</v>
      </c>
      <c r="W393" t="s">
        <v>208</v>
      </c>
      <c r="X393" t="s">
        <v>214</v>
      </c>
      <c r="Y393" t="s">
        <v>206</v>
      </c>
    </row>
    <row r="394" spans="1:25" x14ac:dyDescent="0.2">
      <c r="A394" s="143">
        <v>9</v>
      </c>
      <c r="B394" s="142" t="s">
        <v>208</v>
      </c>
      <c r="C394" s="142" t="s">
        <v>1120</v>
      </c>
      <c r="D394" s="142"/>
      <c r="E394" s="145" t="s">
        <v>898</v>
      </c>
      <c r="F394" s="144">
        <v>0</v>
      </c>
      <c r="G394" s="144">
        <v>100</v>
      </c>
      <c r="H394" s="144"/>
      <c r="I394" s="144"/>
      <c r="T394" s="3" t="s">
        <v>71</v>
      </c>
      <c r="U394" s="6" t="s">
        <v>44</v>
      </c>
      <c r="W394" t="s">
        <v>208</v>
      </c>
      <c r="X394" t="s">
        <v>215</v>
      </c>
      <c r="Y394" t="s">
        <v>206</v>
      </c>
    </row>
    <row r="395" spans="1:25" x14ac:dyDescent="0.2">
      <c r="A395" s="143">
        <v>10</v>
      </c>
      <c r="B395" s="142" t="s">
        <v>208</v>
      </c>
      <c r="C395" s="142" t="s">
        <v>1121</v>
      </c>
      <c r="D395" s="142"/>
      <c r="E395" s="145" t="s">
        <v>899</v>
      </c>
      <c r="F395" s="144">
        <v>0</v>
      </c>
      <c r="G395" s="144">
        <v>100</v>
      </c>
      <c r="H395" s="144"/>
      <c r="I395" s="144"/>
      <c r="T395" s="3" t="s">
        <v>72</v>
      </c>
      <c r="U395" s="6" t="s">
        <v>44</v>
      </c>
      <c r="W395" t="s">
        <v>208</v>
      </c>
      <c r="X395" t="s">
        <v>216</v>
      </c>
      <c r="Y395" t="s">
        <v>206</v>
      </c>
    </row>
    <row r="396" spans="1:25" x14ac:dyDescent="0.2">
      <c r="A396" s="143">
        <v>11</v>
      </c>
      <c r="B396" s="142" t="s">
        <v>208</v>
      </c>
      <c r="C396" s="142" t="s">
        <v>1122</v>
      </c>
      <c r="D396" s="142"/>
      <c r="E396" s="145" t="s">
        <v>900</v>
      </c>
      <c r="F396" s="144">
        <v>0</v>
      </c>
      <c r="G396" s="144">
        <v>100</v>
      </c>
      <c r="H396" s="144"/>
      <c r="I396" s="144"/>
      <c r="T396" s="3" t="s">
        <v>73</v>
      </c>
      <c r="U396" s="6" t="s">
        <v>44</v>
      </c>
      <c r="W396" t="s">
        <v>208</v>
      </c>
      <c r="X396" t="s">
        <v>217</v>
      </c>
      <c r="Y396" t="s">
        <v>206</v>
      </c>
    </row>
    <row r="397" spans="1:25" x14ac:dyDescent="0.2">
      <c r="A397" s="143">
        <v>12</v>
      </c>
      <c r="B397" s="142" t="s">
        <v>208</v>
      </c>
      <c r="C397" s="142" t="s">
        <v>1123</v>
      </c>
      <c r="D397" s="142"/>
      <c r="E397" s="145" t="s">
        <v>901</v>
      </c>
      <c r="F397" s="144">
        <v>0</v>
      </c>
      <c r="G397" s="144">
        <v>100</v>
      </c>
      <c r="H397" s="144"/>
      <c r="I397" s="144"/>
      <c r="T397" s="3" t="s">
        <v>74</v>
      </c>
      <c r="U397" s="6" t="s">
        <v>44</v>
      </c>
      <c r="W397" t="s">
        <v>208</v>
      </c>
      <c r="X397" t="s">
        <v>218</v>
      </c>
      <c r="Y397" t="s">
        <v>206</v>
      </c>
    </row>
    <row r="398" spans="1:25" x14ac:dyDescent="0.2">
      <c r="A398" s="143">
        <v>13</v>
      </c>
      <c r="B398" s="142" t="s">
        <v>208</v>
      </c>
      <c r="C398" s="142" t="s">
        <v>1124</v>
      </c>
      <c r="D398" s="142"/>
      <c r="E398" s="145" t="s">
        <v>902</v>
      </c>
      <c r="F398" s="144">
        <v>0</v>
      </c>
      <c r="G398" s="144">
        <v>100</v>
      </c>
      <c r="H398" s="144"/>
      <c r="I398" s="144"/>
      <c r="T398" s="3" t="s">
        <v>75</v>
      </c>
      <c r="U398" s="6" t="s">
        <v>44</v>
      </c>
      <c r="W398" t="s">
        <v>208</v>
      </c>
      <c r="X398" t="s">
        <v>219</v>
      </c>
      <c r="Y398" t="s">
        <v>206</v>
      </c>
    </row>
    <row r="399" spans="1:25" x14ac:dyDescent="0.2">
      <c r="A399" s="143">
        <v>14</v>
      </c>
      <c r="B399" s="142" t="s">
        <v>208</v>
      </c>
      <c r="C399" s="142" t="s">
        <v>1125</v>
      </c>
      <c r="D399" s="142"/>
      <c r="E399" s="145" t="s">
        <v>903</v>
      </c>
      <c r="F399" s="144">
        <v>0</v>
      </c>
      <c r="G399" s="144">
        <v>100</v>
      </c>
      <c r="H399" s="144"/>
      <c r="I399" s="144"/>
      <c r="T399" s="3" t="s">
        <v>76</v>
      </c>
      <c r="U399" s="6" t="s">
        <v>44</v>
      </c>
      <c r="W399" t="s">
        <v>208</v>
      </c>
      <c r="X399" t="s">
        <v>220</v>
      </c>
      <c r="Y399" t="s">
        <v>206</v>
      </c>
    </row>
    <row r="400" spans="1:25" x14ac:dyDescent="0.2">
      <c r="A400" s="143">
        <v>15</v>
      </c>
      <c r="B400" s="142" t="s">
        <v>208</v>
      </c>
      <c r="C400" s="142" t="s">
        <v>1126</v>
      </c>
      <c r="D400" s="142"/>
      <c r="E400" s="145" t="s">
        <v>904</v>
      </c>
      <c r="F400" s="144">
        <v>0</v>
      </c>
      <c r="G400" s="144">
        <v>100</v>
      </c>
      <c r="H400" s="144"/>
      <c r="I400" s="144"/>
      <c r="T400" s="3" t="s">
        <v>77</v>
      </c>
      <c r="U400" s="6" t="s">
        <v>44</v>
      </c>
      <c r="W400" t="s">
        <v>208</v>
      </c>
      <c r="X400" t="s">
        <v>221</v>
      </c>
      <c r="Y400" t="s">
        <v>206</v>
      </c>
    </row>
    <row r="401" spans="1:25" x14ac:dyDescent="0.2">
      <c r="A401" s="143">
        <v>16</v>
      </c>
      <c r="B401" s="142" t="s">
        <v>208</v>
      </c>
      <c r="C401" s="142" t="s">
        <v>1127</v>
      </c>
      <c r="D401" s="142"/>
      <c r="E401" s="145" t="s">
        <v>905</v>
      </c>
      <c r="F401" s="144">
        <v>0</v>
      </c>
      <c r="G401" s="144">
        <v>100</v>
      </c>
      <c r="H401" s="144"/>
      <c r="I401" s="144"/>
      <c r="T401" s="3" t="s">
        <v>78</v>
      </c>
      <c r="U401" s="6" t="s">
        <v>44</v>
      </c>
      <c r="W401" t="s">
        <v>208</v>
      </c>
      <c r="X401" t="s">
        <v>222</v>
      </c>
      <c r="Y401" t="s">
        <v>206</v>
      </c>
    </row>
    <row r="402" spans="1:25" x14ac:dyDescent="0.2">
      <c r="A402" s="143">
        <v>17</v>
      </c>
      <c r="B402" s="142" t="s">
        <v>208</v>
      </c>
      <c r="C402" s="142" t="s">
        <v>1128</v>
      </c>
      <c r="D402" s="142"/>
      <c r="E402" s="145" t="s">
        <v>906</v>
      </c>
      <c r="F402" s="144">
        <v>0</v>
      </c>
      <c r="G402" s="144">
        <v>100</v>
      </c>
      <c r="H402" s="144"/>
      <c r="I402" s="144"/>
      <c r="T402" s="3" t="s">
        <v>79</v>
      </c>
      <c r="U402" s="6" t="s">
        <v>44</v>
      </c>
      <c r="W402" t="s">
        <v>208</v>
      </c>
      <c r="X402" t="s">
        <v>223</v>
      </c>
      <c r="Y402" t="s">
        <v>206</v>
      </c>
    </row>
    <row r="403" spans="1:25" x14ac:dyDescent="0.2">
      <c r="A403" s="143">
        <v>18</v>
      </c>
      <c r="B403" s="142" t="s">
        <v>208</v>
      </c>
      <c r="C403" s="142" t="s">
        <v>1129</v>
      </c>
      <c r="D403" s="142"/>
      <c r="E403" s="145" t="s">
        <v>907</v>
      </c>
      <c r="F403" s="144">
        <v>0</v>
      </c>
      <c r="G403" s="144">
        <v>100</v>
      </c>
      <c r="H403" s="144"/>
      <c r="I403" s="144"/>
      <c r="T403" s="3" t="s">
        <v>80</v>
      </c>
      <c r="U403" s="6" t="s">
        <v>44</v>
      </c>
      <c r="W403" t="s">
        <v>208</v>
      </c>
      <c r="X403" t="s">
        <v>224</v>
      </c>
      <c r="Y403" t="s">
        <v>206</v>
      </c>
    </row>
    <row r="404" spans="1:25" x14ac:dyDescent="0.2">
      <c r="A404" s="143">
        <v>19</v>
      </c>
      <c r="B404" s="142" t="s">
        <v>208</v>
      </c>
      <c r="C404" s="142" t="s">
        <v>1130</v>
      </c>
      <c r="D404" s="142"/>
      <c r="E404" s="145" t="s">
        <v>908</v>
      </c>
      <c r="F404" s="144">
        <v>0</v>
      </c>
      <c r="G404" s="144">
        <v>100</v>
      </c>
      <c r="H404" s="144"/>
      <c r="I404" s="144"/>
      <c r="T404" s="3" t="s">
        <v>81</v>
      </c>
      <c r="U404" s="6" t="s">
        <v>44</v>
      </c>
      <c r="W404" t="s">
        <v>208</v>
      </c>
      <c r="X404" t="s">
        <v>225</v>
      </c>
      <c r="Y404" t="s">
        <v>206</v>
      </c>
    </row>
    <row r="405" spans="1:25" x14ac:dyDescent="0.2">
      <c r="A405" s="143">
        <v>20</v>
      </c>
      <c r="B405" s="142" t="s">
        <v>208</v>
      </c>
      <c r="C405" s="142" t="s">
        <v>1131</v>
      </c>
      <c r="D405" s="142"/>
      <c r="E405" s="145" t="s">
        <v>1151</v>
      </c>
      <c r="F405" s="144">
        <v>0</v>
      </c>
      <c r="G405" s="144">
        <v>100</v>
      </c>
      <c r="H405" s="144"/>
      <c r="I405" s="144"/>
      <c r="T405" s="3"/>
      <c r="U405" s="6"/>
    </row>
    <row r="406" spans="1:25" x14ac:dyDescent="0.2">
      <c r="A406" s="143">
        <v>21</v>
      </c>
      <c r="B406" s="142" t="s">
        <v>208</v>
      </c>
      <c r="C406" s="142" t="s">
        <v>1132</v>
      </c>
      <c r="D406" s="142"/>
      <c r="E406" s="145" t="s">
        <v>1152</v>
      </c>
      <c r="F406" s="144">
        <v>0</v>
      </c>
      <c r="G406" s="144">
        <v>100</v>
      </c>
      <c r="H406" s="144"/>
      <c r="I406" s="144"/>
      <c r="T406" s="3"/>
      <c r="U406" s="6"/>
    </row>
    <row r="407" spans="1:25" x14ac:dyDescent="0.2">
      <c r="A407" s="143">
        <v>22</v>
      </c>
      <c r="B407" s="142" t="s">
        <v>208</v>
      </c>
      <c r="C407" s="142" t="s">
        <v>1133</v>
      </c>
      <c r="D407" s="142"/>
      <c r="E407" s="145" t="s">
        <v>1153</v>
      </c>
      <c r="F407" s="144">
        <v>0</v>
      </c>
      <c r="G407" s="144">
        <v>100</v>
      </c>
      <c r="H407" s="144"/>
      <c r="I407" s="144"/>
      <c r="T407" s="3"/>
      <c r="U407" s="6"/>
    </row>
    <row r="408" spans="1:25" x14ac:dyDescent="0.2">
      <c r="A408" s="143">
        <v>23</v>
      </c>
      <c r="B408" s="142" t="s">
        <v>208</v>
      </c>
      <c r="C408" s="142" t="s">
        <v>1134</v>
      </c>
      <c r="D408" s="142"/>
      <c r="E408" s="145" t="s">
        <v>1154</v>
      </c>
      <c r="F408" s="144">
        <v>0</v>
      </c>
      <c r="G408" s="144">
        <v>100</v>
      </c>
      <c r="H408" s="144"/>
      <c r="I408" s="144"/>
      <c r="T408" s="3"/>
      <c r="U408" s="6"/>
    </row>
    <row r="409" spans="1:25" x14ac:dyDescent="0.2">
      <c r="A409" s="143">
        <v>24</v>
      </c>
      <c r="B409" s="142" t="s">
        <v>208</v>
      </c>
      <c r="C409" s="142" t="s">
        <v>1135</v>
      </c>
      <c r="D409" s="142"/>
      <c r="E409" s="145" t="s">
        <v>1155</v>
      </c>
      <c r="F409" s="144">
        <v>0</v>
      </c>
      <c r="G409" s="144">
        <v>100</v>
      </c>
      <c r="H409" s="144"/>
      <c r="I409" s="144"/>
      <c r="T409" s="3"/>
      <c r="U409" s="6"/>
    </row>
    <row r="410" spans="1:25" x14ac:dyDescent="0.2">
      <c r="A410" s="143">
        <v>25</v>
      </c>
      <c r="B410" s="142" t="s">
        <v>208</v>
      </c>
      <c r="C410" s="142" t="s">
        <v>1136</v>
      </c>
      <c r="D410" s="142"/>
      <c r="E410" s="145" t="s">
        <v>1156</v>
      </c>
      <c r="F410" s="144">
        <v>0</v>
      </c>
      <c r="G410" s="144">
        <v>100</v>
      </c>
      <c r="H410" s="144"/>
      <c r="I410" s="144"/>
      <c r="T410" s="3"/>
      <c r="U410" s="6"/>
    </row>
    <row r="411" spans="1:25" x14ac:dyDescent="0.2">
      <c r="A411" s="143">
        <v>26</v>
      </c>
      <c r="B411" s="142" t="s">
        <v>208</v>
      </c>
      <c r="C411" s="142" t="s">
        <v>1137</v>
      </c>
      <c r="D411" s="142"/>
      <c r="E411" s="145" t="s">
        <v>1157</v>
      </c>
      <c r="F411" s="144">
        <v>0</v>
      </c>
      <c r="G411" s="144">
        <v>100</v>
      </c>
      <c r="H411" s="144"/>
      <c r="I411" s="144"/>
      <c r="T411" s="3"/>
      <c r="U411" s="6"/>
    </row>
    <row r="412" spans="1:25" x14ac:dyDescent="0.2">
      <c r="A412" s="143">
        <v>27</v>
      </c>
      <c r="B412" s="142" t="s">
        <v>208</v>
      </c>
      <c r="C412" s="142" t="s">
        <v>1138</v>
      </c>
      <c r="D412" s="142"/>
      <c r="E412" s="145" t="s">
        <v>1158</v>
      </c>
      <c r="F412" s="144">
        <v>0</v>
      </c>
      <c r="G412" s="144">
        <v>100</v>
      </c>
      <c r="H412" s="144"/>
      <c r="I412" s="144"/>
      <c r="T412" s="3"/>
      <c r="U412" s="6"/>
    </row>
    <row r="413" spans="1:25" x14ac:dyDescent="0.2">
      <c r="A413" s="143">
        <v>28</v>
      </c>
      <c r="B413" s="142" t="s">
        <v>208</v>
      </c>
      <c r="C413" s="142" t="s">
        <v>1139</v>
      </c>
      <c r="D413" s="142"/>
      <c r="E413" s="145" t="s">
        <v>1159</v>
      </c>
      <c r="F413" s="144">
        <v>0</v>
      </c>
      <c r="G413" s="144">
        <v>100</v>
      </c>
      <c r="H413" s="144"/>
      <c r="I413" s="144"/>
      <c r="T413" s="3"/>
      <c r="U413" s="6"/>
    </row>
    <row r="414" spans="1:25" x14ac:dyDescent="0.2">
      <c r="A414" s="143">
        <v>29</v>
      </c>
      <c r="B414" s="142" t="s">
        <v>208</v>
      </c>
      <c r="C414" s="142" t="s">
        <v>1140</v>
      </c>
      <c r="D414" s="142"/>
      <c r="E414" s="145" t="s">
        <v>1160</v>
      </c>
      <c r="F414" s="144">
        <v>0</v>
      </c>
      <c r="G414" s="144">
        <v>100</v>
      </c>
      <c r="H414" s="144"/>
      <c r="I414" s="144"/>
      <c r="T414" s="3"/>
      <c r="U414" s="6"/>
    </row>
    <row r="415" spans="1:25" x14ac:dyDescent="0.2">
      <c r="A415" s="143">
        <v>30</v>
      </c>
      <c r="B415" s="142" t="s">
        <v>208</v>
      </c>
      <c r="C415" s="142" t="s">
        <v>1141</v>
      </c>
      <c r="D415" s="142"/>
      <c r="E415" s="145" t="s">
        <v>1161</v>
      </c>
      <c r="F415" s="144">
        <v>0</v>
      </c>
      <c r="G415" s="144">
        <v>100</v>
      </c>
      <c r="H415" s="144"/>
      <c r="I415" s="144"/>
      <c r="T415" s="3"/>
      <c r="U415" s="6"/>
    </row>
    <row r="416" spans="1:25" x14ac:dyDescent="0.2">
      <c r="A416" s="143">
        <v>31</v>
      </c>
      <c r="B416" s="142" t="s">
        <v>208</v>
      </c>
      <c r="C416" s="142" t="s">
        <v>1142</v>
      </c>
      <c r="D416" s="142"/>
      <c r="E416" s="145" t="s">
        <v>1162</v>
      </c>
      <c r="F416" s="144">
        <v>0</v>
      </c>
      <c r="G416" s="144">
        <v>100</v>
      </c>
      <c r="H416" s="144"/>
      <c r="I416" s="144"/>
      <c r="T416" s="3"/>
      <c r="U416" s="6"/>
    </row>
    <row r="417" spans="1:25" x14ac:dyDescent="0.2">
      <c r="A417" s="143">
        <v>32</v>
      </c>
      <c r="B417" s="142" t="s">
        <v>208</v>
      </c>
      <c r="C417" s="142" t="s">
        <v>1143</v>
      </c>
      <c r="D417" s="142"/>
      <c r="E417" s="145" t="s">
        <v>1163</v>
      </c>
      <c r="F417" s="144">
        <v>0</v>
      </c>
      <c r="G417" s="144">
        <v>100</v>
      </c>
      <c r="H417" s="144"/>
      <c r="I417" s="144"/>
      <c r="T417" s="3"/>
      <c r="U417" s="6"/>
    </row>
    <row r="418" spans="1:25" x14ac:dyDescent="0.2">
      <c r="A418" s="143">
        <v>33</v>
      </c>
      <c r="B418" s="142" t="s">
        <v>208</v>
      </c>
      <c r="C418" s="142" t="s">
        <v>1144</v>
      </c>
      <c r="D418" s="142"/>
      <c r="E418" s="145" t="s">
        <v>1164</v>
      </c>
      <c r="F418" s="144">
        <v>0</v>
      </c>
      <c r="G418" s="144">
        <v>100</v>
      </c>
      <c r="H418" s="144"/>
      <c r="I418" s="144"/>
      <c r="T418" s="3"/>
      <c r="U418" s="6"/>
    </row>
    <row r="419" spans="1:25" x14ac:dyDescent="0.2">
      <c r="A419" s="143">
        <v>34</v>
      </c>
      <c r="B419" s="142" t="s">
        <v>208</v>
      </c>
      <c r="C419" s="142" t="s">
        <v>1145</v>
      </c>
      <c r="D419" s="142"/>
      <c r="E419" s="145" t="s">
        <v>1165</v>
      </c>
      <c r="F419" s="144">
        <v>0</v>
      </c>
      <c r="G419" s="144">
        <v>100</v>
      </c>
      <c r="H419" s="144"/>
      <c r="I419" s="144"/>
      <c r="T419" s="3"/>
      <c r="U419" s="6"/>
    </row>
    <row r="420" spans="1:25" x14ac:dyDescent="0.2">
      <c r="A420" s="143">
        <v>35</v>
      </c>
      <c r="B420" s="142" t="s">
        <v>208</v>
      </c>
      <c r="C420" s="142" t="s">
        <v>1146</v>
      </c>
      <c r="D420" s="142"/>
      <c r="E420" s="145" t="s">
        <v>1166</v>
      </c>
      <c r="F420" s="144">
        <v>0</v>
      </c>
      <c r="G420" s="144">
        <v>100</v>
      </c>
      <c r="H420" s="144"/>
      <c r="I420" s="144"/>
      <c r="T420" s="3"/>
      <c r="U420" s="6"/>
    </row>
    <row r="421" spans="1:25" x14ac:dyDescent="0.2">
      <c r="A421" s="143">
        <v>36</v>
      </c>
      <c r="B421" s="142" t="s">
        <v>208</v>
      </c>
      <c r="C421" s="142" t="s">
        <v>1147</v>
      </c>
      <c r="D421" s="142"/>
      <c r="E421" s="145" t="s">
        <v>1167</v>
      </c>
      <c r="F421" s="144">
        <v>0</v>
      </c>
      <c r="G421" s="144">
        <v>100</v>
      </c>
      <c r="H421" s="144"/>
      <c r="I421" s="144"/>
      <c r="T421" s="3"/>
      <c r="U421" s="6"/>
    </row>
    <row r="422" spans="1:25" x14ac:dyDescent="0.2">
      <c r="A422" s="143">
        <v>37</v>
      </c>
      <c r="B422" s="142" t="s">
        <v>208</v>
      </c>
      <c r="C422" s="142" t="s">
        <v>1148</v>
      </c>
      <c r="D422" s="142"/>
      <c r="E422" s="145" t="s">
        <v>1168</v>
      </c>
      <c r="F422" s="144">
        <v>0</v>
      </c>
      <c r="G422" s="144">
        <v>100</v>
      </c>
      <c r="H422" s="144"/>
      <c r="I422" s="144"/>
      <c r="T422" s="3"/>
      <c r="U422" s="6"/>
    </row>
    <row r="423" spans="1:25" x14ac:dyDescent="0.2">
      <c r="A423" s="143">
        <v>38</v>
      </c>
      <c r="B423" s="142" t="s">
        <v>208</v>
      </c>
      <c r="C423" s="142" t="s">
        <v>1149</v>
      </c>
      <c r="D423" s="142"/>
      <c r="E423" s="145" t="s">
        <v>1169</v>
      </c>
      <c r="F423" s="144">
        <v>0</v>
      </c>
      <c r="G423" s="144">
        <v>100</v>
      </c>
      <c r="H423" s="144"/>
      <c r="I423" s="144"/>
      <c r="T423" s="3"/>
      <c r="U423" s="6"/>
    </row>
    <row r="424" spans="1:25" x14ac:dyDescent="0.2">
      <c r="A424" s="143">
        <v>39</v>
      </c>
      <c r="B424" s="142" t="s">
        <v>208</v>
      </c>
      <c r="C424" s="142" t="s">
        <v>1150</v>
      </c>
      <c r="D424" s="142"/>
      <c r="E424" s="145" t="s">
        <v>1170</v>
      </c>
      <c r="F424" s="144">
        <v>0</v>
      </c>
      <c r="G424" s="144">
        <v>100</v>
      </c>
      <c r="H424" s="144"/>
      <c r="I424" s="144"/>
      <c r="T424" s="3"/>
      <c r="U424" s="6"/>
    </row>
    <row r="425" spans="1:25" ht="17" thickBot="1" x14ac:dyDescent="0.25">
      <c r="A425" s="147"/>
      <c r="E425" s="182"/>
      <c r="F425" s="146"/>
      <c r="G425" s="146"/>
      <c r="H425" s="146"/>
      <c r="I425" s="146"/>
      <c r="T425" s="3"/>
      <c r="U425" s="6"/>
    </row>
    <row r="426" spans="1:25" x14ac:dyDescent="0.2">
      <c r="A426" s="106" t="s">
        <v>816</v>
      </c>
      <c r="B426" s="107" t="s">
        <v>1190</v>
      </c>
      <c r="C426" s="108"/>
      <c r="D426" s="108"/>
      <c r="E426" s="108"/>
      <c r="F426" s="108"/>
      <c r="G426" s="108"/>
      <c r="H426" s="108"/>
      <c r="I426" s="108"/>
      <c r="T426" s="3" t="s">
        <v>82</v>
      </c>
      <c r="U426" s="6" t="s">
        <v>44</v>
      </c>
      <c r="W426" t="s">
        <v>208</v>
      </c>
      <c r="X426" t="s">
        <v>226</v>
      </c>
      <c r="Y426" t="s">
        <v>206</v>
      </c>
    </row>
    <row r="427" spans="1:25" x14ac:dyDescent="0.2">
      <c r="A427" s="109" t="s">
        <v>817</v>
      </c>
      <c r="B427" s="110" t="s">
        <v>1191</v>
      </c>
      <c r="C427" s="111"/>
      <c r="D427" s="111"/>
      <c r="E427" s="111"/>
      <c r="F427" s="111"/>
      <c r="G427" s="111"/>
      <c r="H427" s="111"/>
      <c r="I427" s="111"/>
      <c r="T427" s="3" t="s">
        <v>83</v>
      </c>
      <c r="U427" s="6" t="s">
        <v>44</v>
      </c>
      <c r="W427" t="s">
        <v>208</v>
      </c>
      <c r="X427" t="s">
        <v>227</v>
      </c>
      <c r="Y427" t="s">
        <v>206</v>
      </c>
    </row>
    <row r="428" spans="1:25" x14ac:dyDescent="0.2">
      <c r="A428" s="109" t="s">
        <v>772</v>
      </c>
      <c r="B428" s="110" t="s">
        <v>1192</v>
      </c>
      <c r="C428" s="111"/>
      <c r="D428" s="111"/>
      <c r="E428" s="111"/>
      <c r="F428" s="111"/>
      <c r="G428" s="111"/>
      <c r="H428" s="111"/>
      <c r="I428" s="111"/>
      <c r="T428" s="3" t="s">
        <v>84</v>
      </c>
      <c r="U428" s="6" t="s">
        <v>44</v>
      </c>
      <c r="W428" t="s">
        <v>208</v>
      </c>
      <c r="X428" t="s">
        <v>228</v>
      </c>
      <c r="Y428" t="s">
        <v>206</v>
      </c>
    </row>
    <row r="429" spans="1:25" x14ac:dyDescent="0.2">
      <c r="A429" s="109" t="s">
        <v>818</v>
      </c>
      <c r="B429" s="110" t="s">
        <v>1193</v>
      </c>
      <c r="C429" s="111"/>
      <c r="D429" s="111"/>
      <c r="E429" s="111"/>
      <c r="F429" s="111"/>
      <c r="G429" s="111"/>
      <c r="H429" s="111"/>
      <c r="I429" s="111"/>
      <c r="T429" s="3" t="s">
        <v>85</v>
      </c>
      <c r="U429" s="6" t="s">
        <v>44</v>
      </c>
      <c r="W429" t="s">
        <v>207</v>
      </c>
    </row>
    <row r="430" spans="1:25" x14ac:dyDescent="0.2">
      <c r="A430" s="109" t="s">
        <v>819</v>
      </c>
      <c r="B430" s="110" t="s">
        <v>921</v>
      </c>
      <c r="C430" s="111"/>
      <c r="D430" s="111"/>
      <c r="E430" s="111"/>
      <c r="F430" s="111"/>
      <c r="G430" s="111"/>
      <c r="H430" s="111"/>
      <c r="I430" s="111"/>
      <c r="T430" s="3" t="s">
        <v>204</v>
      </c>
      <c r="U430" s="6" t="s">
        <v>205</v>
      </c>
    </row>
    <row r="431" spans="1:25" x14ac:dyDescent="0.2">
      <c r="A431" s="109" t="s">
        <v>970</v>
      </c>
      <c r="B431" s="110" t="s">
        <v>913</v>
      </c>
      <c r="C431" s="111"/>
      <c r="D431" s="111"/>
      <c r="E431" s="111"/>
      <c r="F431" s="111"/>
      <c r="G431" s="111"/>
      <c r="H431" s="111"/>
      <c r="I431" s="111"/>
      <c r="T431" s="3" t="s">
        <v>1</v>
      </c>
      <c r="U431" s="6"/>
    </row>
    <row r="432" spans="1:25" x14ac:dyDescent="0.2">
      <c r="A432" s="109" t="s">
        <v>820</v>
      </c>
      <c r="B432" s="110"/>
      <c r="C432" s="111"/>
      <c r="D432" s="111"/>
      <c r="E432" s="111"/>
      <c r="F432" s="111"/>
      <c r="G432" s="111"/>
      <c r="H432" s="111"/>
      <c r="I432" s="111"/>
      <c r="T432" s="3" t="s">
        <v>0</v>
      </c>
      <c r="U432" s="6"/>
    </row>
    <row r="433" spans="1:21" x14ac:dyDescent="0.2">
      <c r="A433" s="109" t="s">
        <v>821</v>
      </c>
      <c r="B433" s="110" t="s">
        <v>968</v>
      </c>
      <c r="C433" s="111"/>
      <c r="D433" s="111"/>
      <c r="E433" s="111"/>
      <c r="F433" s="111"/>
      <c r="G433" s="111"/>
      <c r="H433" s="111"/>
      <c r="I433" s="111"/>
      <c r="T433" s="8" t="s">
        <v>98</v>
      </c>
      <c r="U433" s="3" t="s">
        <v>421</v>
      </c>
    </row>
    <row r="434" spans="1:21" ht="17" thickBot="1" x14ac:dyDescent="0.25">
      <c r="A434" s="109" t="s">
        <v>793</v>
      </c>
      <c r="B434" s="112">
        <v>7</v>
      </c>
      <c r="C434" s="113"/>
      <c r="D434" s="113"/>
      <c r="E434" s="113"/>
      <c r="F434" s="113"/>
      <c r="G434" s="113"/>
      <c r="H434" s="113"/>
      <c r="I434" s="113" t="s">
        <v>932</v>
      </c>
      <c r="T434" s="4" t="s">
        <v>1</v>
      </c>
      <c r="U434" s="7"/>
    </row>
    <row r="435" spans="1:21" x14ac:dyDescent="0.2">
      <c r="A435" s="114" t="s">
        <v>784</v>
      </c>
      <c r="B435" s="115" t="s">
        <v>785</v>
      </c>
      <c r="C435" s="115" t="s">
        <v>787</v>
      </c>
      <c r="D435" s="115"/>
      <c r="E435" s="115" t="s">
        <v>788</v>
      </c>
      <c r="F435" s="115" t="s">
        <v>807</v>
      </c>
      <c r="G435" s="115" t="s">
        <v>808</v>
      </c>
      <c r="H435" s="115" t="s">
        <v>811</v>
      </c>
      <c r="I435" s="115" t="s">
        <v>812</v>
      </c>
    </row>
    <row r="436" spans="1:21" x14ac:dyDescent="0.2">
      <c r="A436" s="116">
        <v>0</v>
      </c>
      <c r="B436" s="117" t="s">
        <v>208</v>
      </c>
      <c r="C436" s="117" t="s">
        <v>1194</v>
      </c>
      <c r="D436" s="117"/>
      <c r="E436" s="118" t="s">
        <v>1195</v>
      </c>
      <c r="F436" s="118">
        <v>0</v>
      </c>
      <c r="G436" s="118">
        <v>1</v>
      </c>
      <c r="H436" s="118">
        <v>0</v>
      </c>
      <c r="I436" s="118" t="s">
        <v>1196</v>
      </c>
    </row>
    <row r="437" spans="1:21" ht="17" thickBot="1" x14ac:dyDescent="0.25"/>
    <row r="438" spans="1:21" x14ac:dyDescent="0.2">
      <c r="A438" s="132" t="s">
        <v>816</v>
      </c>
      <c r="B438" s="133" t="s">
        <v>1038</v>
      </c>
      <c r="C438" s="134"/>
      <c r="D438" s="134"/>
      <c r="E438" s="134"/>
      <c r="F438" s="134"/>
      <c r="G438" s="134"/>
      <c r="H438" s="134"/>
      <c r="I438" s="134"/>
    </row>
    <row r="439" spans="1:21" x14ac:dyDescent="0.2">
      <c r="A439" s="135" t="s">
        <v>817</v>
      </c>
      <c r="B439" s="136" t="s">
        <v>1234</v>
      </c>
      <c r="C439" s="137"/>
      <c r="D439" s="137"/>
      <c r="E439" s="137"/>
      <c r="F439" s="137"/>
      <c r="G439" s="137"/>
      <c r="H439" s="137"/>
      <c r="I439" s="137"/>
    </row>
    <row r="440" spans="1:21" x14ac:dyDescent="0.2">
      <c r="A440" s="135" t="s">
        <v>772</v>
      </c>
      <c r="B440" s="136" t="s">
        <v>1235</v>
      </c>
      <c r="C440" s="137"/>
      <c r="D440" s="137"/>
      <c r="E440" s="137"/>
      <c r="F440" s="137"/>
      <c r="G440" s="137"/>
      <c r="H440" s="137"/>
      <c r="I440" s="137"/>
    </row>
    <row r="441" spans="1:21" x14ac:dyDescent="0.2">
      <c r="A441" s="135" t="s">
        <v>818</v>
      </c>
      <c r="B441" s="136" t="s">
        <v>1234</v>
      </c>
      <c r="C441" s="137"/>
      <c r="D441" s="137"/>
      <c r="E441" s="137"/>
      <c r="F441" s="137"/>
      <c r="G441" s="137"/>
      <c r="H441" s="137"/>
      <c r="I441" s="137"/>
    </row>
    <row r="442" spans="1:21" x14ac:dyDescent="0.2">
      <c r="A442" s="135" t="s">
        <v>970</v>
      </c>
      <c r="B442" s="136" t="s">
        <v>1234</v>
      </c>
      <c r="C442" s="137"/>
      <c r="D442" s="137"/>
      <c r="E442" s="137"/>
      <c r="F442" s="137"/>
      <c r="G442" s="137"/>
      <c r="H442" s="137"/>
      <c r="I442" s="137"/>
    </row>
    <row r="443" spans="1:21" x14ac:dyDescent="0.2">
      <c r="A443" s="135" t="s">
        <v>940</v>
      </c>
      <c r="B443" s="136" t="s">
        <v>941</v>
      </c>
      <c r="C443" s="137"/>
      <c r="D443" s="137"/>
      <c r="E443" s="137"/>
      <c r="F443" s="137"/>
      <c r="G443" s="137"/>
      <c r="H443" s="137"/>
      <c r="I443" s="137"/>
    </row>
    <row r="444" spans="1:21" x14ac:dyDescent="0.2">
      <c r="A444" s="135" t="s">
        <v>820</v>
      </c>
      <c r="B444" s="136" t="s">
        <v>1236</v>
      </c>
      <c r="C444" s="137"/>
      <c r="D444" s="137"/>
      <c r="E444" s="137"/>
      <c r="F444" s="137"/>
      <c r="G444" s="137"/>
      <c r="H444" s="137"/>
      <c r="I444" s="137"/>
    </row>
    <row r="445" spans="1:21" x14ac:dyDescent="0.2">
      <c r="A445" s="135" t="s">
        <v>821</v>
      </c>
      <c r="B445" s="136"/>
      <c r="C445" s="137"/>
      <c r="D445" s="137"/>
      <c r="E445" s="137"/>
      <c r="F445" s="137"/>
      <c r="G445" s="137"/>
      <c r="H445" s="137"/>
      <c r="I445" s="137"/>
    </row>
    <row r="446" spans="1:21" ht="17" thickBot="1" x14ac:dyDescent="0.25">
      <c r="A446" s="135" t="s">
        <v>793</v>
      </c>
      <c r="B446" s="138">
        <v>10</v>
      </c>
      <c r="C446" s="139"/>
      <c r="D446" s="139"/>
      <c r="E446" s="139"/>
      <c r="F446" s="139"/>
      <c r="G446" s="139"/>
      <c r="H446" s="139"/>
      <c r="I446" s="139"/>
    </row>
    <row r="447" spans="1:21" x14ac:dyDescent="0.2">
      <c r="A447" s="140" t="s">
        <v>784</v>
      </c>
      <c r="B447" s="141" t="s">
        <v>785</v>
      </c>
      <c r="C447" s="141" t="s">
        <v>787</v>
      </c>
      <c r="D447" s="141"/>
      <c r="E447" s="142" t="s">
        <v>788</v>
      </c>
      <c r="F447" s="141" t="s">
        <v>807</v>
      </c>
      <c r="G447" s="141" t="s">
        <v>808</v>
      </c>
      <c r="H447" s="141" t="s">
        <v>811</v>
      </c>
      <c r="I447" s="141" t="s">
        <v>812</v>
      </c>
    </row>
    <row r="448" spans="1:21" x14ac:dyDescent="0.2">
      <c r="A448" s="143">
        <v>0</v>
      </c>
      <c r="B448" s="142" t="s">
        <v>208</v>
      </c>
      <c r="C448" s="142" t="s">
        <v>1041</v>
      </c>
      <c r="D448" s="142"/>
      <c r="E448" s="145" t="s">
        <v>1042</v>
      </c>
      <c r="F448" s="144"/>
      <c r="G448" s="144"/>
      <c r="H448" s="144"/>
      <c r="I448" s="144"/>
    </row>
    <row r="449" spans="1:9" x14ac:dyDescent="0.2">
      <c r="A449" s="143">
        <v>1</v>
      </c>
      <c r="B449" s="142" t="s">
        <v>208</v>
      </c>
      <c r="C449" s="142" t="s">
        <v>1043</v>
      </c>
      <c r="D449" s="142"/>
      <c r="E449" s="145" t="s">
        <v>1045</v>
      </c>
      <c r="F449" s="144"/>
      <c r="G449" s="144"/>
      <c r="H449" s="144"/>
      <c r="I449" s="144"/>
    </row>
    <row r="450" spans="1:9" x14ac:dyDescent="0.2">
      <c r="A450" s="143">
        <v>2</v>
      </c>
      <c r="B450" s="142" t="s">
        <v>208</v>
      </c>
      <c r="C450" s="142" t="s">
        <v>1044</v>
      </c>
      <c r="D450" s="142"/>
      <c r="E450" s="145" t="s">
        <v>1046</v>
      </c>
      <c r="F450" s="144"/>
      <c r="G450" s="144"/>
      <c r="H450" s="144"/>
      <c r="I450" s="144"/>
    </row>
    <row r="451" spans="1:9" x14ac:dyDescent="0.2">
      <c r="A451" s="143">
        <v>3</v>
      </c>
      <c r="B451" s="142" t="s">
        <v>208</v>
      </c>
      <c r="C451" s="142" t="s">
        <v>1047</v>
      </c>
      <c r="D451" s="142"/>
      <c r="E451" s="145" t="s">
        <v>1050</v>
      </c>
      <c r="F451" s="144"/>
      <c r="G451" s="144"/>
      <c r="H451" s="144"/>
      <c r="I451" s="144"/>
    </row>
    <row r="452" spans="1:9" x14ac:dyDescent="0.2">
      <c r="A452" s="143">
        <v>4</v>
      </c>
      <c r="B452" s="142" t="s">
        <v>208</v>
      </c>
      <c r="C452" s="142" t="s">
        <v>1048</v>
      </c>
      <c r="D452" s="142"/>
      <c r="E452" s="145" t="s">
        <v>1051</v>
      </c>
      <c r="F452" s="144"/>
      <c r="G452" s="144"/>
      <c r="H452" s="144"/>
      <c r="I452" s="144"/>
    </row>
    <row r="453" spans="1:9" x14ac:dyDescent="0.2">
      <c r="A453" s="143">
        <v>5</v>
      </c>
      <c r="B453" s="142" t="s">
        <v>208</v>
      </c>
      <c r="C453" s="142" t="s">
        <v>1049</v>
      </c>
      <c r="D453" s="142"/>
      <c r="E453" s="145" t="s">
        <v>1052</v>
      </c>
      <c r="F453" s="144"/>
      <c r="G453" s="144"/>
      <c r="H453" s="144"/>
      <c r="I453" s="144"/>
    </row>
    <row r="454" spans="1:9" x14ac:dyDescent="0.2">
      <c r="A454" s="143">
        <v>6</v>
      </c>
      <c r="B454" s="142" t="s">
        <v>208</v>
      </c>
      <c r="C454" s="142" t="s">
        <v>687</v>
      </c>
      <c r="D454" s="142"/>
      <c r="E454" s="145" t="s">
        <v>680</v>
      </c>
      <c r="F454" s="144"/>
      <c r="G454" s="144"/>
      <c r="H454" s="144"/>
      <c r="I454" s="144"/>
    </row>
    <row r="455" spans="1:9" x14ac:dyDescent="0.2">
      <c r="A455" s="143">
        <v>7</v>
      </c>
      <c r="B455" s="142" t="s">
        <v>208</v>
      </c>
      <c r="C455" s="142" t="s">
        <v>1053</v>
      </c>
      <c r="D455" s="142"/>
      <c r="E455" s="145" t="s">
        <v>1054</v>
      </c>
      <c r="F455" s="144"/>
      <c r="G455" s="144"/>
      <c r="H455" s="144"/>
      <c r="I455" s="144"/>
    </row>
    <row r="456" spans="1:9" x14ac:dyDescent="0.2">
      <c r="A456" s="143">
        <v>8</v>
      </c>
      <c r="B456" s="142" t="s">
        <v>208</v>
      </c>
      <c r="C456" s="142" t="s">
        <v>1083</v>
      </c>
      <c r="D456" s="142"/>
      <c r="E456" s="145"/>
      <c r="F456" s="144"/>
      <c r="G456" s="144"/>
      <c r="H456" s="144"/>
      <c r="I456" s="144"/>
    </row>
    <row r="457" spans="1:9" x14ac:dyDescent="0.2">
      <c r="A457" s="143">
        <v>9</v>
      </c>
      <c r="B457" s="142" t="s">
        <v>208</v>
      </c>
      <c r="C457" s="142" t="s">
        <v>1084</v>
      </c>
      <c r="D457" s="142"/>
      <c r="E457" s="145"/>
      <c r="F457" s="144"/>
      <c r="G457" s="144"/>
      <c r="H457" s="144"/>
      <c r="I457" s="144"/>
    </row>
    <row r="458" spans="1:9" x14ac:dyDescent="0.2">
      <c r="A458" s="143">
        <v>10</v>
      </c>
      <c r="B458" s="142" t="s">
        <v>208</v>
      </c>
      <c r="C458" s="142" t="s">
        <v>1085</v>
      </c>
      <c r="D458" s="142"/>
      <c r="E458" s="145"/>
      <c r="F458" s="144"/>
      <c r="G458" s="144"/>
      <c r="H458" s="144"/>
      <c r="I458" s="144"/>
    </row>
    <row r="459" spans="1:9" x14ac:dyDescent="0.2">
      <c r="A459" s="143">
        <v>11</v>
      </c>
      <c r="B459" s="142" t="s">
        <v>208</v>
      </c>
      <c r="C459" s="142" t="s">
        <v>1086</v>
      </c>
      <c r="D459" s="142"/>
      <c r="E459" s="145"/>
      <c r="F459" s="144"/>
      <c r="G459" s="144"/>
      <c r="H459" s="144"/>
      <c r="I459" s="144"/>
    </row>
    <row r="460" spans="1:9" x14ac:dyDescent="0.2">
      <c r="A460" s="143">
        <v>12</v>
      </c>
      <c r="B460" s="142" t="s">
        <v>208</v>
      </c>
      <c r="C460" s="142" t="s">
        <v>1087</v>
      </c>
      <c r="D460" s="142"/>
      <c r="E460" s="145"/>
      <c r="F460" s="144"/>
      <c r="G460" s="144"/>
      <c r="H460" s="144"/>
      <c r="I460" s="144"/>
    </row>
    <row r="461" spans="1:9" x14ac:dyDescent="0.2">
      <c r="A461" s="143">
        <v>13</v>
      </c>
      <c r="B461" s="142" t="s">
        <v>208</v>
      </c>
      <c r="C461" s="142" t="s">
        <v>1088</v>
      </c>
      <c r="D461" s="142"/>
      <c r="E461" s="145"/>
      <c r="F461" s="144"/>
      <c r="G461" s="144"/>
      <c r="H461" s="144"/>
      <c r="I461" s="144"/>
    </row>
    <row r="462" spans="1:9" x14ac:dyDescent="0.2">
      <c r="A462" s="143">
        <v>14</v>
      </c>
      <c r="B462" s="142" t="s">
        <v>208</v>
      </c>
      <c r="C462" s="142" t="s">
        <v>1089</v>
      </c>
      <c r="D462" s="142"/>
      <c r="E462" s="145"/>
      <c r="F462" s="144"/>
      <c r="G462" s="144"/>
      <c r="H462" s="144"/>
      <c r="I462" s="144"/>
    </row>
    <row r="463" spans="1:9" x14ac:dyDescent="0.2">
      <c r="A463" s="143">
        <v>15</v>
      </c>
      <c r="B463" s="142" t="s">
        <v>208</v>
      </c>
      <c r="C463" s="142" t="s">
        <v>1090</v>
      </c>
      <c r="D463" s="142"/>
      <c r="E463" s="145"/>
      <c r="F463" s="144"/>
      <c r="G463" s="144"/>
      <c r="H463" s="144"/>
      <c r="I463" s="144"/>
    </row>
    <row r="464" spans="1:9" x14ac:dyDescent="0.2">
      <c r="A464" s="143">
        <v>16</v>
      </c>
      <c r="B464" s="142" t="s">
        <v>208</v>
      </c>
      <c r="C464" s="142" t="s">
        <v>1091</v>
      </c>
      <c r="D464" s="142"/>
      <c r="E464" s="145"/>
      <c r="F464" s="144"/>
      <c r="G464" s="144"/>
      <c r="H464" s="144"/>
      <c r="I464" s="144"/>
    </row>
    <row r="465" spans="1:9" x14ac:dyDescent="0.2">
      <c r="A465" s="143">
        <v>17</v>
      </c>
      <c r="B465" s="142" t="s">
        <v>208</v>
      </c>
      <c r="C465" s="142" t="s">
        <v>1092</v>
      </c>
      <c r="D465" s="142"/>
      <c r="E465" s="145"/>
      <c r="F465" s="144"/>
      <c r="G465" s="144"/>
      <c r="H465" s="144"/>
      <c r="I465" s="144"/>
    </row>
    <row r="466" spans="1:9" x14ac:dyDescent="0.2">
      <c r="A466" s="143">
        <v>18</v>
      </c>
      <c r="B466" s="142" t="s">
        <v>208</v>
      </c>
      <c r="C466" s="142" t="s">
        <v>1093</v>
      </c>
      <c r="D466" s="142"/>
      <c r="E466" s="145"/>
      <c r="F466" s="144"/>
      <c r="G466" s="144"/>
      <c r="H466" s="144"/>
      <c r="I466" s="144"/>
    </row>
    <row r="467" spans="1:9" x14ac:dyDescent="0.2">
      <c r="A467" s="143">
        <v>19</v>
      </c>
      <c r="B467" s="142" t="s">
        <v>208</v>
      </c>
      <c r="C467" s="142" t="s">
        <v>1094</v>
      </c>
      <c r="D467" s="142"/>
      <c r="E467" s="145"/>
      <c r="F467" s="144"/>
      <c r="G467" s="144"/>
      <c r="H467" s="144"/>
      <c r="I467" s="144"/>
    </row>
    <row r="468" spans="1:9" ht="17" thickBot="1" x14ac:dyDescent="0.25"/>
    <row r="469" spans="1:9" x14ac:dyDescent="0.2">
      <c r="A469" s="183" t="s">
        <v>816</v>
      </c>
      <c r="B469" s="184"/>
      <c r="C469" s="185"/>
      <c r="D469" s="185"/>
      <c r="E469" s="185"/>
      <c r="F469" s="185"/>
      <c r="G469" s="185"/>
      <c r="H469" s="185"/>
      <c r="I469" s="185"/>
    </row>
    <row r="470" spans="1:9" x14ac:dyDescent="0.2">
      <c r="A470" s="186" t="s">
        <v>817</v>
      </c>
      <c r="B470" s="187" t="s">
        <v>245</v>
      </c>
      <c r="C470" s="188"/>
      <c r="D470" s="188"/>
      <c r="E470" s="188"/>
      <c r="F470" s="188"/>
      <c r="G470" s="188"/>
      <c r="H470" s="188"/>
      <c r="I470" s="188"/>
    </row>
    <row r="471" spans="1:9" x14ac:dyDescent="0.2">
      <c r="A471" s="186" t="s">
        <v>772</v>
      </c>
      <c r="B471" s="187" t="s">
        <v>1039</v>
      </c>
      <c r="C471" s="188"/>
      <c r="D471" s="188"/>
      <c r="E471" s="188"/>
      <c r="F471" s="188"/>
      <c r="G471" s="188"/>
      <c r="H471" s="188"/>
      <c r="I471" s="188"/>
    </row>
    <row r="472" spans="1:9" x14ac:dyDescent="0.2">
      <c r="A472" s="186" t="s">
        <v>818</v>
      </c>
      <c r="B472" s="187" t="s">
        <v>245</v>
      </c>
      <c r="C472" s="188"/>
      <c r="D472" s="188"/>
      <c r="E472" s="188"/>
      <c r="F472" s="188"/>
      <c r="G472" s="188"/>
      <c r="H472" s="188"/>
      <c r="I472" s="188"/>
    </row>
    <row r="473" spans="1:9" x14ac:dyDescent="0.2">
      <c r="A473" s="186" t="s">
        <v>970</v>
      </c>
      <c r="B473" s="187" t="s">
        <v>245</v>
      </c>
      <c r="C473" s="188"/>
      <c r="D473" s="188"/>
      <c r="E473" s="188"/>
      <c r="F473" s="188"/>
      <c r="G473" s="188"/>
      <c r="H473" s="188"/>
      <c r="I473" s="188"/>
    </row>
    <row r="474" spans="1:9" x14ac:dyDescent="0.2">
      <c r="A474" s="186" t="s">
        <v>940</v>
      </c>
      <c r="B474" s="187" t="s">
        <v>941</v>
      </c>
      <c r="C474" s="188"/>
      <c r="D474" s="188"/>
      <c r="E474" s="188"/>
      <c r="F474" s="188"/>
      <c r="G474" s="188"/>
      <c r="H474" s="188"/>
      <c r="I474" s="188"/>
    </row>
    <row r="475" spans="1:9" x14ac:dyDescent="0.2">
      <c r="A475" s="186" t="s">
        <v>820</v>
      </c>
      <c r="B475" s="187" t="s">
        <v>1040</v>
      </c>
      <c r="C475" s="188"/>
      <c r="D475" s="188"/>
      <c r="E475" s="188"/>
      <c r="F475" s="188"/>
      <c r="G475" s="188"/>
      <c r="H475" s="188"/>
      <c r="I475" s="188"/>
    </row>
    <row r="476" spans="1:9" x14ac:dyDescent="0.2">
      <c r="A476" s="186" t="s">
        <v>821</v>
      </c>
      <c r="B476" s="187"/>
      <c r="C476" s="188"/>
      <c r="D476" s="188"/>
      <c r="E476" s="188"/>
      <c r="F476" s="188"/>
      <c r="G476" s="188"/>
      <c r="H476" s="188"/>
      <c r="I476" s="188"/>
    </row>
    <row r="477" spans="1:9" ht="17" thickBot="1" x14ac:dyDescent="0.25">
      <c r="A477" s="186" t="s">
        <v>793</v>
      </c>
      <c r="B477" s="189">
        <v>7</v>
      </c>
      <c r="C477" s="190"/>
      <c r="D477" s="190"/>
      <c r="E477" s="190"/>
      <c r="F477" s="190"/>
      <c r="G477" s="190"/>
      <c r="H477" s="190"/>
      <c r="I477" s="190"/>
    </row>
    <row r="478" spans="1:9" x14ac:dyDescent="0.2">
      <c r="A478" s="191" t="s">
        <v>784</v>
      </c>
      <c r="B478" s="192" t="s">
        <v>785</v>
      </c>
      <c r="C478" s="192" t="s">
        <v>787</v>
      </c>
      <c r="D478" s="192"/>
      <c r="E478" s="193" t="s">
        <v>788</v>
      </c>
      <c r="F478" s="192" t="s">
        <v>807</v>
      </c>
      <c r="G478" s="192" t="s">
        <v>808</v>
      </c>
      <c r="H478" s="192" t="s">
        <v>811</v>
      </c>
      <c r="I478" s="192" t="s">
        <v>812</v>
      </c>
    </row>
    <row r="479" spans="1:9" x14ac:dyDescent="0.2">
      <c r="A479" s="194">
        <v>0</v>
      </c>
      <c r="B479" s="193" t="s">
        <v>208</v>
      </c>
      <c r="C479" s="193" t="s">
        <v>1095</v>
      </c>
      <c r="D479" s="193"/>
      <c r="E479" s="196" t="s">
        <v>1095</v>
      </c>
      <c r="F479" s="195">
        <v>1</v>
      </c>
      <c r="G479" s="195">
        <v>5</v>
      </c>
      <c r="H479" s="195">
        <v>1</v>
      </c>
      <c r="I479" s="195"/>
    </row>
    <row r="480" spans="1:9" x14ac:dyDescent="0.2">
      <c r="A480" s="194">
        <v>1</v>
      </c>
      <c r="B480" s="193" t="s">
        <v>208</v>
      </c>
      <c r="C480" s="193" t="s">
        <v>758</v>
      </c>
      <c r="D480" s="193"/>
      <c r="E480" s="196" t="s">
        <v>758</v>
      </c>
      <c r="F480" s="195">
        <v>1</v>
      </c>
      <c r="G480" s="195">
        <v>32</v>
      </c>
      <c r="H480" s="195">
        <v>1</v>
      </c>
      <c r="I480" s="195"/>
    </row>
    <row r="481" spans="1:9" x14ac:dyDescent="0.2">
      <c r="A481" s="194">
        <v>2</v>
      </c>
      <c r="B481" s="193" t="s">
        <v>87</v>
      </c>
      <c r="C481" s="193" t="s">
        <v>1200</v>
      </c>
      <c r="D481" s="193"/>
      <c r="E481" s="196" t="s">
        <v>1222</v>
      </c>
      <c r="F481" s="195">
        <v>0</v>
      </c>
      <c r="G481" s="195">
        <v>100</v>
      </c>
      <c r="H481" s="195">
        <v>65</v>
      </c>
      <c r="I481" s="195"/>
    </row>
    <row r="482" spans="1:9" x14ac:dyDescent="0.2">
      <c r="A482" s="194">
        <v>3</v>
      </c>
      <c r="B482" s="193" t="s">
        <v>87</v>
      </c>
      <c r="C482" s="193" t="s">
        <v>1201</v>
      </c>
      <c r="D482" s="193"/>
      <c r="E482" s="196" t="s">
        <v>1223</v>
      </c>
      <c r="F482" s="195">
        <v>0</v>
      </c>
      <c r="G482" s="195">
        <v>125</v>
      </c>
      <c r="H482" s="195">
        <v>80</v>
      </c>
      <c r="I482" s="195"/>
    </row>
    <row r="483" spans="1:9" x14ac:dyDescent="0.2">
      <c r="A483" s="194">
        <v>4</v>
      </c>
      <c r="B483" s="193" t="s">
        <v>87</v>
      </c>
      <c r="C483" s="193" t="s">
        <v>1047</v>
      </c>
      <c r="D483" s="193"/>
      <c r="E483" s="196" t="s">
        <v>1210</v>
      </c>
      <c r="F483" s="195">
        <v>0</v>
      </c>
      <c r="G483" s="195">
        <v>5</v>
      </c>
      <c r="H483" s="195">
        <v>0.5</v>
      </c>
      <c r="I483" s="195"/>
    </row>
    <row r="484" spans="1:9" x14ac:dyDescent="0.2">
      <c r="A484" s="194">
        <v>5</v>
      </c>
      <c r="B484" s="193" t="s">
        <v>87</v>
      </c>
      <c r="C484" s="193" t="s">
        <v>1049</v>
      </c>
      <c r="D484" s="193"/>
      <c r="E484" s="196" t="s">
        <v>1211</v>
      </c>
      <c r="F484" s="195">
        <v>0</v>
      </c>
      <c r="G484" s="195">
        <v>2024</v>
      </c>
      <c r="H484" s="195">
        <v>1000</v>
      </c>
      <c r="I484" s="195"/>
    </row>
    <row r="485" spans="1:9" x14ac:dyDescent="0.2">
      <c r="A485" s="194">
        <v>5</v>
      </c>
      <c r="B485" s="193" t="s">
        <v>87</v>
      </c>
      <c r="C485" s="193" t="s">
        <v>1240</v>
      </c>
      <c r="D485" s="193"/>
      <c r="E485" s="196" t="s">
        <v>1241</v>
      </c>
      <c r="F485" s="195">
        <v>0</v>
      </c>
      <c r="G485" s="195">
        <v>2024</v>
      </c>
      <c r="H485" s="195">
        <v>14400</v>
      </c>
      <c r="I485" s="195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A2" sqref="A2:C9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202" t="s">
        <v>730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R1" s="53" t="s">
        <v>755</v>
      </c>
      <c r="S1" s="54" t="s">
        <v>741</v>
      </c>
      <c r="T1" s="54" t="s">
        <v>740</v>
      </c>
      <c r="U1" s="54" t="s">
        <v>769</v>
      </c>
      <c r="V1" s="55" t="s">
        <v>766</v>
      </c>
    </row>
    <row r="2" spans="1:22" x14ac:dyDescent="0.2">
      <c r="A2" t="s">
        <v>751</v>
      </c>
      <c r="C2" t="s">
        <v>740</v>
      </c>
      <c r="R2" s="56" t="s">
        <v>756</v>
      </c>
      <c r="S2" s="57"/>
      <c r="T2" s="57"/>
      <c r="U2" s="57"/>
      <c r="V2" s="58"/>
    </row>
    <row r="3" spans="1:22" x14ac:dyDescent="0.2">
      <c r="A3" t="s">
        <v>752</v>
      </c>
      <c r="C3" t="s">
        <v>741</v>
      </c>
      <c r="R3" s="56"/>
      <c r="S3" s="57"/>
      <c r="T3" s="57"/>
      <c r="U3" s="57"/>
      <c r="V3" s="58"/>
    </row>
    <row r="4" spans="1:22" x14ac:dyDescent="0.2">
      <c r="A4" t="s">
        <v>770</v>
      </c>
      <c r="C4" t="s">
        <v>769</v>
      </c>
      <c r="R4" s="56" t="s">
        <v>757</v>
      </c>
      <c r="S4" s="57"/>
      <c r="T4" s="57"/>
      <c r="U4" s="57"/>
      <c r="V4" s="58"/>
    </row>
    <row r="5" spans="1:22" x14ac:dyDescent="0.2">
      <c r="A5" t="s">
        <v>753</v>
      </c>
      <c r="C5" t="s">
        <v>740</v>
      </c>
      <c r="R5" s="56"/>
      <c r="S5" s="57"/>
      <c r="T5" s="57"/>
      <c r="U5" s="57"/>
      <c r="V5" s="58"/>
    </row>
    <row r="6" spans="1:22" x14ac:dyDescent="0.2">
      <c r="A6" t="s">
        <v>770</v>
      </c>
      <c r="C6" t="s">
        <v>769</v>
      </c>
      <c r="R6" s="56" t="s">
        <v>1037</v>
      </c>
      <c r="S6" s="57"/>
      <c r="T6" s="57"/>
      <c r="U6" s="57"/>
      <c r="V6" s="58"/>
    </row>
    <row r="7" spans="1:22" x14ac:dyDescent="0.2">
      <c r="A7" t="s">
        <v>754</v>
      </c>
      <c r="C7" t="s">
        <v>740</v>
      </c>
      <c r="R7" s="56"/>
      <c r="S7" s="57"/>
      <c r="T7" s="57"/>
      <c r="U7" s="57"/>
      <c r="V7" s="58"/>
    </row>
    <row r="8" spans="1:22" x14ac:dyDescent="0.2">
      <c r="A8" t="s">
        <v>115</v>
      </c>
      <c r="C8" t="s">
        <v>741</v>
      </c>
      <c r="R8" s="56"/>
      <c r="S8" s="57"/>
      <c r="T8" s="57"/>
      <c r="U8" s="57"/>
      <c r="V8" s="58"/>
    </row>
    <row r="9" spans="1:22" x14ac:dyDescent="0.2">
      <c r="A9" t="s">
        <v>770</v>
      </c>
      <c r="C9" t="s">
        <v>769</v>
      </c>
      <c r="R9" s="56" t="s">
        <v>758</v>
      </c>
      <c r="S9" s="57"/>
      <c r="T9" s="57"/>
      <c r="U9" s="57"/>
      <c r="V9" s="58"/>
    </row>
    <row r="10" spans="1:22" x14ac:dyDescent="0.2">
      <c r="R10" s="56" t="s">
        <v>759</v>
      </c>
      <c r="S10" s="57"/>
      <c r="T10" s="57"/>
      <c r="U10" s="57"/>
      <c r="V10" s="58"/>
    </row>
    <row r="11" spans="1:22" x14ac:dyDescent="0.2">
      <c r="R11" s="56" t="s">
        <v>760</v>
      </c>
      <c r="S11" s="57"/>
      <c r="T11" s="57"/>
      <c r="U11" s="57"/>
      <c r="V11" s="58"/>
    </row>
    <row r="12" spans="1:22" x14ac:dyDescent="0.2">
      <c r="A12" s="203" t="s">
        <v>731</v>
      </c>
      <c r="B12" s="203"/>
      <c r="C12" s="203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3"/>
      <c r="R12" s="56" t="s">
        <v>501</v>
      </c>
      <c r="S12" s="57"/>
      <c r="T12" s="57"/>
      <c r="U12" s="57"/>
      <c r="V12" s="58"/>
    </row>
    <row r="13" spans="1:22" x14ac:dyDescent="0.2">
      <c r="R13" s="56" t="s">
        <v>503</v>
      </c>
      <c r="S13" s="57"/>
      <c r="T13" s="57"/>
      <c r="U13" s="57"/>
      <c r="V13" s="58"/>
    </row>
    <row r="14" spans="1:22" x14ac:dyDescent="0.2">
      <c r="A14" t="s">
        <v>113</v>
      </c>
      <c r="C14" t="s">
        <v>740</v>
      </c>
      <c r="R14" s="56" t="s">
        <v>507</v>
      </c>
      <c r="S14" s="57"/>
      <c r="T14" s="57"/>
      <c r="U14" s="57"/>
      <c r="V14" s="58"/>
    </row>
    <row r="15" spans="1:22" x14ac:dyDescent="0.2">
      <c r="A15" t="s">
        <v>736</v>
      </c>
      <c r="C15" t="s">
        <v>742</v>
      </c>
      <c r="R15" s="56" t="s">
        <v>767</v>
      </c>
      <c r="S15" s="57"/>
      <c r="T15" s="57"/>
      <c r="U15" s="57"/>
      <c r="V15" s="58"/>
    </row>
    <row r="16" spans="1:22" x14ac:dyDescent="0.2">
      <c r="R16" s="56" t="s">
        <v>761</v>
      </c>
      <c r="S16" s="57"/>
      <c r="T16" s="57"/>
      <c r="U16" s="57"/>
      <c r="V16" s="58"/>
    </row>
    <row r="17" spans="1:22" x14ac:dyDescent="0.2">
      <c r="R17" s="56" t="s">
        <v>762</v>
      </c>
      <c r="S17" s="57"/>
      <c r="T17" s="57"/>
      <c r="U17" s="57"/>
      <c r="V17" s="58"/>
    </row>
    <row r="18" spans="1:22" x14ac:dyDescent="0.2">
      <c r="R18" s="56" t="s">
        <v>763</v>
      </c>
      <c r="S18" s="57"/>
      <c r="T18" s="57"/>
      <c r="U18" s="57"/>
      <c r="V18" s="58"/>
    </row>
    <row r="19" spans="1:22" x14ac:dyDescent="0.2">
      <c r="R19" s="56" t="s">
        <v>764</v>
      </c>
      <c r="S19" s="57"/>
      <c r="T19" s="57"/>
      <c r="U19" s="57"/>
      <c r="V19" s="58"/>
    </row>
    <row r="20" spans="1:22" x14ac:dyDescent="0.2">
      <c r="R20" s="56" t="s">
        <v>765</v>
      </c>
      <c r="S20" s="57"/>
      <c r="T20" s="57"/>
      <c r="U20" s="57"/>
      <c r="V20" s="58"/>
    </row>
    <row r="21" spans="1:22" x14ac:dyDescent="0.2">
      <c r="R21" s="56" t="s">
        <v>768</v>
      </c>
      <c r="S21" s="57"/>
      <c r="T21" s="57"/>
      <c r="U21" s="57"/>
      <c r="V21" s="58"/>
    </row>
    <row r="22" spans="1:22" x14ac:dyDescent="0.2">
      <c r="A22" s="204" t="s">
        <v>732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04"/>
      <c r="O22" s="204"/>
      <c r="R22" s="59"/>
      <c r="S22" s="60"/>
      <c r="T22" s="60"/>
      <c r="U22" s="60"/>
      <c r="V22" s="61"/>
    </row>
    <row r="24" spans="1:22" x14ac:dyDescent="0.2">
      <c r="A24" t="s">
        <v>737</v>
      </c>
      <c r="C24" t="s">
        <v>742</v>
      </c>
    </row>
    <row r="25" spans="1:22" x14ac:dyDescent="0.2">
      <c r="A25" t="s">
        <v>738</v>
      </c>
      <c r="C25" t="s">
        <v>743</v>
      </c>
    </row>
    <row r="26" spans="1:22" x14ac:dyDescent="0.2">
      <c r="A26" t="s">
        <v>739</v>
      </c>
      <c r="C26" t="s">
        <v>743</v>
      </c>
    </row>
    <row r="32" spans="1:22" x14ac:dyDescent="0.2">
      <c r="A32" s="205" t="s">
        <v>733</v>
      </c>
      <c r="B32" s="205"/>
      <c r="C32" s="205"/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</row>
    <row r="34" spans="1:15" x14ac:dyDescent="0.2">
      <c r="A34" t="s">
        <v>744</v>
      </c>
      <c r="C34" t="s">
        <v>742</v>
      </c>
    </row>
    <row r="35" spans="1:15" x14ac:dyDescent="0.2">
      <c r="A35" t="s">
        <v>745</v>
      </c>
      <c r="C35" t="s">
        <v>742</v>
      </c>
    </row>
    <row r="36" spans="1:15" x14ac:dyDescent="0.2">
      <c r="A36" t="s">
        <v>738</v>
      </c>
      <c r="C36" t="s">
        <v>743</v>
      </c>
    </row>
    <row r="37" spans="1:15" x14ac:dyDescent="0.2">
      <c r="A37" t="s">
        <v>739</v>
      </c>
      <c r="C37" t="s">
        <v>743</v>
      </c>
    </row>
    <row r="42" spans="1:15" x14ac:dyDescent="0.2">
      <c r="A42" s="206" t="s">
        <v>734</v>
      </c>
      <c r="B42" s="206"/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</row>
    <row r="44" spans="1:15" x14ac:dyDescent="0.2">
      <c r="A44" t="s">
        <v>746</v>
      </c>
      <c r="C44" t="s">
        <v>742</v>
      </c>
    </row>
    <row r="45" spans="1:15" x14ac:dyDescent="0.2">
      <c r="A45" t="s">
        <v>747</v>
      </c>
      <c r="C45" t="s">
        <v>742</v>
      </c>
    </row>
    <row r="46" spans="1:15" x14ac:dyDescent="0.2">
      <c r="A46" t="s">
        <v>748</v>
      </c>
      <c r="C46" t="s">
        <v>743</v>
      </c>
    </row>
    <row r="47" spans="1:15" x14ac:dyDescent="0.2">
      <c r="A47" t="s">
        <v>739</v>
      </c>
      <c r="C47" t="s">
        <v>743</v>
      </c>
    </row>
    <row r="52" spans="1:15" x14ac:dyDescent="0.2">
      <c r="A52" s="202" t="s">
        <v>735</v>
      </c>
      <c r="B52" s="202"/>
      <c r="C52" s="202"/>
      <c r="D52" s="202"/>
      <c r="E52" s="202"/>
      <c r="F52" s="202"/>
      <c r="G52" s="202"/>
      <c r="H52" s="202"/>
      <c r="I52" s="202"/>
      <c r="J52" s="202"/>
      <c r="K52" s="202"/>
      <c r="L52" s="202"/>
      <c r="M52" s="202"/>
      <c r="N52" s="202"/>
      <c r="O52" s="202"/>
    </row>
    <row r="54" spans="1:15" x14ac:dyDescent="0.2">
      <c r="A54" t="s">
        <v>749</v>
      </c>
      <c r="C54" t="s">
        <v>742</v>
      </c>
    </row>
    <row r="55" spans="1:15" x14ac:dyDescent="0.2">
      <c r="A55" t="s">
        <v>750</v>
      </c>
      <c r="C55" t="s">
        <v>742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1:M32"/>
  <sheetViews>
    <sheetView topLeftCell="A9" workbookViewId="0">
      <selection activeCell="A5" sqref="A5"/>
    </sheetView>
  </sheetViews>
  <sheetFormatPr baseColWidth="10" defaultRowHeight="16" x14ac:dyDescent="0.2"/>
  <cols>
    <col min="1" max="1" width="11.1640625" customWidth="1"/>
    <col min="2" max="2" width="12.5" customWidth="1"/>
    <col min="3" max="3" width="31.33203125" customWidth="1"/>
    <col min="4" max="4" width="42.5" customWidth="1"/>
    <col min="5" max="5" width="25" style="18" customWidth="1"/>
    <col min="6" max="6" width="11.5" style="18" customWidth="1"/>
    <col min="7" max="7" width="10.6640625" style="18" customWidth="1"/>
    <col min="8" max="8" width="33.1640625" style="21" customWidth="1"/>
    <col min="9" max="9" width="21.1640625" style="18" customWidth="1"/>
    <col min="10" max="10" width="11.1640625" style="18" customWidth="1"/>
    <col min="11" max="12" width="19" style="18" customWidth="1"/>
    <col min="13" max="13" width="43" customWidth="1"/>
  </cols>
  <sheetData>
    <row r="1" spans="1:13" s="179" customFormat="1" ht="44" customHeight="1" x14ac:dyDescent="0.25">
      <c r="A1" s="178" t="s">
        <v>771</v>
      </c>
      <c r="B1" s="178" t="s">
        <v>1104</v>
      </c>
      <c r="C1" s="178" t="s">
        <v>1171</v>
      </c>
      <c r="D1" s="178" t="s">
        <v>1185</v>
      </c>
      <c r="E1" s="178" t="s">
        <v>1108</v>
      </c>
      <c r="F1" s="178" t="s">
        <v>1187</v>
      </c>
      <c r="G1" s="178" t="s">
        <v>773</v>
      </c>
      <c r="H1" s="178" t="s">
        <v>1186</v>
      </c>
      <c r="I1" s="178" t="s">
        <v>1109</v>
      </c>
      <c r="J1" s="178" t="s">
        <v>1188</v>
      </c>
      <c r="K1" s="178" t="s">
        <v>981</v>
      </c>
      <c r="L1" s="178" t="s">
        <v>1110</v>
      </c>
      <c r="M1" s="178" t="s">
        <v>1172</v>
      </c>
    </row>
    <row r="2" spans="1:13" s="179" customFormat="1" ht="23" customHeight="1" x14ac:dyDescent="0.25">
      <c r="A2" s="181">
        <v>0</v>
      </c>
      <c r="B2" s="180" t="s">
        <v>1107</v>
      </c>
      <c r="C2" s="180" t="s">
        <v>44</v>
      </c>
      <c r="D2" s="180" t="s">
        <v>1189</v>
      </c>
      <c r="E2" s="180">
        <v>0</v>
      </c>
      <c r="F2" s="180">
        <v>0</v>
      </c>
      <c r="G2" s="180">
        <v>0</v>
      </c>
      <c r="H2" s="180">
        <v>0</v>
      </c>
      <c r="I2" s="180">
        <v>0</v>
      </c>
      <c r="J2" s="180">
        <v>0</v>
      </c>
      <c r="K2" s="180">
        <v>0</v>
      </c>
      <c r="L2" s="180">
        <v>0</v>
      </c>
      <c r="M2" s="180" t="s">
        <v>44</v>
      </c>
    </row>
    <row r="3" spans="1:13" ht="27" customHeight="1" x14ac:dyDescent="0.2">
      <c r="A3">
        <v>1</v>
      </c>
      <c r="B3" t="s">
        <v>1105</v>
      </c>
      <c r="C3" t="s">
        <v>1184</v>
      </c>
      <c r="D3" t="s">
        <v>982</v>
      </c>
      <c r="E3" s="18" t="s">
        <v>978</v>
      </c>
      <c r="F3" s="18" t="b">
        <v>1</v>
      </c>
      <c r="I3" s="18">
        <v>0</v>
      </c>
      <c r="J3" s="18">
        <v>0</v>
      </c>
      <c r="K3" s="18">
        <v>5</v>
      </c>
      <c r="L3" s="18" t="b">
        <v>0</v>
      </c>
      <c r="M3" t="s">
        <v>230</v>
      </c>
    </row>
    <row r="4" spans="1:13" ht="27" customHeight="1" x14ac:dyDescent="0.2">
      <c r="A4">
        <v>2</v>
      </c>
      <c r="B4" t="s">
        <v>1106</v>
      </c>
      <c r="C4" t="s">
        <v>234</v>
      </c>
      <c r="D4" t="s">
        <v>986</v>
      </c>
      <c r="E4" s="18" t="s">
        <v>987</v>
      </c>
      <c r="F4" s="18">
        <v>2275</v>
      </c>
      <c r="I4" s="18">
        <v>0</v>
      </c>
      <c r="J4" s="18">
        <v>0</v>
      </c>
      <c r="K4" s="18">
        <v>5</v>
      </c>
      <c r="L4" s="18" t="b">
        <v>0</v>
      </c>
      <c r="M4" t="s">
        <v>235</v>
      </c>
    </row>
    <row r="5" spans="1:13" ht="27" customHeight="1" x14ac:dyDescent="0.2">
      <c r="A5">
        <v>3</v>
      </c>
      <c r="B5" t="s">
        <v>1105</v>
      </c>
      <c r="C5" t="s">
        <v>977</v>
      </c>
      <c r="D5" s="21" t="s">
        <v>983</v>
      </c>
      <c r="E5" s="18" t="s">
        <v>979</v>
      </c>
      <c r="F5" s="18">
        <v>35</v>
      </c>
      <c r="I5" s="18">
        <v>0</v>
      </c>
      <c r="J5" s="18">
        <v>0</v>
      </c>
      <c r="K5" s="18">
        <v>5</v>
      </c>
      <c r="L5" s="18" t="b">
        <v>0</v>
      </c>
      <c r="M5" t="s">
        <v>980</v>
      </c>
    </row>
    <row r="6" spans="1:13" ht="27" customHeight="1" x14ac:dyDescent="0.2">
      <c r="A6">
        <v>4</v>
      </c>
      <c r="B6" t="s">
        <v>1105</v>
      </c>
      <c r="C6" t="s">
        <v>984</v>
      </c>
      <c r="D6" t="s">
        <v>997</v>
      </c>
      <c r="E6" s="18" t="s">
        <v>979</v>
      </c>
      <c r="F6" s="18">
        <v>35</v>
      </c>
      <c r="I6" s="18">
        <v>0</v>
      </c>
      <c r="J6" s="18">
        <v>0</v>
      </c>
      <c r="K6" s="18">
        <v>5</v>
      </c>
      <c r="L6" s="18" t="b">
        <v>0</v>
      </c>
    </row>
    <row r="7" spans="1:13" ht="27" customHeight="1" x14ac:dyDescent="0.2">
      <c r="A7">
        <v>5</v>
      </c>
      <c r="B7" t="s">
        <v>1105</v>
      </c>
      <c r="C7" t="s">
        <v>231</v>
      </c>
      <c r="D7" t="s">
        <v>1099</v>
      </c>
      <c r="E7" s="18" t="s">
        <v>979</v>
      </c>
      <c r="F7" s="18">
        <v>40</v>
      </c>
      <c r="I7" s="18">
        <v>0</v>
      </c>
      <c r="J7" s="18">
        <v>0</v>
      </c>
      <c r="K7" s="18">
        <v>5</v>
      </c>
      <c r="L7" s="18" t="b">
        <v>0</v>
      </c>
      <c r="M7" t="s">
        <v>232</v>
      </c>
    </row>
    <row r="8" spans="1:13" ht="27" customHeight="1" x14ac:dyDescent="0.2">
      <c r="A8">
        <v>6</v>
      </c>
      <c r="B8" t="s">
        <v>1105</v>
      </c>
      <c r="C8" t="s">
        <v>985</v>
      </c>
      <c r="D8" t="s">
        <v>1100</v>
      </c>
      <c r="E8" s="18" t="s">
        <v>979</v>
      </c>
      <c r="F8" s="18">
        <v>40</v>
      </c>
      <c r="I8" s="18">
        <v>0</v>
      </c>
      <c r="J8" s="18">
        <v>0</v>
      </c>
      <c r="K8" s="18">
        <v>5</v>
      </c>
      <c r="L8" s="18" t="b">
        <v>0</v>
      </c>
      <c r="M8" t="s">
        <v>232</v>
      </c>
    </row>
    <row r="9" spans="1:13" ht="27" customHeight="1" x14ac:dyDescent="0.2">
      <c r="A9">
        <v>7</v>
      </c>
      <c r="B9" t="s">
        <v>1105</v>
      </c>
      <c r="C9" t="s">
        <v>236</v>
      </c>
      <c r="D9" t="s">
        <v>1096</v>
      </c>
      <c r="E9" s="18" t="s">
        <v>978</v>
      </c>
      <c r="F9" s="18" t="b">
        <v>1</v>
      </c>
      <c r="I9" s="18">
        <v>0</v>
      </c>
      <c r="J9" s="18">
        <v>0</v>
      </c>
      <c r="K9" s="18">
        <v>5</v>
      </c>
      <c r="L9" s="18" t="b">
        <v>0</v>
      </c>
      <c r="M9" t="s">
        <v>237</v>
      </c>
    </row>
    <row r="10" spans="1:13" ht="43" customHeight="1" x14ac:dyDescent="0.2">
      <c r="A10">
        <v>8</v>
      </c>
      <c r="B10" t="s">
        <v>1105</v>
      </c>
      <c r="C10" t="s">
        <v>238</v>
      </c>
      <c r="D10" t="s">
        <v>1097</v>
      </c>
      <c r="E10" s="18" t="s">
        <v>978</v>
      </c>
      <c r="F10" s="18" t="b">
        <v>1</v>
      </c>
      <c r="G10" s="18" t="s">
        <v>999</v>
      </c>
      <c r="H10" s="62" t="s">
        <v>1101</v>
      </c>
      <c r="I10" s="18" t="s">
        <v>979</v>
      </c>
      <c r="J10" s="18">
        <v>2</v>
      </c>
      <c r="K10" s="18">
        <v>5</v>
      </c>
      <c r="L10" s="18" t="b">
        <v>0</v>
      </c>
      <c r="M10" t="s">
        <v>239</v>
      </c>
    </row>
    <row r="11" spans="1:13" ht="27" customHeight="1" x14ac:dyDescent="0.2">
      <c r="A11">
        <v>9</v>
      </c>
      <c r="B11" t="s">
        <v>1105</v>
      </c>
      <c r="C11" t="s">
        <v>240</v>
      </c>
      <c r="D11" t="s">
        <v>1098</v>
      </c>
      <c r="E11" s="18" t="s">
        <v>978</v>
      </c>
      <c r="F11" s="18" t="b">
        <v>1</v>
      </c>
      <c r="G11" s="18" t="s">
        <v>999</v>
      </c>
      <c r="H11" s="21" t="s">
        <v>988</v>
      </c>
      <c r="I11" s="18" t="s">
        <v>979</v>
      </c>
      <c r="J11" s="18">
        <v>2</v>
      </c>
      <c r="K11" s="18">
        <v>5</v>
      </c>
      <c r="L11" s="18" t="b">
        <v>0</v>
      </c>
      <c r="M11" t="s">
        <v>241</v>
      </c>
    </row>
    <row r="12" spans="1:13" ht="56" customHeight="1" x14ac:dyDescent="0.2">
      <c r="A12">
        <v>10</v>
      </c>
      <c r="B12" t="s">
        <v>1106</v>
      </c>
      <c r="C12" t="s">
        <v>1173</v>
      </c>
      <c r="D12" s="21" t="s">
        <v>998</v>
      </c>
      <c r="E12" s="18" t="s">
        <v>978</v>
      </c>
      <c r="F12" s="18" t="b">
        <v>1</v>
      </c>
      <c r="G12" s="18" t="s">
        <v>999</v>
      </c>
      <c r="H12" s="21" t="s">
        <v>1102</v>
      </c>
      <c r="I12" s="18" t="s">
        <v>978</v>
      </c>
      <c r="J12" s="18" t="b">
        <v>0</v>
      </c>
      <c r="K12" s="18">
        <v>5</v>
      </c>
      <c r="L12" s="18" t="b">
        <v>0</v>
      </c>
      <c r="M12" t="s">
        <v>233</v>
      </c>
    </row>
    <row r="13" spans="1:13" ht="56" customHeight="1" x14ac:dyDescent="0.2">
      <c r="A13">
        <v>11</v>
      </c>
      <c r="B13" t="s">
        <v>1106</v>
      </c>
      <c r="C13" t="s">
        <v>1174</v>
      </c>
      <c r="D13" s="21" t="s">
        <v>998</v>
      </c>
      <c r="E13" s="18" t="s">
        <v>978</v>
      </c>
      <c r="F13" s="18" t="b">
        <v>1</v>
      </c>
      <c r="G13" s="18" t="s">
        <v>999</v>
      </c>
      <c r="H13" s="21" t="s">
        <v>1103</v>
      </c>
      <c r="I13" s="18" t="s">
        <v>978</v>
      </c>
      <c r="J13" s="18" t="b">
        <v>0</v>
      </c>
      <c r="K13" s="18">
        <v>5</v>
      </c>
      <c r="L13" s="18" t="b">
        <v>0</v>
      </c>
      <c r="M13" t="s">
        <v>233</v>
      </c>
    </row>
    <row r="14" spans="1:13" ht="56" customHeight="1" x14ac:dyDescent="0.2">
      <c r="A14">
        <v>12</v>
      </c>
      <c r="B14" t="s">
        <v>1106</v>
      </c>
      <c r="C14" t="s">
        <v>1175</v>
      </c>
      <c r="D14" s="21" t="s">
        <v>1098</v>
      </c>
      <c r="E14" s="18" t="s">
        <v>978</v>
      </c>
      <c r="F14" s="18" t="b">
        <v>1</v>
      </c>
      <c r="G14" s="18" t="s">
        <v>999</v>
      </c>
      <c r="H14" s="21" t="s">
        <v>988</v>
      </c>
      <c r="I14" s="18" t="s">
        <v>979</v>
      </c>
      <c r="J14" s="18">
        <v>2</v>
      </c>
      <c r="K14" s="18">
        <v>5</v>
      </c>
      <c r="L14" s="18" t="b">
        <v>0</v>
      </c>
      <c r="M14" t="s">
        <v>989</v>
      </c>
    </row>
    <row r="15" spans="1:13" ht="27" customHeight="1" x14ac:dyDescent="0.2">
      <c r="A15">
        <v>13</v>
      </c>
      <c r="B15" t="s">
        <v>1106</v>
      </c>
      <c r="C15" t="s">
        <v>1176</v>
      </c>
      <c r="D15" t="s">
        <v>990</v>
      </c>
      <c r="E15" s="18" t="s">
        <v>987</v>
      </c>
      <c r="F15" s="18">
        <v>25</v>
      </c>
      <c r="I15" s="18">
        <v>0</v>
      </c>
      <c r="J15" s="18">
        <v>0</v>
      </c>
      <c r="K15" s="18">
        <v>5</v>
      </c>
      <c r="L15" s="18" t="b">
        <v>0</v>
      </c>
      <c r="M15" t="s">
        <v>992</v>
      </c>
    </row>
    <row r="16" spans="1:13" ht="27" customHeight="1" x14ac:dyDescent="0.2">
      <c r="A16">
        <v>14</v>
      </c>
      <c r="B16" t="s">
        <v>1107</v>
      </c>
      <c r="C16" t="s">
        <v>1177</v>
      </c>
      <c r="D16" t="s">
        <v>991</v>
      </c>
      <c r="E16" s="18" t="s">
        <v>987</v>
      </c>
      <c r="F16" s="18">
        <v>15</v>
      </c>
      <c r="I16" s="18">
        <v>0</v>
      </c>
      <c r="J16" s="18">
        <v>0</v>
      </c>
      <c r="K16" s="18">
        <v>5</v>
      </c>
      <c r="L16" s="18" t="b">
        <v>0</v>
      </c>
      <c r="M16" t="s">
        <v>993</v>
      </c>
    </row>
    <row r="17" spans="1:13" ht="27" customHeight="1" x14ac:dyDescent="0.2">
      <c r="A17">
        <v>15</v>
      </c>
      <c r="B17" t="s">
        <v>1106</v>
      </c>
      <c r="C17" t="s">
        <v>1178</v>
      </c>
      <c r="D17" t="s">
        <v>994</v>
      </c>
      <c r="E17" s="18" t="s">
        <v>987</v>
      </c>
      <c r="F17" s="18">
        <v>25</v>
      </c>
      <c r="I17" s="18">
        <v>0</v>
      </c>
      <c r="J17" s="18">
        <v>0</v>
      </c>
      <c r="K17" s="18">
        <v>5</v>
      </c>
      <c r="L17" s="18" t="b">
        <v>0</v>
      </c>
      <c r="M17" t="s">
        <v>992</v>
      </c>
    </row>
    <row r="18" spans="1:13" ht="27" customHeight="1" x14ac:dyDescent="0.2">
      <c r="A18">
        <v>16</v>
      </c>
      <c r="B18" t="s">
        <v>1107</v>
      </c>
      <c r="C18" t="s">
        <v>1179</v>
      </c>
      <c r="D18" t="s">
        <v>991</v>
      </c>
      <c r="E18" s="18" t="s">
        <v>987</v>
      </c>
      <c r="F18" s="18">
        <v>15</v>
      </c>
      <c r="I18" s="18">
        <v>0</v>
      </c>
      <c r="J18" s="18">
        <v>0</v>
      </c>
      <c r="K18" s="18">
        <v>5</v>
      </c>
      <c r="L18" s="18" t="b">
        <v>0</v>
      </c>
      <c r="M18" t="s">
        <v>993</v>
      </c>
    </row>
    <row r="19" spans="1:13" ht="27" customHeight="1" x14ac:dyDescent="0.2">
      <c r="A19">
        <v>17</v>
      </c>
      <c r="B19" t="s">
        <v>1106</v>
      </c>
      <c r="C19" t="s">
        <v>1180</v>
      </c>
      <c r="D19" t="s">
        <v>995</v>
      </c>
      <c r="E19" s="18" t="s">
        <v>987</v>
      </c>
      <c r="F19" s="18">
        <v>300</v>
      </c>
      <c r="I19" s="18">
        <v>0</v>
      </c>
      <c r="J19" s="18">
        <v>0</v>
      </c>
      <c r="K19" s="18">
        <v>5</v>
      </c>
      <c r="L19" s="18" t="b">
        <v>0</v>
      </c>
      <c r="M19" t="s">
        <v>992</v>
      </c>
    </row>
    <row r="20" spans="1:13" ht="27" customHeight="1" x14ac:dyDescent="0.2">
      <c r="A20">
        <v>18</v>
      </c>
      <c r="B20" t="s">
        <v>1107</v>
      </c>
      <c r="C20" t="s">
        <v>1181</v>
      </c>
      <c r="D20" t="s">
        <v>991</v>
      </c>
      <c r="E20" s="18" t="s">
        <v>987</v>
      </c>
      <c r="F20" s="18">
        <v>5</v>
      </c>
      <c r="I20" s="18">
        <v>0</v>
      </c>
      <c r="J20" s="18">
        <v>0</v>
      </c>
      <c r="K20" s="18">
        <v>5</v>
      </c>
      <c r="L20" s="18" t="b">
        <v>0</v>
      </c>
      <c r="M20" t="s">
        <v>993</v>
      </c>
    </row>
    <row r="21" spans="1:13" ht="27" customHeight="1" x14ac:dyDescent="0.2">
      <c r="A21">
        <v>19</v>
      </c>
      <c r="B21" t="s">
        <v>1106</v>
      </c>
      <c r="C21" t="s">
        <v>1182</v>
      </c>
      <c r="D21" t="s">
        <v>996</v>
      </c>
      <c r="E21" s="18" t="s">
        <v>987</v>
      </c>
      <c r="F21" s="18">
        <v>300</v>
      </c>
      <c r="I21" s="18">
        <v>0</v>
      </c>
      <c r="J21" s="18">
        <v>0</v>
      </c>
      <c r="K21" s="18">
        <v>5</v>
      </c>
      <c r="L21" s="18" t="b">
        <v>0</v>
      </c>
      <c r="M21" t="s">
        <v>992</v>
      </c>
    </row>
    <row r="22" spans="1:13" ht="27" customHeight="1" x14ac:dyDescent="0.2">
      <c r="A22">
        <v>20</v>
      </c>
      <c r="B22" t="s">
        <v>1107</v>
      </c>
      <c r="C22" t="s">
        <v>1183</v>
      </c>
      <c r="D22" t="s">
        <v>991</v>
      </c>
      <c r="E22" s="18" t="s">
        <v>987</v>
      </c>
      <c r="F22" s="18">
        <v>20</v>
      </c>
      <c r="I22" s="18">
        <v>0</v>
      </c>
      <c r="J22" s="18">
        <v>0</v>
      </c>
      <c r="K22" s="18">
        <v>5</v>
      </c>
      <c r="L22" s="18" t="b">
        <v>0</v>
      </c>
      <c r="M22" t="s">
        <v>993</v>
      </c>
    </row>
    <row r="23" spans="1:13" ht="27" customHeight="1" x14ac:dyDescent="0.2"/>
    <row r="24" spans="1:13" ht="27" customHeight="1" x14ac:dyDescent="0.2"/>
    <row r="25" spans="1:13" ht="27" customHeight="1" x14ac:dyDescent="0.2"/>
    <row r="26" spans="1:13" ht="27" customHeight="1" x14ac:dyDescent="0.2"/>
    <row r="27" spans="1:13" ht="27" customHeight="1" x14ac:dyDescent="0.2"/>
    <row r="28" spans="1:13" ht="27" customHeight="1" x14ac:dyDescent="0.2"/>
    <row r="29" spans="1:13" ht="27" customHeight="1" x14ac:dyDescent="0.2"/>
    <row r="30" spans="1:13" ht="27" customHeight="1" x14ac:dyDescent="0.2"/>
    <row r="31" spans="1:13" ht="27" customHeight="1" x14ac:dyDescent="0.2"/>
    <row r="32" spans="1:13" ht="20" customHeight="1" x14ac:dyDescent="0.2"/>
  </sheetData>
  <phoneticPr fontId="2" type="noConversion"/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7" t="s">
        <v>352</v>
      </c>
    </row>
    <row r="2" spans="2:10" x14ac:dyDescent="0.2">
      <c r="B2" t="s">
        <v>242</v>
      </c>
      <c r="C2" t="s">
        <v>243</v>
      </c>
      <c r="D2" t="s">
        <v>244</v>
      </c>
    </row>
    <row r="3" spans="2:10" x14ac:dyDescent="0.2">
      <c r="B3" t="s">
        <v>245</v>
      </c>
      <c r="C3" t="s">
        <v>353</v>
      </c>
      <c r="D3" t="s">
        <v>246</v>
      </c>
    </row>
    <row r="7" spans="2:10" x14ac:dyDescent="0.2">
      <c r="B7" t="s">
        <v>258</v>
      </c>
      <c r="C7">
        <v>0</v>
      </c>
      <c r="D7" t="s">
        <v>259</v>
      </c>
    </row>
    <row r="8" spans="2:10" x14ac:dyDescent="0.2">
      <c r="C8" t="s">
        <v>260</v>
      </c>
      <c r="D8" t="s">
        <v>261</v>
      </c>
    </row>
    <row r="10" spans="2:10" x14ac:dyDescent="0.2">
      <c r="B10" t="s">
        <v>247</v>
      </c>
    </row>
    <row r="12" spans="2:10" x14ac:dyDescent="0.2">
      <c r="B12" t="s">
        <v>248</v>
      </c>
      <c r="C12" t="s">
        <v>249</v>
      </c>
      <c r="D12" s="208" t="s">
        <v>349</v>
      </c>
      <c r="E12" s="208"/>
      <c r="F12" t="s">
        <v>251</v>
      </c>
      <c r="H12" t="s">
        <v>250</v>
      </c>
    </row>
    <row r="13" spans="2:10" x14ac:dyDescent="0.2">
      <c r="B13" t="s">
        <v>252</v>
      </c>
      <c r="C13" t="s">
        <v>253</v>
      </c>
      <c r="D13" s="208" t="s">
        <v>349</v>
      </c>
      <c r="E13" s="208"/>
    </row>
    <row r="14" spans="2:10" x14ac:dyDescent="0.2">
      <c r="B14" t="s">
        <v>254</v>
      </c>
      <c r="C14" t="s">
        <v>255</v>
      </c>
      <c r="D14" s="208" t="s">
        <v>349</v>
      </c>
      <c r="E14" s="208"/>
      <c r="F14" t="s">
        <v>251</v>
      </c>
      <c r="H14" t="s">
        <v>250</v>
      </c>
      <c r="I14" t="s">
        <v>354</v>
      </c>
    </row>
    <row r="15" spans="2:10" x14ac:dyDescent="0.2">
      <c r="B15" t="s">
        <v>256</v>
      </c>
      <c r="C15" t="s">
        <v>257</v>
      </c>
      <c r="D15" s="208" t="s">
        <v>349</v>
      </c>
      <c r="E15" s="208"/>
      <c r="F15" t="s">
        <v>251</v>
      </c>
      <c r="H15" t="s">
        <v>250</v>
      </c>
    </row>
    <row r="16" spans="2:10" x14ac:dyDescent="0.2">
      <c r="B16" t="s">
        <v>343</v>
      </c>
      <c r="C16" t="s">
        <v>351</v>
      </c>
      <c r="D16" s="208" t="s">
        <v>351</v>
      </c>
      <c r="E16" s="208"/>
      <c r="F16" t="s">
        <v>251</v>
      </c>
      <c r="H16" t="s">
        <v>250</v>
      </c>
      <c r="J16" t="s">
        <v>350</v>
      </c>
    </row>
    <row r="19" spans="1:51" ht="22" customHeight="1" x14ac:dyDescent="0.2"/>
    <row r="20" spans="1:51" x14ac:dyDescent="0.2">
      <c r="A20" s="13"/>
      <c r="B20" s="207" t="s">
        <v>262</v>
      </c>
      <c r="C20" s="207"/>
      <c r="D20" s="207"/>
      <c r="E20" s="207"/>
      <c r="F20" s="207"/>
      <c r="G20" s="13"/>
      <c r="H20" s="207" t="s">
        <v>263</v>
      </c>
      <c r="I20" s="207"/>
      <c r="J20" s="207"/>
      <c r="K20" s="207"/>
      <c r="L20" s="207"/>
      <c r="M20" s="207"/>
      <c r="N20" s="207"/>
      <c r="O20" s="207"/>
      <c r="P20" s="207"/>
      <c r="Q20" s="207"/>
      <c r="R20" s="207"/>
      <c r="S20" s="207"/>
      <c r="T20" s="207"/>
      <c r="U20" s="207"/>
      <c r="V20" s="207"/>
      <c r="W20" s="207"/>
      <c r="X20" s="207"/>
      <c r="Y20" s="207"/>
      <c r="Z20" s="207"/>
      <c r="AA20" s="207"/>
      <c r="AB20" s="207"/>
      <c r="AC20" s="13"/>
      <c r="AD20" s="207" t="s">
        <v>264</v>
      </c>
      <c r="AE20" s="207"/>
      <c r="AF20" s="207"/>
      <c r="AG20" s="207"/>
      <c r="AH20" s="207"/>
      <c r="AI20" s="207"/>
      <c r="AJ20" s="207"/>
      <c r="AK20" s="207"/>
      <c r="AL20" s="207"/>
      <c r="AM20" s="207"/>
      <c r="AN20" s="207"/>
      <c r="AO20" s="207"/>
      <c r="AP20" s="207"/>
      <c r="AQ20" s="207"/>
      <c r="AR20" s="207"/>
      <c r="AS20" s="207"/>
      <c r="AT20" s="207"/>
      <c r="AU20" s="207"/>
      <c r="AV20" s="207"/>
      <c r="AW20" s="207"/>
      <c r="AX20" s="207"/>
      <c r="AY20" s="13"/>
    </row>
    <row r="21" spans="1:51" s="16" customFormat="1" ht="97" customHeight="1" x14ac:dyDescent="0.2">
      <c r="A21" s="14"/>
      <c r="B21" s="15" t="s">
        <v>109</v>
      </c>
      <c r="C21" s="15" t="s">
        <v>108</v>
      </c>
      <c r="D21" s="15" t="s">
        <v>110</v>
      </c>
      <c r="E21" s="15" t="s">
        <v>197</v>
      </c>
      <c r="F21" s="15" t="s">
        <v>198</v>
      </c>
      <c r="G21" s="14"/>
      <c r="H21" s="15" t="s">
        <v>3</v>
      </c>
      <c r="I21" s="15" t="s">
        <v>4</v>
      </c>
      <c r="J21" s="15" t="s">
        <v>5</v>
      </c>
      <c r="K21" s="15" t="s">
        <v>6</v>
      </c>
      <c r="L21" s="15" t="s">
        <v>199</v>
      </c>
      <c r="M21" s="15" t="s">
        <v>7</v>
      </c>
      <c r="N21" s="15" t="s">
        <v>8</v>
      </c>
      <c r="O21" s="15" t="s">
        <v>8</v>
      </c>
      <c r="P21" s="15" t="s">
        <v>200</v>
      </c>
      <c r="Q21" s="15" t="s">
        <v>9</v>
      </c>
      <c r="R21" s="15" t="s">
        <v>10</v>
      </c>
      <c r="S21" s="15" t="s">
        <v>11</v>
      </c>
      <c r="T21" s="15" t="s">
        <v>12</v>
      </c>
      <c r="U21" s="15" t="s">
        <v>13</v>
      </c>
      <c r="V21" s="15" t="s">
        <v>13</v>
      </c>
      <c r="W21" s="15" t="s">
        <v>13</v>
      </c>
      <c r="X21" s="15" t="s">
        <v>14</v>
      </c>
      <c r="Y21" s="15" t="s">
        <v>15</v>
      </c>
      <c r="Z21" s="15" t="s">
        <v>16</v>
      </c>
      <c r="AA21" s="15" t="s">
        <v>17</v>
      </c>
      <c r="AB21" s="15" t="s">
        <v>18</v>
      </c>
      <c r="AC21" s="14"/>
      <c r="AD21" s="15" t="s">
        <v>109</v>
      </c>
      <c r="AE21" s="15" t="s">
        <v>108</v>
      </c>
      <c r="AF21" s="15" t="s">
        <v>110</v>
      </c>
      <c r="AG21" s="15" t="s">
        <v>111</v>
      </c>
      <c r="AH21" s="15" t="s">
        <v>8</v>
      </c>
      <c r="AI21" s="15" t="s">
        <v>8</v>
      </c>
      <c r="AJ21" s="15" t="s">
        <v>8</v>
      </c>
      <c r="AK21" s="15" t="s">
        <v>8</v>
      </c>
      <c r="AL21" s="15" t="s">
        <v>8</v>
      </c>
      <c r="AM21" s="15" t="s">
        <v>8</v>
      </c>
      <c r="AN21" s="15" t="s">
        <v>8</v>
      </c>
      <c r="AO21" s="15" t="s">
        <v>8</v>
      </c>
      <c r="AP21" s="15" t="s">
        <v>12</v>
      </c>
      <c r="AQ21" s="15" t="s">
        <v>8</v>
      </c>
      <c r="AR21" s="15" t="s">
        <v>8</v>
      </c>
      <c r="AS21" s="15" t="s">
        <v>8</v>
      </c>
      <c r="AT21" s="15" t="s">
        <v>8</v>
      </c>
      <c r="AU21" s="15" t="s">
        <v>120</v>
      </c>
      <c r="AV21" s="15" t="s">
        <v>121</v>
      </c>
      <c r="AW21" s="15" t="s">
        <v>8</v>
      </c>
      <c r="AX21" s="15" t="s">
        <v>18</v>
      </c>
      <c r="AY21" s="14"/>
    </row>
    <row r="22" spans="1:51" s="21" customFormat="1" ht="45" customHeight="1" x14ac:dyDescent="0.2">
      <c r="A22" s="22"/>
      <c r="B22" s="23" t="s">
        <v>326</v>
      </c>
      <c r="C22" s="23" t="s">
        <v>327</v>
      </c>
      <c r="D22" s="23" t="s">
        <v>328</v>
      </c>
      <c r="E22" s="23" t="s">
        <v>340</v>
      </c>
      <c r="F22" s="23" t="s">
        <v>341</v>
      </c>
      <c r="G22" s="22"/>
      <c r="H22" s="21" t="s">
        <v>306</v>
      </c>
      <c r="I22" s="21" t="s">
        <v>307</v>
      </c>
      <c r="J22" s="21" t="s">
        <v>308</v>
      </c>
      <c r="K22" s="21" t="s">
        <v>309</v>
      </c>
      <c r="L22" s="21" t="s">
        <v>315</v>
      </c>
      <c r="M22" s="21" t="s">
        <v>314</v>
      </c>
      <c r="N22" s="21" t="s">
        <v>296</v>
      </c>
      <c r="O22" s="21" t="s">
        <v>297</v>
      </c>
      <c r="P22" s="21" t="s">
        <v>310</v>
      </c>
      <c r="Q22" s="21" t="s">
        <v>311</v>
      </c>
      <c r="R22" s="21" t="s">
        <v>312</v>
      </c>
      <c r="S22" s="21" t="s">
        <v>313</v>
      </c>
      <c r="T22" s="21" t="s">
        <v>316</v>
      </c>
      <c r="U22" s="21" t="s">
        <v>317</v>
      </c>
      <c r="V22" s="21" t="s">
        <v>318</v>
      </c>
      <c r="W22" s="21" t="s">
        <v>319</v>
      </c>
      <c r="X22" s="21" t="s">
        <v>320</v>
      </c>
      <c r="Y22" s="21" t="s">
        <v>321</v>
      </c>
      <c r="Z22" s="21" t="s">
        <v>322</v>
      </c>
      <c r="AA22" s="21" t="s">
        <v>323</v>
      </c>
      <c r="AB22" s="21" t="s">
        <v>324</v>
      </c>
      <c r="AC22" s="22"/>
      <c r="AD22" s="23" t="s">
        <v>326</v>
      </c>
      <c r="AE22" s="23" t="s">
        <v>327</v>
      </c>
      <c r="AF22" s="23" t="s">
        <v>328</v>
      </c>
      <c r="AG22" s="23" t="s">
        <v>329</v>
      </c>
      <c r="AH22" s="23" t="s">
        <v>296</v>
      </c>
      <c r="AI22" s="23" t="s">
        <v>297</v>
      </c>
      <c r="AJ22" s="23" t="s">
        <v>317</v>
      </c>
      <c r="AK22" s="23" t="s">
        <v>318</v>
      </c>
      <c r="AL22" s="23" t="s">
        <v>319</v>
      </c>
      <c r="AM22" s="23" t="s">
        <v>332</v>
      </c>
      <c r="AN22" s="23" t="s">
        <v>333</v>
      </c>
      <c r="AO22" s="23" t="s">
        <v>334</v>
      </c>
      <c r="AP22" s="23" t="s">
        <v>290</v>
      </c>
      <c r="AQ22" s="23" t="s">
        <v>335</v>
      </c>
      <c r="AR22" s="23" t="s">
        <v>336</v>
      </c>
      <c r="AS22" s="23" t="s">
        <v>337</v>
      </c>
      <c r="AT22" s="23" t="s">
        <v>338</v>
      </c>
      <c r="AU22" s="23" t="s">
        <v>330</v>
      </c>
      <c r="AV22" s="23" t="s">
        <v>331</v>
      </c>
      <c r="AW22" s="23" t="s">
        <v>339</v>
      </c>
      <c r="AX22" s="23" t="s">
        <v>289</v>
      </c>
      <c r="AY22" s="22"/>
    </row>
    <row r="30" spans="1:51" x14ac:dyDescent="0.2">
      <c r="B30" t="s">
        <v>265</v>
      </c>
    </row>
    <row r="31" spans="1:51" x14ac:dyDescent="0.2">
      <c r="C31" s="18" t="s">
        <v>248</v>
      </c>
      <c r="D31" s="24" t="s">
        <v>341</v>
      </c>
      <c r="E31" s="18" t="s">
        <v>342</v>
      </c>
      <c r="F31" s="18">
        <v>1</v>
      </c>
      <c r="G31" s="18">
        <v>5</v>
      </c>
    </row>
    <row r="32" spans="1:51" x14ac:dyDescent="0.2">
      <c r="C32" s="18" t="s">
        <v>254</v>
      </c>
      <c r="D32" s="24" t="s">
        <v>291</v>
      </c>
      <c r="E32" s="18" t="s">
        <v>343</v>
      </c>
      <c r="F32" s="18">
        <v>1</v>
      </c>
      <c r="G32" s="18"/>
    </row>
    <row r="33" spans="3:7" x14ac:dyDescent="0.2">
      <c r="C33" s="18"/>
      <c r="D33" s="18"/>
      <c r="E33" s="18"/>
      <c r="F33" s="18"/>
      <c r="G33" s="18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0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721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727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726</v>
      </c>
      <c r="P10">
        <f>HEX2DEC(O10)</f>
        <v>845</v>
      </c>
      <c r="Q10">
        <v>97</v>
      </c>
    </row>
    <row r="11" spans="15:17" x14ac:dyDescent="0.2">
      <c r="O11" t="s">
        <v>490</v>
      </c>
      <c r="P11">
        <f>HEX2DEC(O11)</f>
        <v>766</v>
      </c>
      <c r="Q11">
        <v>95.3</v>
      </c>
    </row>
    <row r="12" spans="15:17" x14ac:dyDescent="0.2">
      <c r="O12" t="s">
        <v>722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723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724</v>
      </c>
      <c r="P17">
        <f t="shared" si="1"/>
        <v>232</v>
      </c>
      <c r="Q17">
        <v>19</v>
      </c>
    </row>
    <row r="18" spans="15:17" x14ac:dyDescent="0.2">
      <c r="O18" t="s">
        <v>725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B2:L10"/>
  <sheetViews>
    <sheetView workbookViewId="0">
      <selection activeCell="L4" sqref="L4"/>
    </sheetView>
  </sheetViews>
  <sheetFormatPr baseColWidth="10" defaultRowHeight="16" x14ac:dyDescent="0.2"/>
  <cols>
    <col min="6" max="7" width="14.83203125" hidden="1" customWidth="1"/>
    <col min="8" max="11" width="0" hidden="1" customWidth="1"/>
    <col min="12" max="12" width="12.6640625" bestFit="1" customWidth="1"/>
  </cols>
  <sheetData>
    <row r="2" spans="2:12" x14ac:dyDescent="0.2">
      <c r="B2" t="s">
        <v>446</v>
      </c>
      <c r="C2" t="s">
        <v>447</v>
      </c>
      <c r="D2" t="s">
        <v>448</v>
      </c>
      <c r="E2" t="s">
        <v>449</v>
      </c>
      <c r="F2" t="s">
        <v>450</v>
      </c>
      <c r="G2" t="s">
        <v>455</v>
      </c>
      <c r="H2" t="s">
        <v>451</v>
      </c>
      <c r="I2" t="s">
        <v>452</v>
      </c>
      <c r="J2" t="s">
        <v>456</v>
      </c>
      <c r="K2" t="s">
        <v>453</v>
      </c>
      <c r="L2" t="s">
        <v>454</v>
      </c>
    </row>
    <row r="3" spans="2:12" x14ac:dyDescent="0.2">
      <c r="B3">
        <v>135</v>
      </c>
      <c r="C3">
        <f>HEX2DEC(B3)</f>
        <v>309</v>
      </c>
      <c r="D3" s="27">
        <v>3.2258064499999998E-3</v>
      </c>
      <c r="E3">
        <f>D3*C3</f>
        <v>0.99677419304999992</v>
      </c>
      <c r="F3">
        <v>76.5</v>
      </c>
      <c r="G3">
        <f>F3/12</f>
        <v>6.375</v>
      </c>
      <c r="H3">
        <v>3.1419000000000001</v>
      </c>
      <c r="I3">
        <v>4</v>
      </c>
      <c r="J3">
        <f>(I3*I3)*H3</f>
        <v>50.270400000000002</v>
      </c>
      <c r="K3">
        <f>(G3*J3)*7.048052</f>
        <v>2258.7160070376003</v>
      </c>
      <c r="L3" s="28">
        <f>K3</f>
        <v>2258.7160070376003</v>
      </c>
    </row>
    <row r="4" spans="2:12" x14ac:dyDescent="0.2">
      <c r="B4">
        <v>117</v>
      </c>
      <c r="C4">
        <f>HEX2DEC(B4)</f>
        <v>279</v>
      </c>
      <c r="D4" s="27">
        <v>3.2258064499999998E-3</v>
      </c>
      <c r="E4">
        <f>D4*C4</f>
        <v>0.89999999954999998</v>
      </c>
      <c r="F4">
        <v>66.5</v>
      </c>
      <c r="G4">
        <f>F4/12</f>
        <v>5.541666666666667</v>
      </c>
      <c r="H4">
        <v>3.1419000000000001</v>
      </c>
      <c r="I4">
        <v>4</v>
      </c>
      <c r="J4">
        <f>(I4*I4)*H4</f>
        <v>50.270400000000002</v>
      </c>
      <c r="K4">
        <f>(G4*J4)*7.048052</f>
        <v>1963.4590126536004</v>
      </c>
      <c r="L4" s="28">
        <f>K4</f>
        <v>1963.4590126536004</v>
      </c>
    </row>
    <row r="8" spans="2:12" x14ac:dyDescent="0.2">
      <c r="E8" t="s">
        <v>342</v>
      </c>
      <c r="L8" t="s">
        <v>457</v>
      </c>
    </row>
    <row r="9" spans="2:12" x14ac:dyDescent="0.2">
      <c r="E9">
        <v>0.99677419304999992</v>
      </c>
      <c r="F9">
        <v>76.5</v>
      </c>
      <c r="G9">
        <v>6.375</v>
      </c>
      <c r="H9">
        <v>3.1419000000000001</v>
      </c>
      <c r="I9">
        <v>4</v>
      </c>
      <c r="J9">
        <v>50.270400000000002</v>
      </c>
      <c r="K9">
        <v>2258.7160070376003</v>
      </c>
      <c r="L9">
        <v>2258.7160070376003</v>
      </c>
    </row>
    <row r="10" spans="2:12" x14ac:dyDescent="0.2">
      <c r="E10">
        <v>0.89999999954999998</v>
      </c>
      <c r="F10">
        <v>66.5</v>
      </c>
      <c r="G10">
        <v>5.541666666666667</v>
      </c>
      <c r="H10">
        <v>3.1419000000000001</v>
      </c>
      <c r="I10">
        <v>4</v>
      </c>
      <c r="J10">
        <v>50.270400000000002</v>
      </c>
      <c r="K10">
        <v>1963.4590126536004</v>
      </c>
      <c r="L10">
        <v>1963.4590126536004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460</v>
      </c>
      <c r="B1">
        <v>0.93951600000000002</v>
      </c>
    </row>
    <row r="2" spans="1:5" x14ac:dyDescent="0.2">
      <c r="A2" t="s">
        <v>458</v>
      </c>
    </row>
    <row r="3" spans="1:5" x14ac:dyDescent="0.2">
      <c r="A3" t="s">
        <v>459</v>
      </c>
    </row>
    <row r="4" spans="1:5" x14ac:dyDescent="0.2">
      <c r="A4" t="s">
        <v>460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458</v>
      </c>
      <c r="E5">
        <v>0.94032300000000002</v>
      </c>
    </row>
    <row r="6" spans="1:5" x14ac:dyDescent="0.2">
      <c r="A6" t="s">
        <v>459</v>
      </c>
      <c r="E6">
        <v>0.94064499999999995</v>
      </c>
    </row>
    <row r="7" spans="1:5" x14ac:dyDescent="0.2">
      <c r="A7" t="s">
        <v>460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458</v>
      </c>
      <c r="E8">
        <v>0.941774</v>
      </c>
    </row>
    <row r="9" spans="1:5" x14ac:dyDescent="0.2">
      <c r="A9" t="s">
        <v>459</v>
      </c>
      <c r="E9">
        <v>0.94225800000000004</v>
      </c>
    </row>
    <row r="10" spans="1:5" x14ac:dyDescent="0.2">
      <c r="A10" t="s">
        <v>460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458</v>
      </c>
      <c r="E11">
        <v>0.94274199999999997</v>
      </c>
    </row>
    <row r="12" spans="1:5" x14ac:dyDescent="0.2">
      <c r="A12" t="s">
        <v>459</v>
      </c>
      <c r="E12">
        <v>0.94241900000000001</v>
      </c>
    </row>
    <row r="13" spans="1:5" x14ac:dyDescent="0.2">
      <c r="A13" t="s">
        <v>460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458</v>
      </c>
      <c r="E14">
        <v>0.94080600000000003</v>
      </c>
    </row>
    <row r="15" spans="1:5" x14ac:dyDescent="0.2">
      <c r="A15" t="s">
        <v>459</v>
      </c>
      <c r="E15">
        <v>0.94064499999999995</v>
      </c>
    </row>
    <row r="16" spans="1:5" x14ac:dyDescent="0.2">
      <c r="A16" t="s">
        <v>460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458</v>
      </c>
      <c r="E17">
        <v>0.93983899999999998</v>
      </c>
    </row>
    <row r="18" spans="1:5" x14ac:dyDescent="0.2">
      <c r="A18" t="s">
        <v>459</v>
      </c>
      <c r="E18">
        <v>0.94</v>
      </c>
    </row>
    <row r="19" spans="1:5" x14ac:dyDescent="0.2">
      <c r="A19" t="s">
        <v>460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458</v>
      </c>
      <c r="E20">
        <v>0.94112899999999999</v>
      </c>
    </row>
    <row r="21" spans="1:5" x14ac:dyDescent="0.2">
      <c r="A21" t="s">
        <v>459</v>
      </c>
      <c r="E21">
        <v>0.94161300000000003</v>
      </c>
    </row>
    <row r="22" spans="1:5" x14ac:dyDescent="0.2">
      <c r="A22" t="s">
        <v>460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458</v>
      </c>
      <c r="E23">
        <v>0.94306400000000001</v>
      </c>
    </row>
    <row r="24" spans="1:5" x14ac:dyDescent="0.2">
      <c r="A24" t="s">
        <v>459</v>
      </c>
      <c r="E24">
        <v>0.94322600000000001</v>
      </c>
    </row>
    <row r="25" spans="1:5" x14ac:dyDescent="0.2">
      <c r="A25" t="s">
        <v>460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458</v>
      </c>
      <c r="E26">
        <v>0.94338699999999998</v>
      </c>
    </row>
    <row r="27" spans="1:5" x14ac:dyDescent="0.2">
      <c r="A27" t="s">
        <v>459</v>
      </c>
      <c r="E27">
        <v>0.94338699999999998</v>
      </c>
    </row>
    <row r="28" spans="1:5" x14ac:dyDescent="0.2">
      <c r="A28" t="s">
        <v>460</v>
      </c>
      <c r="B28">
        <v>0.94161300000000003</v>
      </c>
      <c r="C28">
        <f>B25-B28</f>
        <v>8.059999999999734E-4</v>
      </c>
    </row>
    <row r="29" spans="1:5" x14ac:dyDescent="0.2">
      <c r="A29" t="s">
        <v>458</v>
      </c>
    </row>
    <row r="30" spans="1:5" x14ac:dyDescent="0.2">
      <c r="A30" t="s">
        <v>459</v>
      </c>
    </row>
    <row r="31" spans="1:5" x14ac:dyDescent="0.2">
      <c r="A31" t="s">
        <v>460</v>
      </c>
      <c r="B31">
        <v>0.94080600000000003</v>
      </c>
      <c r="C31">
        <f>B28-B31</f>
        <v>8.0700000000000216E-4</v>
      </c>
    </row>
    <row r="32" spans="1:5" x14ac:dyDescent="0.2">
      <c r="A32" t="s">
        <v>458</v>
      </c>
    </row>
    <row r="33" spans="1:3" x14ac:dyDescent="0.2">
      <c r="A33" t="s">
        <v>459</v>
      </c>
    </row>
    <row r="34" spans="1:3" x14ac:dyDescent="0.2">
      <c r="A34" t="s">
        <v>460</v>
      </c>
      <c r="B34">
        <v>0.94064499999999995</v>
      </c>
      <c r="C34">
        <f>B31-B34</f>
        <v>1.6100000000007775E-4</v>
      </c>
    </row>
    <row r="35" spans="1:3" x14ac:dyDescent="0.2">
      <c r="A35" t="s">
        <v>458</v>
      </c>
    </row>
    <row r="36" spans="1:3" x14ac:dyDescent="0.2">
      <c r="A36" t="s">
        <v>459</v>
      </c>
    </row>
    <row r="37" spans="1:3" x14ac:dyDescent="0.2">
      <c r="A37" t="s">
        <v>460</v>
      </c>
      <c r="B37">
        <v>0.94016100000000002</v>
      </c>
      <c r="C37">
        <f>B34-B37</f>
        <v>4.8399999999992893E-4</v>
      </c>
    </row>
    <row r="38" spans="1:3" x14ac:dyDescent="0.2">
      <c r="A38" t="s">
        <v>458</v>
      </c>
    </row>
    <row r="39" spans="1:3" x14ac:dyDescent="0.2">
      <c r="A39" t="s">
        <v>459</v>
      </c>
    </row>
    <row r="40" spans="1:3" x14ac:dyDescent="0.2">
      <c r="A40" t="s">
        <v>460</v>
      </c>
      <c r="B40">
        <v>0.93983899999999998</v>
      </c>
      <c r="C40">
        <f>B37-B40</f>
        <v>3.2200000000004447E-4</v>
      </c>
    </row>
    <row r="41" spans="1:3" x14ac:dyDescent="0.2">
      <c r="A41" t="s">
        <v>458</v>
      </c>
    </row>
    <row r="42" spans="1:3" x14ac:dyDescent="0.2">
      <c r="A42" t="s">
        <v>459</v>
      </c>
    </row>
    <row r="43" spans="1:3" x14ac:dyDescent="0.2">
      <c r="A43" t="s">
        <v>460</v>
      </c>
      <c r="B43">
        <v>0.94</v>
      </c>
      <c r="C43">
        <f>B40-B43</f>
        <v>-1.6099999999996673E-4</v>
      </c>
    </row>
    <row r="44" spans="1:3" x14ac:dyDescent="0.2">
      <c r="A44" t="s">
        <v>458</v>
      </c>
    </row>
    <row r="45" spans="1:3" x14ac:dyDescent="0.2">
      <c r="A45" t="s">
        <v>459</v>
      </c>
    </row>
    <row r="46" spans="1:3" x14ac:dyDescent="0.2">
      <c r="A46" t="s">
        <v>460</v>
      </c>
      <c r="B46">
        <v>0.94064499999999995</v>
      </c>
      <c r="C46">
        <f>B43-B46</f>
        <v>-6.4500000000000668E-4</v>
      </c>
    </row>
    <row r="47" spans="1:3" x14ac:dyDescent="0.2">
      <c r="A47" t="s">
        <v>458</v>
      </c>
    </row>
    <row r="48" spans="1:3" x14ac:dyDescent="0.2">
      <c r="A48" t="s">
        <v>459</v>
      </c>
    </row>
    <row r="49" spans="1:29" x14ac:dyDescent="0.2">
      <c r="A49" t="s">
        <v>460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458</v>
      </c>
    </row>
    <row r="51" spans="1:29" x14ac:dyDescent="0.2">
      <c r="A51" t="s">
        <v>459</v>
      </c>
    </row>
    <row r="52" spans="1:29" x14ac:dyDescent="0.2">
      <c r="A52" t="s">
        <v>460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458</v>
      </c>
    </row>
    <row r="54" spans="1:29" x14ac:dyDescent="0.2">
      <c r="A54" t="s">
        <v>459</v>
      </c>
    </row>
    <row r="55" spans="1:29" x14ac:dyDescent="0.2">
      <c r="A55" t="s">
        <v>460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458</v>
      </c>
    </row>
    <row r="57" spans="1:29" x14ac:dyDescent="0.2">
      <c r="A57" t="s">
        <v>459</v>
      </c>
    </row>
    <row r="58" spans="1:29" x14ac:dyDescent="0.2">
      <c r="A58" t="s">
        <v>460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458</v>
      </c>
    </row>
    <row r="60" spans="1:29" x14ac:dyDescent="0.2">
      <c r="A60" t="s">
        <v>459</v>
      </c>
    </row>
    <row r="61" spans="1:29" x14ac:dyDescent="0.2">
      <c r="A61" t="s">
        <v>460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458</v>
      </c>
    </row>
    <row r="63" spans="1:29" x14ac:dyDescent="0.2">
      <c r="A63" t="s">
        <v>459</v>
      </c>
    </row>
    <row r="64" spans="1:29" x14ac:dyDescent="0.2">
      <c r="A64" t="s">
        <v>460</v>
      </c>
      <c r="B64">
        <v>0.94306400000000001</v>
      </c>
      <c r="C64">
        <f>B61-B64</f>
        <v>1.6199999999999548E-4</v>
      </c>
    </row>
    <row r="65" spans="1:26" x14ac:dyDescent="0.2">
      <c r="A65" t="s">
        <v>458</v>
      </c>
    </row>
    <row r="66" spans="1:26" x14ac:dyDescent="0.2">
      <c r="A66" t="s">
        <v>459</v>
      </c>
    </row>
    <row r="67" spans="1:26" x14ac:dyDescent="0.2">
      <c r="A67" t="s">
        <v>460</v>
      </c>
      <c r="B67">
        <v>0.94338699999999998</v>
      </c>
      <c r="C67">
        <f>B64-B67</f>
        <v>-3.2299999999996221E-4</v>
      </c>
    </row>
    <row r="68" spans="1:26" x14ac:dyDescent="0.2">
      <c r="A68" t="s">
        <v>458</v>
      </c>
    </row>
    <row r="69" spans="1:26" x14ac:dyDescent="0.2">
      <c r="A69" t="s">
        <v>459</v>
      </c>
    </row>
    <row r="70" spans="1:26" x14ac:dyDescent="0.2">
      <c r="A70" t="s">
        <v>460</v>
      </c>
      <c r="B70">
        <v>0.94338699999999998</v>
      </c>
      <c r="C70">
        <f>B67-B70</f>
        <v>0</v>
      </c>
    </row>
    <row r="71" spans="1:26" x14ac:dyDescent="0.2">
      <c r="A71" t="s">
        <v>458</v>
      </c>
    </row>
    <row r="72" spans="1:26" x14ac:dyDescent="0.2">
      <c r="A72" t="s">
        <v>459</v>
      </c>
    </row>
    <row r="73" spans="1:26" x14ac:dyDescent="0.2">
      <c r="A73" t="s">
        <v>460</v>
      </c>
      <c r="B73">
        <v>0.94290300000000005</v>
      </c>
      <c r="C73">
        <f>B70-B73</f>
        <v>4.8399999999992893E-4</v>
      </c>
    </row>
    <row r="74" spans="1:26" x14ac:dyDescent="0.2">
      <c r="A74" t="s">
        <v>458</v>
      </c>
    </row>
    <row r="75" spans="1:26" x14ac:dyDescent="0.2">
      <c r="A75" t="s">
        <v>459</v>
      </c>
    </row>
    <row r="76" spans="1:26" x14ac:dyDescent="0.2">
      <c r="A76" t="s">
        <v>460</v>
      </c>
      <c r="B76">
        <v>0.94209699999999996</v>
      </c>
      <c r="C76">
        <f>B73-B76</f>
        <v>8.0600000000008443E-4</v>
      </c>
    </row>
    <row r="77" spans="1:26" x14ac:dyDescent="0.2">
      <c r="A77" t="s">
        <v>458</v>
      </c>
    </row>
    <row r="78" spans="1:26" x14ac:dyDescent="0.2">
      <c r="A78" t="s">
        <v>459</v>
      </c>
      <c r="W78">
        <v>2.0739999999999998</v>
      </c>
      <c r="X78">
        <v>1.95</v>
      </c>
    </row>
    <row r="79" spans="1:26" x14ac:dyDescent="0.2">
      <c r="A79" t="s">
        <v>460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458</v>
      </c>
    </row>
    <row r="81" spans="1:26" x14ac:dyDescent="0.2">
      <c r="A81" t="s">
        <v>459</v>
      </c>
    </row>
    <row r="82" spans="1:26" x14ac:dyDescent="0.2">
      <c r="A82" t="s">
        <v>460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458</v>
      </c>
    </row>
    <row r="84" spans="1:26" x14ac:dyDescent="0.2">
      <c r="A84" t="s">
        <v>459</v>
      </c>
    </row>
    <row r="85" spans="1:26" x14ac:dyDescent="0.2">
      <c r="A85" t="s">
        <v>460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458</v>
      </c>
    </row>
    <row r="87" spans="1:26" x14ac:dyDescent="0.2">
      <c r="A87" t="s">
        <v>459</v>
      </c>
    </row>
    <row r="88" spans="1:26" x14ac:dyDescent="0.2">
      <c r="A88" t="s">
        <v>460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458</v>
      </c>
    </row>
    <row r="90" spans="1:26" x14ac:dyDescent="0.2">
      <c r="A90" t="s">
        <v>459</v>
      </c>
    </row>
    <row r="91" spans="1:26" x14ac:dyDescent="0.2">
      <c r="A91" t="s">
        <v>460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458</v>
      </c>
    </row>
    <row r="93" spans="1:26" x14ac:dyDescent="0.2">
      <c r="A93" t="s">
        <v>460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459</v>
      </c>
    </row>
    <row r="95" spans="1:26" x14ac:dyDescent="0.2">
      <c r="A95" t="s">
        <v>458</v>
      </c>
    </row>
    <row r="96" spans="1:26" x14ac:dyDescent="0.2">
      <c r="A96" t="s">
        <v>460</v>
      </c>
      <c r="B96">
        <v>0.93983899999999998</v>
      </c>
      <c r="C96">
        <f>B93-B96</f>
        <v>0</v>
      </c>
    </row>
    <row r="97" spans="1:23" x14ac:dyDescent="0.2">
      <c r="A97" t="s">
        <v>459</v>
      </c>
    </row>
    <row r="98" spans="1:23" x14ac:dyDescent="0.2">
      <c r="A98" t="s">
        <v>458</v>
      </c>
    </row>
    <row r="99" spans="1:23" x14ac:dyDescent="0.2">
      <c r="A99" t="s">
        <v>460</v>
      </c>
      <c r="B99">
        <v>0.94</v>
      </c>
    </row>
    <row r="100" spans="1:23" x14ac:dyDescent="0.2">
      <c r="A100" t="s">
        <v>459</v>
      </c>
    </row>
    <row r="101" spans="1:23" x14ac:dyDescent="0.2">
      <c r="A101" t="s">
        <v>458</v>
      </c>
    </row>
    <row r="102" spans="1:23" x14ac:dyDescent="0.2">
      <c r="A102" t="s">
        <v>460</v>
      </c>
      <c r="B102">
        <v>0.94032199999999999</v>
      </c>
      <c r="V102" t="s">
        <v>462</v>
      </c>
      <c r="W102">
        <v>0.34</v>
      </c>
    </row>
    <row r="103" spans="1:23" x14ac:dyDescent="0.2">
      <c r="A103" t="s">
        <v>459</v>
      </c>
    </row>
    <row r="104" spans="1:23" x14ac:dyDescent="0.2">
      <c r="A104" t="s">
        <v>458</v>
      </c>
    </row>
    <row r="105" spans="1:23" x14ac:dyDescent="0.2">
      <c r="A105" t="s">
        <v>460</v>
      </c>
      <c r="B105">
        <v>0.94048399999999999</v>
      </c>
      <c r="V105" t="s">
        <v>463</v>
      </c>
      <c r="W105">
        <v>9.6199999999999994E-2</v>
      </c>
    </row>
    <row r="106" spans="1:23" x14ac:dyDescent="0.2">
      <c r="A106" t="s">
        <v>459</v>
      </c>
    </row>
    <row r="107" spans="1:23" x14ac:dyDescent="0.2">
      <c r="A107" t="s">
        <v>458</v>
      </c>
    </row>
    <row r="108" spans="1:23" x14ac:dyDescent="0.2">
      <c r="A108" t="s">
        <v>460</v>
      </c>
      <c r="B108">
        <v>0.94064499999999995</v>
      </c>
    </row>
    <row r="109" spans="1:23" x14ac:dyDescent="0.2">
      <c r="A109" t="s">
        <v>459</v>
      </c>
    </row>
    <row r="110" spans="1:23" x14ac:dyDescent="0.2">
      <c r="A110" t="s">
        <v>458</v>
      </c>
    </row>
    <row r="111" spans="1:23" x14ac:dyDescent="0.2">
      <c r="A111" t="s">
        <v>460</v>
      </c>
      <c r="B111">
        <v>0.94064499999999995</v>
      </c>
      <c r="V111" s="29" t="s">
        <v>461</v>
      </c>
    </row>
    <row r="112" spans="1:23" x14ac:dyDescent="0.2">
      <c r="A112" t="s">
        <v>458</v>
      </c>
    </row>
    <row r="113" spans="1:22" x14ac:dyDescent="0.2">
      <c r="A113" t="s">
        <v>460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458</v>
      </c>
      <c r="V114">
        <f t="shared" ref="V114:V121" si="0">((E5-$W$102)/$W$105)+0.1</f>
        <v>6.3403638253638244</v>
      </c>
    </row>
    <row r="115" spans="1:22" x14ac:dyDescent="0.2">
      <c r="A115" t="s">
        <v>459</v>
      </c>
      <c r="V115">
        <f t="shared" si="0"/>
        <v>6.3437110187110175</v>
      </c>
    </row>
    <row r="116" spans="1:22" x14ac:dyDescent="0.2">
      <c r="A116" t="s">
        <v>459</v>
      </c>
      <c r="V116">
        <f t="shared" si="0"/>
        <v>6.3504158004157993</v>
      </c>
    </row>
    <row r="117" spans="1:22" x14ac:dyDescent="0.2">
      <c r="A117" t="s">
        <v>460</v>
      </c>
      <c r="B117">
        <v>0.93967699999999998</v>
      </c>
      <c r="V117">
        <f t="shared" si="0"/>
        <v>6.3554469854469859</v>
      </c>
    </row>
    <row r="118" spans="1:22" x14ac:dyDescent="0.2">
      <c r="A118" t="s">
        <v>459</v>
      </c>
      <c r="V118">
        <f t="shared" si="0"/>
        <v>6.3604781704781699</v>
      </c>
    </row>
    <row r="119" spans="1:22" x14ac:dyDescent="0.2">
      <c r="A119" t="s">
        <v>458</v>
      </c>
      <c r="V119">
        <f t="shared" si="0"/>
        <v>6.3638357588357595</v>
      </c>
    </row>
    <row r="120" spans="1:22" x14ac:dyDescent="0.2">
      <c r="A120" t="s">
        <v>460</v>
      </c>
      <c r="B120">
        <v>0.93935500000000005</v>
      </c>
      <c r="V120">
        <f t="shared" si="0"/>
        <v>6.3655093555093547</v>
      </c>
    </row>
    <row r="121" spans="1:22" x14ac:dyDescent="0.2">
      <c r="A121" t="s">
        <v>459</v>
      </c>
      <c r="V121">
        <f t="shared" si="0"/>
        <v>6.3621517671517678</v>
      </c>
    </row>
    <row r="122" spans="1:22" x14ac:dyDescent="0.2">
      <c r="A122" t="s">
        <v>458</v>
      </c>
    </row>
    <row r="123" spans="1:22" x14ac:dyDescent="0.2">
      <c r="A123" t="s">
        <v>460</v>
      </c>
      <c r="B123">
        <v>0.93903199999999998</v>
      </c>
    </row>
    <row r="124" spans="1:22" x14ac:dyDescent="0.2">
      <c r="A124" t="s">
        <v>459</v>
      </c>
    </row>
    <row r="125" spans="1:22" x14ac:dyDescent="0.2">
      <c r="A125" t="s">
        <v>458</v>
      </c>
    </row>
    <row r="126" spans="1:22" x14ac:dyDescent="0.2">
      <c r="A126" t="s">
        <v>460</v>
      </c>
      <c r="B126">
        <v>0.93838699999999997</v>
      </c>
    </row>
    <row r="127" spans="1:22" x14ac:dyDescent="0.2">
      <c r="A127" t="s">
        <v>459</v>
      </c>
    </row>
    <row r="128" spans="1:22" x14ac:dyDescent="0.2">
      <c r="A128" t="s">
        <v>458</v>
      </c>
    </row>
    <row r="129" spans="1:2" x14ac:dyDescent="0.2">
      <c r="A129" t="s">
        <v>460</v>
      </c>
      <c r="B129">
        <v>0.93774199999999996</v>
      </c>
    </row>
    <row r="130" spans="1:2" x14ac:dyDescent="0.2">
      <c r="A130" t="s">
        <v>459</v>
      </c>
    </row>
    <row r="131" spans="1:2" x14ac:dyDescent="0.2">
      <c r="A131" t="s">
        <v>458</v>
      </c>
    </row>
    <row r="132" spans="1:2" x14ac:dyDescent="0.2">
      <c r="A132" t="s">
        <v>460</v>
      </c>
      <c r="B132">
        <v>0.937581</v>
      </c>
    </row>
    <row r="133" spans="1:2" x14ac:dyDescent="0.2">
      <c r="A133" t="s">
        <v>458</v>
      </c>
    </row>
    <row r="134" spans="1:2" x14ac:dyDescent="0.2">
      <c r="A134" t="s">
        <v>459</v>
      </c>
    </row>
    <row r="135" spans="1:2" x14ac:dyDescent="0.2">
      <c r="A135" t="s">
        <v>460</v>
      </c>
      <c r="B135">
        <v>0.937581</v>
      </c>
    </row>
    <row r="136" spans="1:2" x14ac:dyDescent="0.2">
      <c r="A136" t="s">
        <v>458</v>
      </c>
    </row>
    <row r="137" spans="1:2" x14ac:dyDescent="0.2">
      <c r="A137" t="s">
        <v>459</v>
      </c>
    </row>
    <row r="138" spans="1:2" x14ac:dyDescent="0.2">
      <c r="A138" t="s">
        <v>460</v>
      </c>
      <c r="B138">
        <v>0.937419</v>
      </c>
    </row>
    <row r="139" spans="1:2" x14ac:dyDescent="0.2">
      <c r="A139" t="s">
        <v>458</v>
      </c>
    </row>
    <row r="140" spans="1:2" x14ac:dyDescent="0.2">
      <c r="A140" t="s">
        <v>459</v>
      </c>
    </row>
    <row r="141" spans="1:2" x14ac:dyDescent="0.2">
      <c r="A141" t="s">
        <v>460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G567"/>
  <sheetViews>
    <sheetView topLeftCell="A20" zoomScale="90" zoomScaleNormal="90" workbookViewId="0">
      <selection activeCell="H53" sqref="H53"/>
    </sheetView>
  </sheetViews>
  <sheetFormatPr baseColWidth="10" defaultRowHeight="16" x14ac:dyDescent="0.2"/>
  <cols>
    <col min="1" max="1" width="32.1640625" customWidth="1"/>
    <col min="5" max="5" width="13.1640625" bestFit="1" customWidth="1"/>
  </cols>
  <sheetData>
    <row r="1" spans="1:24" x14ac:dyDescent="0.2">
      <c r="K1" t="s">
        <v>565</v>
      </c>
      <c r="L1" s="33" t="s">
        <v>565</v>
      </c>
      <c r="N1" s="33" t="s">
        <v>566</v>
      </c>
    </row>
    <row r="2" spans="1:24" x14ac:dyDescent="0.2">
      <c r="A2" s="30" t="s">
        <v>472</v>
      </c>
      <c r="K2">
        <v>13</v>
      </c>
      <c r="L2" s="33">
        <f>HEX2DEC(K2)</f>
        <v>19</v>
      </c>
      <c r="M2" t="s">
        <v>488</v>
      </c>
      <c r="N2" s="33">
        <f>HEX2DEC(M2)</f>
        <v>3017</v>
      </c>
      <c r="O2" t="s">
        <v>489</v>
      </c>
      <c r="R2">
        <f>((L2/(N2/1000))/0.5)/0.5</f>
        <v>25.190586675505468</v>
      </c>
      <c r="S2">
        <f>((R2*0.00026417)/(N2/1000))</f>
        <v>2.205700126638475E-3</v>
      </c>
      <c r="T2">
        <f>S2*60</f>
        <v>0.1323420075983085</v>
      </c>
      <c r="U2">
        <f>T2*30</f>
        <v>3.9702602279492547</v>
      </c>
      <c r="V2">
        <f>T2</f>
        <v>0.1323420075983085</v>
      </c>
      <c r="W2">
        <f>S2*X2</f>
        <v>4.3865431752836762E-2</v>
      </c>
      <c r="X2">
        <f>60/(N2/1000)</f>
        <v>19.887305270135897</v>
      </c>
    </row>
    <row r="3" spans="1:24" x14ac:dyDescent="0.2">
      <c r="A3" s="30" t="s">
        <v>473</v>
      </c>
      <c r="K3" t="s">
        <v>497</v>
      </c>
      <c r="L3" s="33">
        <f t="shared" ref="L3:L62" si="0">HEX2DEC(K3)</f>
        <v>28</v>
      </c>
      <c r="M3" t="s">
        <v>498</v>
      </c>
      <c r="N3" s="33">
        <f t="shared" ref="N3:N62" si="1">HEX2DEC(M3)</f>
        <v>3015</v>
      </c>
      <c r="O3" t="s">
        <v>499</v>
      </c>
      <c r="R3">
        <f>((L3/(N3/1000))/0.5)/0.5</f>
        <v>37.147595356550582</v>
      </c>
      <c r="S3">
        <f t="shared" ref="S3:S25" si="2">((R3*0.00026417)/(N3/1000))</f>
        <v>3.2548193251542173E-3</v>
      </c>
      <c r="T3">
        <f t="shared" ref="T3:T62" si="3">S3*60</f>
        <v>0.19528915950925305</v>
      </c>
      <c r="U3">
        <f t="shared" ref="U3:U62" si="4">T3*30</f>
        <v>5.8586747852775911</v>
      </c>
      <c r="V3">
        <f>V2+T3</f>
        <v>0.32763116710756157</v>
      </c>
      <c r="W3">
        <f t="shared" ref="W3:W25" si="5">S3*X3</f>
        <v>6.4772523883666014E-2</v>
      </c>
      <c r="X3">
        <f t="shared" ref="X3:X25" si="6">60/(N3/1000)</f>
        <v>19.900497512437809</v>
      </c>
    </row>
    <row r="4" spans="1:24" x14ac:dyDescent="0.2">
      <c r="A4" s="30" t="s">
        <v>474</v>
      </c>
      <c r="K4" t="s">
        <v>502</v>
      </c>
      <c r="L4" s="33">
        <f t="shared" si="0"/>
        <v>122</v>
      </c>
      <c r="M4" t="s">
        <v>498</v>
      </c>
      <c r="N4" s="33">
        <f t="shared" si="1"/>
        <v>3015</v>
      </c>
      <c r="O4" t="s">
        <v>503</v>
      </c>
      <c r="R4">
        <f t="shared" ref="R4:R25" si="7">((L4/(N4/1000))/0.5)/0.5</f>
        <v>161.85737976782752</v>
      </c>
      <c r="S4">
        <f t="shared" si="2"/>
        <v>1.4181712773886234E-2</v>
      </c>
      <c r="T4">
        <f t="shared" si="3"/>
        <v>0.85090276643317397</v>
      </c>
      <c r="U4">
        <f t="shared" si="4"/>
        <v>25.527082992995219</v>
      </c>
      <c r="V4">
        <f t="shared" ref="V4:V25" si="8">V3+T4</f>
        <v>1.1785339335407357</v>
      </c>
      <c r="W4">
        <f t="shared" si="5"/>
        <v>0.28222313977883051</v>
      </c>
      <c r="X4">
        <f t="shared" si="6"/>
        <v>19.900497512437809</v>
      </c>
    </row>
    <row r="5" spans="1:24" x14ac:dyDescent="0.2">
      <c r="A5" s="30" t="s">
        <v>475</v>
      </c>
      <c r="K5">
        <v>77</v>
      </c>
      <c r="L5" s="33">
        <f t="shared" si="0"/>
        <v>119</v>
      </c>
      <c r="M5" t="s">
        <v>488</v>
      </c>
      <c r="N5" s="33">
        <f t="shared" si="1"/>
        <v>3017</v>
      </c>
      <c r="O5" t="s">
        <v>503</v>
      </c>
      <c r="R5">
        <f t="shared" si="7"/>
        <v>157.77262180974478</v>
      </c>
      <c r="S5">
        <f t="shared" si="2"/>
        <v>1.3814648161577818E-2</v>
      </c>
      <c r="T5">
        <f t="shared" si="3"/>
        <v>0.82887888969466905</v>
      </c>
      <c r="U5">
        <f t="shared" si="4"/>
        <v>24.866366690840071</v>
      </c>
      <c r="V5">
        <f t="shared" si="8"/>
        <v>2.0074128232354047</v>
      </c>
      <c r="W5">
        <f t="shared" si="5"/>
        <v>0.27473612518881974</v>
      </c>
      <c r="X5">
        <f t="shared" si="6"/>
        <v>19.887305270135897</v>
      </c>
    </row>
    <row r="6" spans="1:24" x14ac:dyDescent="0.2">
      <c r="A6" s="30" t="s">
        <v>476</v>
      </c>
      <c r="K6">
        <v>77</v>
      </c>
      <c r="L6" s="33">
        <f t="shared" si="0"/>
        <v>119</v>
      </c>
      <c r="M6" t="s">
        <v>506</v>
      </c>
      <c r="N6" s="33">
        <f t="shared" si="1"/>
        <v>3016</v>
      </c>
      <c r="O6" t="s">
        <v>507</v>
      </c>
      <c r="R6">
        <f t="shared" si="7"/>
        <v>157.82493368700264</v>
      </c>
      <c r="S6">
        <f t="shared" si="2"/>
        <v>1.3823810587564817E-2</v>
      </c>
      <c r="T6">
        <f t="shared" si="3"/>
        <v>0.82942863525388899</v>
      </c>
      <c r="U6">
        <f t="shared" si="4"/>
        <v>24.88285905761667</v>
      </c>
      <c r="V6">
        <f t="shared" si="8"/>
        <v>2.8368414584892938</v>
      </c>
      <c r="W6">
        <f t="shared" si="5"/>
        <v>0.27500949444757594</v>
      </c>
      <c r="X6">
        <f t="shared" si="6"/>
        <v>19.893899204244033</v>
      </c>
    </row>
    <row r="7" spans="1:24" x14ac:dyDescent="0.2">
      <c r="A7" s="30" t="s">
        <v>464</v>
      </c>
      <c r="K7">
        <v>77</v>
      </c>
      <c r="L7" s="33">
        <f t="shared" si="0"/>
        <v>119</v>
      </c>
      <c r="M7" t="s">
        <v>506</v>
      </c>
      <c r="N7" s="33">
        <f t="shared" si="1"/>
        <v>3016</v>
      </c>
      <c r="O7" t="s">
        <v>504</v>
      </c>
      <c r="R7">
        <f t="shared" si="7"/>
        <v>157.82493368700264</v>
      </c>
      <c r="S7">
        <f t="shared" si="2"/>
        <v>1.3823810587564817E-2</v>
      </c>
      <c r="T7">
        <f t="shared" si="3"/>
        <v>0.82942863525388899</v>
      </c>
      <c r="U7">
        <f t="shared" si="4"/>
        <v>24.88285905761667</v>
      </c>
      <c r="V7">
        <f t="shared" si="8"/>
        <v>3.6662700937431829</v>
      </c>
      <c r="W7">
        <f t="shared" si="5"/>
        <v>0.27500949444757594</v>
      </c>
      <c r="X7">
        <f t="shared" si="6"/>
        <v>19.893899204244033</v>
      </c>
    </row>
    <row r="8" spans="1:24" x14ac:dyDescent="0.2">
      <c r="A8" s="30" t="s">
        <v>474</v>
      </c>
      <c r="K8">
        <v>76</v>
      </c>
      <c r="L8" s="33">
        <f t="shared" si="0"/>
        <v>118</v>
      </c>
      <c r="M8" t="s">
        <v>506</v>
      </c>
      <c r="N8" s="33">
        <f t="shared" si="1"/>
        <v>3016</v>
      </c>
      <c r="O8" t="s">
        <v>510</v>
      </c>
      <c r="R8">
        <f t="shared" si="7"/>
        <v>156.49867374005305</v>
      </c>
      <c r="S8">
        <f t="shared" si="2"/>
        <v>1.3707644112039062E-2</v>
      </c>
      <c r="T8">
        <f t="shared" si="3"/>
        <v>0.8224586467223437</v>
      </c>
      <c r="U8">
        <f t="shared" si="4"/>
        <v>24.67375940167031</v>
      </c>
      <c r="V8">
        <f t="shared" si="8"/>
        <v>4.4887287404655263</v>
      </c>
      <c r="W8">
        <f t="shared" si="5"/>
        <v>0.27269849029255427</v>
      </c>
      <c r="X8">
        <f t="shared" si="6"/>
        <v>19.893899204244033</v>
      </c>
    </row>
    <row r="9" spans="1:24" x14ac:dyDescent="0.2">
      <c r="A9" s="30" t="s">
        <v>465</v>
      </c>
      <c r="K9">
        <v>75</v>
      </c>
      <c r="L9" s="33">
        <f t="shared" si="0"/>
        <v>117</v>
      </c>
      <c r="M9" t="s">
        <v>506</v>
      </c>
      <c r="N9" s="33">
        <f t="shared" si="1"/>
        <v>3016</v>
      </c>
      <c r="O9" t="s">
        <v>514</v>
      </c>
      <c r="R9">
        <f t="shared" si="7"/>
        <v>155.17241379310346</v>
      </c>
      <c r="S9">
        <f t="shared" si="2"/>
        <v>1.3591477636513308E-2</v>
      </c>
      <c r="T9">
        <f t="shared" si="3"/>
        <v>0.81548865819079852</v>
      </c>
      <c r="U9">
        <f t="shared" si="4"/>
        <v>24.464659745723957</v>
      </c>
      <c r="V9">
        <f t="shared" si="8"/>
        <v>5.3042173986563252</v>
      </c>
      <c r="W9">
        <f t="shared" si="5"/>
        <v>0.27038748613753266</v>
      </c>
      <c r="X9">
        <f t="shared" si="6"/>
        <v>19.893899204244033</v>
      </c>
    </row>
    <row r="10" spans="1:24" x14ac:dyDescent="0.2">
      <c r="A10" s="30" t="s">
        <v>477</v>
      </c>
      <c r="D10" s="33"/>
      <c r="E10" s="33"/>
      <c r="G10" s="33" t="s">
        <v>567</v>
      </c>
      <c r="K10">
        <v>74</v>
      </c>
      <c r="L10" s="33">
        <f t="shared" si="0"/>
        <v>116</v>
      </c>
      <c r="M10" t="s">
        <v>506</v>
      </c>
      <c r="N10" s="33">
        <f t="shared" si="1"/>
        <v>3016</v>
      </c>
      <c r="O10" t="s">
        <v>518</v>
      </c>
      <c r="R10">
        <f t="shared" si="7"/>
        <v>153.84615384615384</v>
      </c>
      <c r="S10">
        <f t="shared" si="2"/>
        <v>1.3475311160987552E-2</v>
      </c>
      <c r="T10">
        <f t="shared" si="3"/>
        <v>0.80851866965925312</v>
      </c>
      <c r="U10">
        <f t="shared" si="4"/>
        <v>24.255560089777592</v>
      </c>
      <c r="V10">
        <f t="shared" si="8"/>
        <v>6.112736068315578</v>
      </c>
      <c r="W10">
        <f t="shared" si="5"/>
        <v>0.26807648198251099</v>
      </c>
      <c r="X10">
        <f t="shared" si="6"/>
        <v>19.893899204244033</v>
      </c>
    </row>
    <row r="11" spans="1:24" x14ac:dyDescent="0.2">
      <c r="A11" s="30" t="s">
        <v>478</v>
      </c>
      <c r="E11" s="33"/>
      <c r="K11">
        <v>71</v>
      </c>
      <c r="L11" s="33">
        <f t="shared" si="0"/>
        <v>113</v>
      </c>
      <c r="M11" t="s">
        <v>506</v>
      </c>
      <c r="N11" s="33">
        <f t="shared" si="1"/>
        <v>3016</v>
      </c>
      <c r="O11" t="s">
        <v>522</v>
      </c>
      <c r="R11">
        <f t="shared" si="7"/>
        <v>149.86737400530504</v>
      </c>
      <c r="S11">
        <f t="shared" si="2"/>
        <v>1.3126811734410288E-2</v>
      </c>
      <c r="T11">
        <f t="shared" si="3"/>
        <v>0.78760870406461725</v>
      </c>
      <c r="U11">
        <f t="shared" si="4"/>
        <v>23.628261121938518</v>
      </c>
      <c r="V11">
        <f t="shared" si="8"/>
        <v>6.9003447723801949</v>
      </c>
      <c r="W11">
        <f t="shared" si="5"/>
        <v>0.26114346951744605</v>
      </c>
      <c r="X11">
        <f t="shared" si="6"/>
        <v>19.893899204244033</v>
      </c>
    </row>
    <row r="12" spans="1:24" x14ac:dyDescent="0.2">
      <c r="A12" s="35" t="s">
        <v>479</v>
      </c>
      <c r="B12" t="s">
        <v>568</v>
      </c>
      <c r="K12">
        <v>69</v>
      </c>
      <c r="L12" s="33">
        <f t="shared" si="0"/>
        <v>105</v>
      </c>
      <c r="M12" t="s">
        <v>506</v>
      </c>
      <c r="N12" s="33">
        <f t="shared" si="1"/>
        <v>3016</v>
      </c>
      <c r="O12">
        <v>118</v>
      </c>
      <c r="R12">
        <f t="shared" si="7"/>
        <v>139.25729442970822</v>
      </c>
      <c r="S12">
        <f t="shared" si="2"/>
        <v>1.2197479930204251E-2</v>
      </c>
      <c r="T12">
        <f t="shared" si="3"/>
        <v>0.73184879581225504</v>
      </c>
      <c r="U12">
        <f t="shared" si="4"/>
        <v>21.955463874367652</v>
      </c>
      <c r="V12">
        <f t="shared" si="8"/>
        <v>7.6321935681924504</v>
      </c>
      <c r="W12">
        <f t="shared" si="5"/>
        <v>0.2426554362772729</v>
      </c>
      <c r="X12">
        <f t="shared" si="6"/>
        <v>19.893899204244033</v>
      </c>
    </row>
    <row r="13" spans="1:24" x14ac:dyDescent="0.2">
      <c r="A13" s="30" t="s">
        <v>480</v>
      </c>
      <c r="K13" t="s">
        <v>528</v>
      </c>
      <c r="L13" s="33">
        <f t="shared" si="0"/>
        <v>95</v>
      </c>
      <c r="M13" t="s">
        <v>506</v>
      </c>
      <c r="N13" s="33">
        <f t="shared" si="1"/>
        <v>3016</v>
      </c>
      <c r="O13">
        <v>126</v>
      </c>
      <c r="R13">
        <f t="shared" si="7"/>
        <v>125.9946949602122</v>
      </c>
      <c r="S13">
        <f t="shared" si="2"/>
        <v>1.1035815174946702E-2</v>
      </c>
      <c r="T13">
        <f t="shared" si="3"/>
        <v>0.66214891049680213</v>
      </c>
      <c r="U13">
        <f t="shared" si="4"/>
        <v>19.864467314904065</v>
      </c>
      <c r="V13">
        <f t="shared" si="8"/>
        <v>8.2943424786892521</v>
      </c>
      <c r="W13">
        <f t="shared" si="5"/>
        <v>0.21954539472705642</v>
      </c>
      <c r="X13">
        <f t="shared" si="6"/>
        <v>19.893899204244033</v>
      </c>
    </row>
    <row r="14" spans="1:24" x14ac:dyDescent="0.2">
      <c r="A14" s="30" t="s">
        <v>481</v>
      </c>
      <c r="K14">
        <v>54</v>
      </c>
      <c r="L14" s="33">
        <f t="shared" si="0"/>
        <v>84</v>
      </c>
      <c r="M14" t="s">
        <v>498</v>
      </c>
      <c r="N14" s="33">
        <f t="shared" si="1"/>
        <v>3015</v>
      </c>
      <c r="O14">
        <v>134</v>
      </c>
      <c r="R14">
        <f t="shared" si="7"/>
        <v>111.44278606965173</v>
      </c>
      <c r="S14">
        <f t="shared" si="2"/>
        <v>9.7644579754626523E-3</v>
      </c>
      <c r="T14">
        <f t="shared" si="3"/>
        <v>0.58586747852775911</v>
      </c>
      <c r="U14">
        <f t="shared" si="4"/>
        <v>17.576024355832772</v>
      </c>
      <c r="V14">
        <f t="shared" si="8"/>
        <v>8.8802099572170121</v>
      </c>
      <c r="W14">
        <f t="shared" si="5"/>
        <v>0.19431757165099803</v>
      </c>
      <c r="X14">
        <f t="shared" si="6"/>
        <v>19.900497512437809</v>
      </c>
    </row>
    <row r="15" spans="1:24" x14ac:dyDescent="0.2">
      <c r="A15" s="30" t="s">
        <v>482</v>
      </c>
      <c r="K15">
        <v>49</v>
      </c>
      <c r="L15" s="33">
        <f t="shared" si="0"/>
        <v>73</v>
      </c>
      <c r="M15" t="s">
        <v>498</v>
      </c>
      <c r="N15" s="33">
        <f t="shared" si="1"/>
        <v>3015</v>
      </c>
      <c r="O15" t="s">
        <v>534</v>
      </c>
      <c r="R15">
        <f t="shared" si="7"/>
        <v>96.849087893864009</v>
      </c>
      <c r="S15">
        <f t="shared" si="2"/>
        <v>8.485778954866352E-3</v>
      </c>
      <c r="T15">
        <f t="shared" si="3"/>
        <v>0.50914673729198112</v>
      </c>
      <c r="U15">
        <f t="shared" si="4"/>
        <v>15.274402118759433</v>
      </c>
      <c r="V15">
        <f t="shared" si="8"/>
        <v>9.3893566945089937</v>
      </c>
      <c r="W15">
        <f t="shared" si="5"/>
        <v>0.16887122298241494</v>
      </c>
      <c r="X15">
        <f t="shared" si="6"/>
        <v>19.900497512437809</v>
      </c>
    </row>
    <row r="16" spans="1:24" x14ac:dyDescent="0.2">
      <c r="A16" s="30" t="s">
        <v>483</v>
      </c>
      <c r="K16">
        <v>44</v>
      </c>
      <c r="L16" s="33">
        <f t="shared" si="0"/>
        <v>68</v>
      </c>
      <c r="M16" t="s">
        <v>506</v>
      </c>
      <c r="N16" s="33">
        <f t="shared" si="1"/>
        <v>3016</v>
      </c>
      <c r="O16" t="s">
        <v>538</v>
      </c>
      <c r="R16">
        <f t="shared" si="7"/>
        <v>90.185676392572944</v>
      </c>
      <c r="S16">
        <f t="shared" si="2"/>
        <v>7.8993203357513239E-3</v>
      </c>
      <c r="T16">
        <f t="shared" si="3"/>
        <v>0.47395922014507941</v>
      </c>
      <c r="U16">
        <f t="shared" si="4"/>
        <v>14.218776604352382</v>
      </c>
      <c r="V16">
        <f t="shared" si="8"/>
        <v>9.8633159146540734</v>
      </c>
      <c r="W16">
        <f t="shared" si="5"/>
        <v>0.15714828254147198</v>
      </c>
      <c r="X16">
        <f t="shared" si="6"/>
        <v>19.893899204244033</v>
      </c>
    </row>
    <row r="17" spans="1:24" x14ac:dyDescent="0.2">
      <c r="A17" s="30" t="s">
        <v>325</v>
      </c>
      <c r="K17">
        <v>43</v>
      </c>
      <c r="L17" s="33">
        <f t="shared" si="0"/>
        <v>67</v>
      </c>
      <c r="M17" t="s">
        <v>506</v>
      </c>
      <c r="N17" s="33">
        <f t="shared" si="1"/>
        <v>3016</v>
      </c>
      <c r="O17" t="s">
        <v>536</v>
      </c>
      <c r="R17">
        <f t="shared" si="7"/>
        <v>88.859416445623339</v>
      </c>
      <c r="S17">
        <f t="shared" si="2"/>
        <v>7.7831538602255697E-3</v>
      </c>
      <c r="T17">
        <f t="shared" si="3"/>
        <v>0.46698923161353417</v>
      </c>
      <c r="U17">
        <f t="shared" si="4"/>
        <v>14.009676948406025</v>
      </c>
      <c r="V17">
        <f t="shared" si="8"/>
        <v>10.330305146267607</v>
      </c>
      <c r="W17">
        <f t="shared" si="5"/>
        <v>0.15483727838645034</v>
      </c>
      <c r="X17">
        <f t="shared" si="6"/>
        <v>19.893899204244033</v>
      </c>
    </row>
    <row r="18" spans="1:24" x14ac:dyDescent="0.2">
      <c r="A18" s="30" t="s">
        <v>484</v>
      </c>
      <c r="K18">
        <v>43</v>
      </c>
      <c r="L18" s="33">
        <f t="shared" si="0"/>
        <v>67</v>
      </c>
      <c r="M18" t="s">
        <v>498</v>
      </c>
      <c r="N18" s="33">
        <f t="shared" si="1"/>
        <v>3015</v>
      </c>
      <c r="O18" t="s">
        <v>544</v>
      </c>
      <c r="R18">
        <f t="shared" si="7"/>
        <v>88.888888888888886</v>
      </c>
      <c r="S18">
        <f t="shared" si="2"/>
        <v>7.788317670904734E-3</v>
      </c>
      <c r="T18">
        <f t="shared" si="3"/>
        <v>0.46729906025428403</v>
      </c>
      <c r="U18">
        <f t="shared" si="4"/>
        <v>14.018971807628521</v>
      </c>
      <c r="V18">
        <f t="shared" si="8"/>
        <v>10.797604206521891</v>
      </c>
      <c r="W18">
        <f t="shared" si="5"/>
        <v>0.15499139643591509</v>
      </c>
      <c r="X18">
        <f t="shared" si="6"/>
        <v>19.900497512437809</v>
      </c>
    </row>
    <row r="19" spans="1:24" x14ac:dyDescent="0.2">
      <c r="A19" s="30" t="s">
        <v>485</v>
      </c>
      <c r="K19">
        <v>43</v>
      </c>
      <c r="L19" s="33">
        <f t="shared" si="0"/>
        <v>67</v>
      </c>
      <c r="M19" t="s">
        <v>498</v>
      </c>
      <c r="N19" s="33">
        <f t="shared" si="1"/>
        <v>3015</v>
      </c>
      <c r="O19">
        <v>140</v>
      </c>
      <c r="R19">
        <f t="shared" si="7"/>
        <v>88.888888888888886</v>
      </c>
      <c r="S19">
        <f t="shared" si="2"/>
        <v>7.788317670904734E-3</v>
      </c>
      <c r="T19">
        <f t="shared" si="3"/>
        <v>0.46729906025428403</v>
      </c>
      <c r="U19">
        <f t="shared" si="4"/>
        <v>14.018971807628521</v>
      </c>
      <c r="V19">
        <f t="shared" si="8"/>
        <v>11.264903266776175</v>
      </c>
      <c r="W19">
        <f t="shared" si="5"/>
        <v>0.15499139643591509</v>
      </c>
      <c r="X19">
        <f t="shared" si="6"/>
        <v>19.900497512437809</v>
      </c>
    </row>
    <row r="20" spans="1:24" x14ac:dyDescent="0.2">
      <c r="A20" s="30" t="s">
        <v>486</v>
      </c>
      <c r="K20">
        <v>43</v>
      </c>
      <c r="L20" s="33">
        <f t="shared" si="0"/>
        <v>67</v>
      </c>
      <c r="M20" t="s">
        <v>506</v>
      </c>
      <c r="N20" s="33">
        <f t="shared" si="1"/>
        <v>3016</v>
      </c>
      <c r="O20" t="s">
        <v>544</v>
      </c>
      <c r="R20">
        <f t="shared" si="7"/>
        <v>88.859416445623339</v>
      </c>
      <c r="S20">
        <f t="shared" si="2"/>
        <v>7.7831538602255697E-3</v>
      </c>
      <c r="T20">
        <f t="shared" si="3"/>
        <v>0.46698923161353417</v>
      </c>
      <c r="U20">
        <f t="shared" si="4"/>
        <v>14.009676948406025</v>
      </c>
      <c r="V20">
        <f t="shared" si="8"/>
        <v>11.731892498389708</v>
      </c>
      <c r="W20">
        <f t="shared" si="5"/>
        <v>0.15483727838645034</v>
      </c>
      <c r="X20">
        <f t="shared" si="6"/>
        <v>19.893899204244033</v>
      </c>
    </row>
    <row r="21" spans="1:24" x14ac:dyDescent="0.2">
      <c r="A21" s="30" t="s">
        <v>466</v>
      </c>
      <c r="K21">
        <v>43</v>
      </c>
      <c r="L21" s="33">
        <f t="shared" si="0"/>
        <v>67</v>
      </c>
      <c r="M21" t="s">
        <v>498</v>
      </c>
      <c r="N21" s="33">
        <f t="shared" si="1"/>
        <v>3015</v>
      </c>
      <c r="O21">
        <v>140</v>
      </c>
      <c r="R21">
        <f t="shared" si="7"/>
        <v>88.888888888888886</v>
      </c>
      <c r="S21">
        <f t="shared" si="2"/>
        <v>7.788317670904734E-3</v>
      </c>
      <c r="T21">
        <f t="shared" si="3"/>
        <v>0.46729906025428403</v>
      </c>
      <c r="U21">
        <f t="shared" si="4"/>
        <v>14.018971807628521</v>
      </c>
      <c r="V21">
        <f t="shared" si="8"/>
        <v>12.199191558643992</v>
      </c>
      <c r="W21">
        <f t="shared" si="5"/>
        <v>0.15499139643591509</v>
      </c>
      <c r="X21">
        <f t="shared" si="6"/>
        <v>19.900497512437809</v>
      </c>
    </row>
    <row r="22" spans="1:24" x14ac:dyDescent="0.2">
      <c r="A22" s="30" t="s">
        <v>325</v>
      </c>
      <c r="K22">
        <v>43</v>
      </c>
      <c r="L22" s="33">
        <f t="shared" si="0"/>
        <v>67</v>
      </c>
      <c r="M22" t="s">
        <v>506</v>
      </c>
      <c r="N22" s="33">
        <f t="shared" si="1"/>
        <v>3016</v>
      </c>
      <c r="O22" t="s">
        <v>536</v>
      </c>
      <c r="R22">
        <f t="shared" si="7"/>
        <v>88.859416445623339</v>
      </c>
      <c r="S22">
        <f t="shared" si="2"/>
        <v>7.7831538602255697E-3</v>
      </c>
      <c r="T22">
        <f t="shared" si="3"/>
        <v>0.46698923161353417</v>
      </c>
      <c r="U22">
        <f t="shared" si="4"/>
        <v>14.009676948406025</v>
      </c>
      <c r="V22">
        <f t="shared" si="8"/>
        <v>12.666180790257526</v>
      </c>
      <c r="W22">
        <f t="shared" si="5"/>
        <v>0.15483727838645034</v>
      </c>
      <c r="X22">
        <f t="shared" si="6"/>
        <v>19.893899204244033</v>
      </c>
    </row>
    <row r="23" spans="1:24" x14ac:dyDescent="0.2">
      <c r="A23" s="30" t="s">
        <v>487</v>
      </c>
      <c r="K23">
        <v>43</v>
      </c>
      <c r="L23" s="33">
        <f t="shared" si="0"/>
        <v>67</v>
      </c>
      <c r="M23" t="s">
        <v>506</v>
      </c>
      <c r="N23" s="33">
        <f t="shared" si="1"/>
        <v>3016</v>
      </c>
      <c r="O23" t="s">
        <v>536</v>
      </c>
      <c r="R23">
        <f t="shared" si="7"/>
        <v>88.859416445623339</v>
      </c>
      <c r="S23">
        <f t="shared" si="2"/>
        <v>7.7831538602255697E-3</v>
      </c>
      <c r="T23">
        <f t="shared" si="3"/>
        <v>0.46698923161353417</v>
      </c>
      <c r="U23">
        <f t="shared" si="4"/>
        <v>14.009676948406025</v>
      </c>
      <c r="V23">
        <f t="shared" si="8"/>
        <v>13.133170021871059</v>
      </c>
      <c r="W23">
        <f t="shared" si="5"/>
        <v>0.15483727838645034</v>
      </c>
      <c r="X23">
        <f t="shared" si="6"/>
        <v>19.893899204244033</v>
      </c>
    </row>
    <row r="24" spans="1:24" x14ac:dyDescent="0.2">
      <c r="A24" s="30" t="s">
        <v>0</v>
      </c>
      <c r="K24">
        <v>43</v>
      </c>
      <c r="L24" s="33">
        <f t="shared" si="0"/>
        <v>67</v>
      </c>
      <c r="M24" t="s">
        <v>506</v>
      </c>
      <c r="N24" s="33">
        <f t="shared" si="1"/>
        <v>3016</v>
      </c>
      <c r="O24" t="s">
        <v>536</v>
      </c>
      <c r="R24">
        <f t="shared" si="7"/>
        <v>88.859416445623339</v>
      </c>
      <c r="S24">
        <f t="shared" si="2"/>
        <v>7.7831538602255697E-3</v>
      </c>
      <c r="T24">
        <f t="shared" si="3"/>
        <v>0.46698923161353417</v>
      </c>
      <c r="U24">
        <f t="shared" si="4"/>
        <v>14.009676948406025</v>
      </c>
      <c r="V24">
        <f t="shared" si="8"/>
        <v>13.600159253484593</v>
      </c>
      <c r="W24">
        <f t="shared" si="5"/>
        <v>0.15483727838645034</v>
      </c>
      <c r="X24">
        <f t="shared" si="6"/>
        <v>19.893899204244033</v>
      </c>
    </row>
    <row r="25" spans="1:24" x14ac:dyDescent="0.2">
      <c r="A25" s="30" t="s">
        <v>467</v>
      </c>
      <c r="K25">
        <v>42</v>
      </c>
      <c r="L25" s="33">
        <f t="shared" si="0"/>
        <v>66</v>
      </c>
      <c r="M25" t="s">
        <v>561</v>
      </c>
      <c r="N25" s="33">
        <f t="shared" si="1"/>
        <v>3014</v>
      </c>
      <c r="O25" t="s">
        <v>536</v>
      </c>
      <c r="R25">
        <f t="shared" si="7"/>
        <v>87.591240875912419</v>
      </c>
      <c r="S25">
        <f t="shared" si="2"/>
        <v>7.6771659264066967E-3</v>
      </c>
      <c r="T25">
        <f t="shared" si="3"/>
        <v>0.46062995558440178</v>
      </c>
      <c r="U25">
        <f t="shared" si="4"/>
        <v>13.818898667532054</v>
      </c>
      <c r="V25">
        <f t="shared" si="8"/>
        <v>14.060789209068995</v>
      </c>
      <c r="W25">
        <f t="shared" si="5"/>
        <v>0.15283011134187188</v>
      </c>
      <c r="X25">
        <f t="shared" si="6"/>
        <v>19.907100199071003</v>
      </c>
    </row>
    <row r="26" spans="1:24" x14ac:dyDescent="0.2">
      <c r="A26" s="30" t="s">
        <v>468</v>
      </c>
      <c r="K26">
        <v>14</v>
      </c>
      <c r="L26" s="174">
        <v>20</v>
      </c>
      <c r="M26" s="174" t="s">
        <v>569</v>
      </c>
      <c r="N26" s="174">
        <v>2041</v>
      </c>
      <c r="O26">
        <f>P26*((N26/1000)/60)</f>
        <v>0.17259237333333335</v>
      </c>
      <c r="P26" s="124">
        <f>((((L26/(N26/1000))*2))*$H$56)*$H$57</f>
        <v>5.0737591376776097</v>
      </c>
      <c r="Q26" s="174">
        <f>((((L26/N26)*60*60)*0.5)/$E$48)*0.2641720524</f>
        <v>10.100000001600097</v>
      </c>
      <c r="R26" s="36">
        <f>((L26/(N26/1000))/0.5)/0.5</f>
        <v>39.196472317491427</v>
      </c>
      <c r="S26" s="36">
        <f>((R26*0.00026417)/(N26/1000))</f>
        <v>5.0732641313629154E-3</v>
      </c>
      <c r="T26" s="36">
        <f t="shared" si="3"/>
        <v>0.30439584788177493</v>
      </c>
      <c r="U26" s="36">
        <f t="shared" si="4"/>
        <v>9.1318754364532477</v>
      </c>
      <c r="V26" s="36">
        <f>T26</f>
        <v>0.30439584788177493</v>
      </c>
      <c r="W26" s="36">
        <f>S26*X26</f>
        <v>0.14914054281321654</v>
      </c>
      <c r="X26" s="36">
        <f>60/(N26/1000)</f>
        <v>29.39735423811857</v>
      </c>
    </row>
    <row r="27" spans="1:24" x14ac:dyDescent="0.2">
      <c r="A27" s="30" t="s">
        <v>469</v>
      </c>
      <c r="K27">
        <v>14</v>
      </c>
      <c r="L27" s="174">
        <v>20</v>
      </c>
      <c r="M27" s="174" t="s">
        <v>569</v>
      </c>
      <c r="N27" s="174">
        <v>1021</v>
      </c>
      <c r="O27">
        <f>P27*((N27/1000)/60)+O26</f>
        <v>0.34518474666666671</v>
      </c>
      <c r="P27" s="124">
        <f t="shared" ref="P27:P62" si="9">((((L27/(N27/1000))*2))*$H$56)*$H$57</f>
        <v>10.142548873653283</v>
      </c>
      <c r="Q27" s="174">
        <f t="shared" ref="Q27:Q62" si="10">((((L27/N27)*60*60)*0.5)/$E$48)*0.2641720524</f>
        <v>20.190107740710879</v>
      </c>
      <c r="R27" s="36">
        <f>((L27/(N27/1000))/0.5)/0.5</f>
        <v>78.3545543584721</v>
      </c>
      <c r="S27" s="36">
        <f>((R27*0.00026417)/(N27/1000))</f>
        <v>2.0273185724659724E-2</v>
      </c>
      <c r="T27" s="36">
        <f t="shared" si="3"/>
        <v>1.2163911434795833</v>
      </c>
      <c r="U27" s="36">
        <f t="shared" si="4"/>
        <v>36.491734304387499</v>
      </c>
      <c r="V27" s="36">
        <f>T27+V26</f>
        <v>1.5207869913613583</v>
      </c>
      <c r="W27" s="36">
        <f>S27*X27</f>
        <v>1.1913723246616881</v>
      </c>
      <c r="X27" s="36">
        <f>60/(N27/1000)</f>
        <v>58.765915768854072</v>
      </c>
    </row>
    <row r="28" spans="1:24" x14ac:dyDescent="0.2">
      <c r="A28" s="30" t="s">
        <v>470</v>
      </c>
      <c r="K28">
        <v>14</v>
      </c>
      <c r="L28" s="36">
        <f t="shared" si="0"/>
        <v>20</v>
      </c>
      <c r="M28" t="s">
        <v>569</v>
      </c>
      <c r="N28" s="36">
        <f t="shared" si="1"/>
        <v>2038</v>
      </c>
      <c r="O28">
        <f t="shared" ref="O28:O62" si="11">P28*((N28/1000)/60)+O27</f>
        <v>0.51777712000000009</v>
      </c>
      <c r="P28" s="124">
        <f t="shared" si="9"/>
        <v>5.0812278704612366</v>
      </c>
      <c r="Q28" s="174">
        <f t="shared" si="10"/>
        <v>10.114867518776157</v>
      </c>
      <c r="R28" s="36">
        <f t="shared" ref="R28:R62" si="12">((L28/(N28/1000))/0.5)/0.5</f>
        <v>39.254170755642789</v>
      </c>
      <c r="S28" s="36">
        <f t="shared" ref="S28:S62" si="13">((R28*0.00026417)/(N28/1000))</f>
        <v>5.0882111327370735E-3</v>
      </c>
      <c r="T28" s="36">
        <f t="shared" si="3"/>
        <v>0.30529266796422438</v>
      </c>
      <c r="U28" s="36">
        <f t="shared" si="4"/>
        <v>9.1587800389267322</v>
      </c>
      <c r="V28" s="36">
        <f t="shared" ref="V28:V62" si="14">T28+V27</f>
        <v>1.8260796593255826</v>
      </c>
      <c r="W28" s="36">
        <f t="shared" ref="W28:W62" si="15">S28*X28</f>
        <v>0.14980013148391777</v>
      </c>
      <c r="X28" s="36">
        <f t="shared" ref="X28:X62" si="16">60/(N28/1000)</f>
        <v>29.440628066732092</v>
      </c>
    </row>
    <row r="29" spans="1:24" x14ac:dyDescent="0.2">
      <c r="A29" s="30" t="s">
        <v>2</v>
      </c>
      <c r="K29">
        <v>14</v>
      </c>
      <c r="L29" s="36">
        <f t="shared" si="0"/>
        <v>20</v>
      </c>
      <c r="M29" t="s">
        <v>569</v>
      </c>
      <c r="N29" s="36">
        <f t="shared" si="1"/>
        <v>2038</v>
      </c>
      <c r="O29">
        <f t="shared" si="11"/>
        <v>0.69036949333333342</v>
      </c>
      <c r="P29" s="124">
        <f t="shared" si="9"/>
        <v>5.0812278704612366</v>
      </c>
      <c r="Q29" s="174">
        <f t="shared" si="10"/>
        <v>10.114867518776157</v>
      </c>
      <c r="R29" s="36">
        <f t="shared" si="12"/>
        <v>39.254170755642789</v>
      </c>
      <c r="S29" s="36">
        <f t="shared" si="13"/>
        <v>5.0882111327370735E-3</v>
      </c>
      <c r="T29" s="36">
        <f t="shared" si="3"/>
        <v>0.30529266796422438</v>
      </c>
      <c r="U29" s="36">
        <f t="shared" si="4"/>
        <v>9.1587800389267322</v>
      </c>
      <c r="V29" s="36">
        <f t="shared" si="14"/>
        <v>2.1313723272898071</v>
      </c>
      <c r="W29" s="36">
        <f t="shared" si="15"/>
        <v>0.14980013148391777</v>
      </c>
      <c r="X29" s="36">
        <f t="shared" si="16"/>
        <v>29.440628066732092</v>
      </c>
    </row>
    <row r="30" spans="1:24" x14ac:dyDescent="0.2">
      <c r="A30" s="30" t="s">
        <v>471</v>
      </c>
      <c r="K30">
        <v>14</v>
      </c>
      <c r="L30" s="36">
        <f t="shared" si="0"/>
        <v>20</v>
      </c>
      <c r="M30" t="s">
        <v>569</v>
      </c>
      <c r="N30" s="36">
        <f t="shared" si="1"/>
        <v>2038</v>
      </c>
      <c r="O30">
        <f t="shared" si="11"/>
        <v>0.86296186666666674</v>
      </c>
      <c r="P30" s="124">
        <f t="shared" si="9"/>
        <v>5.0812278704612366</v>
      </c>
      <c r="Q30" s="174">
        <f t="shared" si="10"/>
        <v>10.114867518776157</v>
      </c>
      <c r="R30" s="36">
        <f t="shared" si="12"/>
        <v>39.254170755642789</v>
      </c>
      <c r="S30" s="36">
        <f t="shared" si="13"/>
        <v>5.0882111327370735E-3</v>
      </c>
      <c r="T30" s="36">
        <f t="shared" si="3"/>
        <v>0.30529266796422438</v>
      </c>
      <c r="U30" s="36">
        <f t="shared" si="4"/>
        <v>9.1587800389267322</v>
      </c>
      <c r="V30" s="36">
        <f t="shared" si="14"/>
        <v>2.4366649952540316</v>
      </c>
      <c r="W30" s="36">
        <f t="shared" si="15"/>
        <v>0.14980013148391777</v>
      </c>
      <c r="X30" s="36">
        <f t="shared" si="16"/>
        <v>29.440628066732092</v>
      </c>
    </row>
    <row r="31" spans="1:24" x14ac:dyDescent="0.2">
      <c r="A31" s="30"/>
      <c r="K31">
        <v>14</v>
      </c>
      <c r="L31" s="36">
        <f t="shared" si="0"/>
        <v>20</v>
      </c>
      <c r="M31" t="s">
        <v>569</v>
      </c>
      <c r="N31" s="36">
        <f t="shared" si="1"/>
        <v>2038</v>
      </c>
      <c r="O31">
        <f t="shared" si="11"/>
        <v>1.0355542400000002</v>
      </c>
      <c r="P31" s="124">
        <f t="shared" si="9"/>
        <v>5.0812278704612366</v>
      </c>
      <c r="Q31" s="174">
        <f t="shared" si="10"/>
        <v>10.114867518776157</v>
      </c>
      <c r="R31" s="36">
        <f t="shared" si="12"/>
        <v>39.254170755642789</v>
      </c>
      <c r="S31" s="36">
        <f t="shared" si="13"/>
        <v>5.0882111327370735E-3</v>
      </c>
      <c r="T31" s="36">
        <f t="shared" si="3"/>
        <v>0.30529266796422438</v>
      </c>
      <c r="U31" s="36">
        <f t="shared" si="4"/>
        <v>9.1587800389267322</v>
      </c>
      <c r="V31" s="36">
        <f t="shared" si="14"/>
        <v>2.7419576632182561</v>
      </c>
      <c r="W31" s="36">
        <f t="shared" si="15"/>
        <v>0.14980013148391777</v>
      </c>
      <c r="X31" s="36">
        <f t="shared" si="16"/>
        <v>29.440628066732092</v>
      </c>
    </row>
    <row r="32" spans="1:24" x14ac:dyDescent="0.2">
      <c r="A32" s="30"/>
      <c r="K32">
        <v>13</v>
      </c>
      <c r="L32" s="36">
        <f t="shared" si="0"/>
        <v>19</v>
      </c>
      <c r="M32" t="s">
        <v>569</v>
      </c>
      <c r="N32" s="36">
        <f t="shared" si="1"/>
        <v>2038</v>
      </c>
      <c r="O32">
        <f t="shared" si="11"/>
        <v>1.1995169946666668</v>
      </c>
      <c r="P32" s="124">
        <f t="shared" si="9"/>
        <v>4.8271664769381752</v>
      </c>
      <c r="Q32" s="174">
        <f t="shared" si="10"/>
        <v>9.6091241428373486</v>
      </c>
      <c r="R32" s="36">
        <f t="shared" si="12"/>
        <v>37.291462217860648</v>
      </c>
      <c r="S32" s="36">
        <f t="shared" si="13"/>
        <v>4.8338005761002197E-3</v>
      </c>
      <c r="T32" s="36">
        <f t="shared" si="3"/>
        <v>0.29002803456601317</v>
      </c>
      <c r="U32" s="36">
        <f t="shared" si="4"/>
        <v>8.7008410369803943</v>
      </c>
      <c r="V32" s="36">
        <f t="shared" si="14"/>
        <v>3.0319856977842692</v>
      </c>
      <c r="W32" s="36">
        <f t="shared" si="15"/>
        <v>0.14231012490972189</v>
      </c>
      <c r="X32" s="36">
        <f t="shared" si="16"/>
        <v>29.440628066732092</v>
      </c>
    </row>
    <row r="33" spans="1:24" x14ac:dyDescent="0.2">
      <c r="A33" s="173" t="s">
        <v>1000</v>
      </c>
      <c r="B33" s="174"/>
      <c r="C33" s="174"/>
      <c r="D33" s="174"/>
      <c r="E33" s="174"/>
      <c r="F33" s="174"/>
      <c r="G33" s="174"/>
      <c r="H33" s="174"/>
      <c r="I33" s="174"/>
      <c r="J33" s="174"/>
      <c r="K33">
        <v>14</v>
      </c>
      <c r="L33" s="36">
        <f t="shared" si="0"/>
        <v>20</v>
      </c>
      <c r="M33" t="s">
        <v>569</v>
      </c>
      <c r="N33" s="36">
        <f t="shared" si="1"/>
        <v>2038</v>
      </c>
      <c r="O33">
        <f t="shared" si="11"/>
        <v>1.3721093680000003</v>
      </c>
      <c r="P33" s="124">
        <f t="shared" si="9"/>
        <v>5.0812278704612366</v>
      </c>
      <c r="Q33" s="174">
        <f t="shared" si="10"/>
        <v>10.114867518776157</v>
      </c>
      <c r="R33" s="36">
        <f t="shared" si="12"/>
        <v>39.254170755642789</v>
      </c>
      <c r="S33" s="36">
        <f t="shared" si="13"/>
        <v>5.0882111327370735E-3</v>
      </c>
      <c r="T33" s="36">
        <f t="shared" si="3"/>
        <v>0.30529266796422438</v>
      </c>
      <c r="U33" s="36">
        <f t="shared" si="4"/>
        <v>9.1587800389267322</v>
      </c>
      <c r="V33" s="36">
        <f t="shared" si="14"/>
        <v>3.3372783657484937</v>
      </c>
      <c r="W33" s="36">
        <f t="shared" si="15"/>
        <v>0.14980013148391777</v>
      </c>
      <c r="X33" s="36">
        <f t="shared" si="16"/>
        <v>29.440628066732092</v>
      </c>
    </row>
    <row r="34" spans="1:24" x14ac:dyDescent="0.2">
      <c r="A34" s="173" t="s">
        <v>1001</v>
      </c>
      <c r="B34" s="174"/>
      <c r="C34" s="174"/>
      <c r="D34" s="174"/>
      <c r="E34" s="174"/>
      <c r="F34" s="174"/>
      <c r="G34" s="174"/>
      <c r="H34" s="174"/>
      <c r="I34" s="174"/>
      <c r="J34" s="174"/>
      <c r="K34">
        <v>14</v>
      </c>
      <c r="L34" s="36">
        <f t="shared" si="0"/>
        <v>20</v>
      </c>
      <c r="M34" t="s">
        <v>569</v>
      </c>
      <c r="N34" s="36">
        <f t="shared" si="1"/>
        <v>2038</v>
      </c>
      <c r="O34">
        <f t="shared" si="11"/>
        <v>1.5447017413333337</v>
      </c>
      <c r="P34" s="124">
        <f t="shared" si="9"/>
        <v>5.0812278704612366</v>
      </c>
      <c r="Q34" s="174">
        <f t="shared" si="10"/>
        <v>10.114867518776157</v>
      </c>
      <c r="R34" s="36">
        <f t="shared" si="12"/>
        <v>39.254170755642789</v>
      </c>
      <c r="S34" s="36">
        <f t="shared" si="13"/>
        <v>5.0882111327370735E-3</v>
      </c>
      <c r="T34" s="36">
        <f t="shared" si="3"/>
        <v>0.30529266796422438</v>
      </c>
      <c r="U34" s="36">
        <f t="shared" si="4"/>
        <v>9.1587800389267322</v>
      </c>
      <c r="V34" s="36">
        <f t="shared" si="14"/>
        <v>3.6425710337127182</v>
      </c>
      <c r="W34" s="36">
        <f t="shared" si="15"/>
        <v>0.14980013148391777</v>
      </c>
      <c r="X34" s="36">
        <f t="shared" si="16"/>
        <v>29.440628066732092</v>
      </c>
    </row>
    <row r="35" spans="1:24" x14ac:dyDescent="0.2">
      <c r="A35" s="30"/>
      <c r="K35">
        <v>14</v>
      </c>
      <c r="L35" s="36">
        <f t="shared" si="0"/>
        <v>20</v>
      </c>
      <c r="M35" t="s">
        <v>614</v>
      </c>
      <c r="N35" s="36">
        <f t="shared" si="1"/>
        <v>2041</v>
      </c>
      <c r="O35">
        <f t="shared" si="11"/>
        <v>1.7172941146666671</v>
      </c>
      <c r="P35" s="124">
        <f t="shared" si="9"/>
        <v>5.0737591376776097</v>
      </c>
      <c r="Q35" s="174">
        <f t="shared" si="10"/>
        <v>10.100000001600097</v>
      </c>
      <c r="R35" s="36">
        <f t="shared" si="12"/>
        <v>39.196472317491427</v>
      </c>
      <c r="S35" s="36">
        <f t="shared" si="13"/>
        <v>5.0732641313629154E-3</v>
      </c>
      <c r="T35" s="36">
        <f t="shared" si="3"/>
        <v>0.30439584788177493</v>
      </c>
      <c r="U35" s="36">
        <f t="shared" si="4"/>
        <v>9.1318754364532477</v>
      </c>
      <c r="V35" s="36">
        <f t="shared" si="14"/>
        <v>3.9469668815944932</v>
      </c>
      <c r="W35" s="36">
        <f t="shared" si="15"/>
        <v>0.14914054281321654</v>
      </c>
      <c r="X35" s="36">
        <f t="shared" si="16"/>
        <v>29.39735423811857</v>
      </c>
    </row>
    <row r="36" spans="1:24" x14ac:dyDescent="0.2">
      <c r="A36" s="30"/>
      <c r="K36">
        <v>14</v>
      </c>
      <c r="L36" s="36">
        <f t="shared" si="0"/>
        <v>20</v>
      </c>
      <c r="M36" t="s">
        <v>619</v>
      </c>
      <c r="N36" s="36">
        <f t="shared" si="1"/>
        <v>2039</v>
      </c>
      <c r="O36">
        <f t="shared" si="11"/>
        <v>1.8898864880000006</v>
      </c>
      <c r="P36" s="124">
        <f t="shared" si="9"/>
        <v>5.0787358509073073</v>
      </c>
      <c r="Q36" s="174">
        <f t="shared" si="10"/>
        <v>10.109906818668859</v>
      </c>
      <c r="R36" s="36">
        <f t="shared" si="12"/>
        <v>39.234919077979399</v>
      </c>
      <c r="S36" s="36">
        <f t="shared" si="13"/>
        <v>5.0832214677929456E-3</v>
      </c>
      <c r="T36" s="36">
        <f t="shared" si="3"/>
        <v>0.30499328806757675</v>
      </c>
      <c r="U36" s="36">
        <f t="shared" si="4"/>
        <v>9.149798642027303</v>
      </c>
      <c r="V36" s="36">
        <f t="shared" si="14"/>
        <v>4.2519601696620697</v>
      </c>
      <c r="W36" s="36">
        <f t="shared" si="15"/>
        <v>0.1495798372082279</v>
      </c>
      <c r="X36" s="36">
        <f t="shared" si="16"/>
        <v>29.426189308484549</v>
      </c>
    </row>
    <row r="37" spans="1:24" x14ac:dyDescent="0.2">
      <c r="A37" s="30"/>
      <c r="E37">
        <f>(L26*60)/0.5</f>
        <v>2400</v>
      </c>
      <c r="F37">
        <f>E37*0.264172</f>
        <v>634.01280000000008</v>
      </c>
      <c r="K37">
        <v>14</v>
      </c>
      <c r="L37" s="36">
        <f t="shared" si="0"/>
        <v>20</v>
      </c>
      <c r="M37" t="s">
        <v>619</v>
      </c>
      <c r="N37" s="36">
        <f t="shared" si="1"/>
        <v>2039</v>
      </c>
      <c r="O37">
        <f t="shared" si="11"/>
        <v>2.062478861333334</v>
      </c>
      <c r="P37" s="124">
        <f t="shared" si="9"/>
        <v>5.0787358509073073</v>
      </c>
      <c r="Q37" s="174">
        <f t="shared" si="10"/>
        <v>10.109906818668859</v>
      </c>
      <c r="R37" s="36">
        <f t="shared" si="12"/>
        <v>39.234919077979399</v>
      </c>
      <c r="S37" s="36">
        <f t="shared" si="13"/>
        <v>5.0832214677929456E-3</v>
      </c>
      <c r="T37" s="36">
        <f t="shared" si="3"/>
        <v>0.30499328806757675</v>
      </c>
      <c r="U37" s="36">
        <f t="shared" si="4"/>
        <v>9.149798642027303</v>
      </c>
      <c r="V37" s="36">
        <f t="shared" si="14"/>
        <v>4.5569534577296462</v>
      </c>
      <c r="W37" s="36">
        <f t="shared" si="15"/>
        <v>0.1495798372082279</v>
      </c>
      <c r="X37" s="36">
        <f t="shared" si="16"/>
        <v>29.426189308484549</v>
      </c>
    </row>
    <row r="38" spans="1:24" x14ac:dyDescent="0.2">
      <c r="A38" s="30"/>
      <c r="E38">
        <f>(((L27/N27)*1000)*60)/0.5</f>
        <v>2350.6366307541625</v>
      </c>
      <c r="F38">
        <f>E38*0.264172</f>
        <v>620.97238001958863</v>
      </c>
      <c r="K38">
        <v>14</v>
      </c>
      <c r="L38" s="36">
        <f t="shared" si="0"/>
        <v>20</v>
      </c>
      <c r="M38" t="s">
        <v>569</v>
      </c>
      <c r="N38" s="36">
        <f t="shared" si="1"/>
        <v>2038</v>
      </c>
      <c r="O38">
        <f t="shared" si="11"/>
        <v>2.2350712346666675</v>
      </c>
      <c r="P38" s="124">
        <f t="shared" si="9"/>
        <v>5.0812278704612366</v>
      </c>
      <c r="Q38" s="174">
        <f t="shared" si="10"/>
        <v>10.114867518776157</v>
      </c>
      <c r="R38" s="36">
        <f t="shared" si="12"/>
        <v>39.254170755642789</v>
      </c>
      <c r="S38" s="36">
        <f t="shared" si="13"/>
        <v>5.0882111327370735E-3</v>
      </c>
      <c r="T38" s="36">
        <f t="shared" si="3"/>
        <v>0.30529266796422438</v>
      </c>
      <c r="U38" s="36">
        <f t="shared" si="4"/>
        <v>9.1587800389267322</v>
      </c>
      <c r="V38" s="36">
        <f t="shared" si="14"/>
        <v>4.8622461256938703</v>
      </c>
      <c r="W38" s="36">
        <f t="shared" si="15"/>
        <v>0.14980013148391777</v>
      </c>
      <c r="X38" s="36">
        <f t="shared" si="16"/>
        <v>29.440628066732092</v>
      </c>
    </row>
    <row r="39" spans="1:24" x14ac:dyDescent="0.2">
      <c r="A39" s="30"/>
      <c r="K39">
        <v>13</v>
      </c>
      <c r="L39" s="36">
        <f t="shared" si="0"/>
        <v>19</v>
      </c>
      <c r="M39" t="s">
        <v>569</v>
      </c>
      <c r="N39" s="36">
        <f t="shared" si="1"/>
        <v>2038</v>
      </c>
      <c r="O39">
        <f t="shared" si="11"/>
        <v>2.3990339893333341</v>
      </c>
      <c r="P39" s="124">
        <f t="shared" si="9"/>
        <v>4.8271664769381752</v>
      </c>
      <c r="Q39" s="174">
        <f t="shared" si="10"/>
        <v>9.6091241428373486</v>
      </c>
      <c r="R39" s="36">
        <f t="shared" si="12"/>
        <v>37.291462217860648</v>
      </c>
      <c r="S39" s="36">
        <f t="shared" si="13"/>
        <v>4.8338005761002197E-3</v>
      </c>
      <c r="T39" s="36">
        <f t="shared" si="3"/>
        <v>0.29002803456601317</v>
      </c>
      <c r="U39" s="36">
        <f t="shared" si="4"/>
        <v>8.7008410369803943</v>
      </c>
      <c r="V39" s="36">
        <f t="shared" si="14"/>
        <v>5.1522741602598838</v>
      </c>
      <c r="W39" s="36">
        <f t="shared" si="15"/>
        <v>0.14231012490972189</v>
      </c>
      <c r="X39" s="36">
        <f t="shared" si="16"/>
        <v>29.440628066732092</v>
      </c>
    </row>
    <row r="40" spans="1:24" x14ac:dyDescent="0.2">
      <c r="A40" s="30"/>
      <c r="B40">
        <v>10.104799999999999</v>
      </c>
      <c r="C40">
        <f>B40*60</f>
        <v>606.2879999999999</v>
      </c>
      <c r="K40">
        <v>14</v>
      </c>
      <c r="L40" s="36">
        <f t="shared" si="0"/>
        <v>20</v>
      </c>
      <c r="M40" t="s">
        <v>569</v>
      </c>
      <c r="N40" s="36">
        <f t="shared" si="1"/>
        <v>2038</v>
      </c>
      <c r="O40">
        <f t="shared" si="11"/>
        <v>2.5716263626666676</v>
      </c>
      <c r="P40" s="124">
        <f t="shared" si="9"/>
        <v>5.0812278704612366</v>
      </c>
      <c r="Q40" s="174">
        <f t="shared" si="10"/>
        <v>10.114867518776157</v>
      </c>
      <c r="R40" s="36">
        <f t="shared" si="12"/>
        <v>39.254170755642789</v>
      </c>
      <c r="S40" s="36">
        <f t="shared" si="13"/>
        <v>5.0882111327370735E-3</v>
      </c>
      <c r="T40" s="36">
        <f t="shared" si="3"/>
        <v>0.30529266796422438</v>
      </c>
      <c r="U40" s="36">
        <f t="shared" si="4"/>
        <v>9.1587800389267322</v>
      </c>
      <c r="V40" s="36">
        <f t="shared" si="14"/>
        <v>5.4575668282241079</v>
      </c>
      <c r="W40" s="36">
        <f t="shared" si="15"/>
        <v>0.14980013148391777</v>
      </c>
      <c r="X40" s="36">
        <f t="shared" si="16"/>
        <v>29.440628066732092</v>
      </c>
    </row>
    <row r="41" spans="1:24" x14ac:dyDescent="0.2">
      <c r="A41" s="30"/>
      <c r="K41">
        <v>14</v>
      </c>
      <c r="L41" s="36">
        <f t="shared" si="0"/>
        <v>20</v>
      </c>
      <c r="M41" t="s">
        <v>569</v>
      </c>
      <c r="N41" s="36">
        <f t="shared" si="1"/>
        <v>2038</v>
      </c>
      <c r="O41">
        <f t="shared" si="11"/>
        <v>2.744218736000001</v>
      </c>
      <c r="P41" s="124">
        <f t="shared" si="9"/>
        <v>5.0812278704612366</v>
      </c>
      <c r="Q41" s="174">
        <f t="shared" si="10"/>
        <v>10.114867518776157</v>
      </c>
      <c r="R41" s="36">
        <f t="shared" si="12"/>
        <v>39.254170755642789</v>
      </c>
      <c r="S41" s="36">
        <f t="shared" si="13"/>
        <v>5.0882111327370735E-3</v>
      </c>
      <c r="T41" s="36">
        <f t="shared" si="3"/>
        <v>0.30529266796422438</v>
      </c>
      <c r="U41" s="36">
        <f t="shared" si="4"/>
        <v>9.1587800389267322</v>
      </c>
      <c r="V41" s="36">
        <f t="shared" si="14"/>
        <v>5.7628594961883319</v>
      </c>
      <c r="W41" s="36">
        <f t="shared" si="15"/>
        <v>0.14980013148391777</v>
      </c>
      <c r="X41" s="36">
        <f t="shared" si="16"/>
        <v>29.440628066732092</v>
      </c>
    </row>
    <row r="42" spans="1:24" x14ac:dyDescent="0.2">
      <c r="A42" s="30"/>
      <c r="K42">
        <v>14</v>
      </c>
      <c r="L42" s="36">
        <f t="shared" si="0"/>
        <v>20</v>
      </c>
      <c r="M42" t="s">
        <v>569</v>
      </c>
      <c r="N42" s="36">
        <f t="shared" si="1"/>
        <v>2038</v>
      </c>
      <c r="O42">
        <f t="shared" si="11"/>
        <v>2.9168111093333344</v>
      </c>
      <c r="P42" s="124">
        <f t="shared" si="9"/>
        <v>5.0812278704612366</v>
      </c>
      <c r="Q42" s="174">
        <f t="shared" si="10"/>
        <v>10.114867518776157</v>
      </c>
      <c r="R42" s="36">
        <f t="shared" si="12"/>
        <v>39.254170755642789</v>
      </c>
      <c r="S42" s="36">
        <f t="shared" si="13"/>
        <v>5.0882111327370735E-3</v>
      </c>
      <c r="T42" s="36">
        <f t="shared" si="3"/>
        <v>0.30529266796422438</v>
      </c>
      <c r="U42" s="36">
        <f t="shared" si="4"/>
        <v>9.1587800389267322</v>
      </c>
      <c r="V42" s="36">
        <f t="shared" si="14"/>
        <v>6.068152164152556</v>
      </c>
      <c r="W42" s="36">
        <f t="shared" si="15"/>
        <v>0.14980013148391777</v>
      </c>
      <c r="X42" s="36">
        <f t="shared" si="16"/>
        <v>29.440628066732092</v>
      </c>
    </row>
    <row r="43" spans="1:24" x14ac:dyDescent="0.2">
      <c r="A43" s="173" t="s">
        <v>1002</v>
      </c>
      <c r="B43" s="174" t="s">
        <v>1003</v>
      </c>
      <c r="C43" s="174" t="s">
        <v>1004</v>
      </c>
      <c r="D43" s="174" t="s">
        <v>1005</v>
      </c>
      <c r="E43" s="174" t="s">
        <v>1009</v>
      </c>
      <c r="F43" s="174" t="s">
        <v>1006</v>
      </c>
      <c r="G43" s="174" t="s">
        <v>1007</v>
      </c>
      <c r="H43" s="174"/>
      <c r="I43" s="174"/>
      <c r="J43" s="174"/>
      <c r="K43">
        <v>14</v>
      </c>
      <c r="L43" s="36">
        <f t="shared" si="0"/>
        <v>20</v>
      </c>
      <c r="M43" t="s">
        <v>569</v>
      </c>
      <c r="N43" s="36">
        <f t="shared" si="1"/>
        <v>2038</v>
      </c>
      <c r="O43">
        <f t="shared" si="11"/>
        <v>3.0894034826666679</v>
      </c>
      <c r="P43" s="124">
        <f t="shared" si="9"/>
        <v>5.0812278704612366</v>
      </c>
      <c r="Q43" s="174">
        <f t="shared" si="10"/>
        <v>10.114867518776157</v>
      </c>
      <c r="R43" s="36">
        <f t="shared" si="12"/>
        <v>39.254170755642789</v>
      </c>
      <c r="S43" s="36">
        <f t="shared" si="13"/>
        <v>5.0882111327370735E-3</v>
      </c>
      <c r="T43" s="36">
        <f t="shared" si="3"/>
        <v>0.30529266796422438</v>
      </c>
      <c r="U43" s="36">
        <f t="shared" si="4"/>
        <v>9.1587800389267322</v>
      </c>
      <c r="V43" s="36">
        <f t="shared" si="14"/>
        <v>6.37344483211678</v>
      </c>
      <c r="W43" s="36">
        <f t="shared" si="15"/>
        <v>0.14980013148391777</v>
      </c>
      <c r="X43" s="36">
        <f t="shared" si="16"/>
        <v>29.440628066732092</v>
      </c>
    </row>
    <row r="44" spans="1:24" x14ac:dyDescent="0.2">
      <c r="A44" s="173">
        <f>L26/N26</f>
        <v>9.7991180793728563E-3</v>
      </c>
      <c r="B44" s="174">
        <f>A44*60</f>
        <v>0.58794708476237134</v>
      </c>
      <c r="C44" s="174">
        <f>(B44*60)</f>
        <v>35.276825085742281</v>
      </c>
      <c r="D44" s="174">
        <f>C44*0.5</f>
        <v>17.638412542871141</v>
      </c>
      <c r="E44" s="174">
        <f>D44*E47</f>
        <v>38.232659018400007</v>
      </c>
      <c r="F44" s="174">
        <f>E44*0.2641720524</f>
        <v>10.100000001600099</v>
      </c>
      <c r="G44" s="174">
        <f>F44*60</f>
        <v>606.00000009600592</v>
      </c>
      <c r="H44" s="174"/>
      <c r="I44" s="174"/>
      <c r="J44" s="174"/>
      <c r="K44">
        <v>13</v>
      </c>
      <c r="L44" s="36">
        <f t="shared" si="0"/>
        <v>19</v>
      </c>
      <c r="M44" t="s">
        <v>569</v>
      </c>
      <c r="N44" s="36">
        <f t="shared" si="1"/>
        <v>2038</v>
      </c>
      <c r="O44">
        <f t="shared" si="11"/>
        <v>3.2533662373333345</v>
      </c>
      <c r="P44" s="124">
        <f t="shared" si="9"/>
        <v>4.8271664769381752</v>
      </c>
      <c r="Q44" s="174">
        <f t="shared" si="10"/>
        <v>9.6091241428373486</v>
      </c>
      <c r="R44" s="36">
        <f t="shared" si="12"/>
        <v>37.291462217860648</v>
      </c>
      <c r="S44" s="36">
        <f t="shared" si="13"/>
        <v>4.8338005761002197E-3</v>
      </c>
      <c r="T44" s="36">
        <f t="shared" si="3"/>
        <v>0.29002803456601317</v>
      </c>
      <c r="U44" s="36">
        <f t="shared" si="4"/>
        <v>8.7008410369803943</v>
      </c>
      <c r="V44" s="36">
        <f t="shared" si="14"/>
        <v>6.6634728666827936</v>
      </c>
      <c r="W44" s="36">
        <f t="shared" si="15"/>
        <v>0.14231012490972189</v>
      </c>
      <c r="X44" s="36">
        <f t="shared" si="16"/>
        <v>29.440628066732092</v>
      </c>
    </row>
    <row r="45" spans="1:24" x14ac:dyDescent="0.2">
      <c r="A45" s="173"/>
      <c r="B45" s="174"/>
      <c r="C45" s="174"/>
      <c r="D45" s="174"/>
      <c r="E45" s="174"/>
      <c r="F45" s="174"/>
      <c r="G45" s="174"/>
      <c r="H45" s="174"/>
      <c r="I45" s="174"/>
      <c r="J45" s="174"/>
      <c r="K45">
        <v>14</v>
      </c>
      <c r="L45" s="36">
        <f t="shared" si="0"/>
        <v>20</v>
      </c>
      <c r="M45" t="s">
        <v>569</v>
      </c>
      <c r="N45" s="36">
        <f t="shared" si="1"/>
        <v>2038</v>
      </c>
      <c r="O45">
        <f t="shared" si="11"/>
        <v>3.425958610666668</v>
      </c>
      <c r="P45" s="124">
        <f t="shared" si="9"/>
        <v>5.0812278704612366</v>
      </c>
      <c r="Q45" s="174">
        <f t="shared" si="10"/>
        <v>10.114867518776157</v>
      </c>
      <c r="R45" s="36">
        <f t="shared" si="12"/>
        <v>39.254170755642789</v>
      </c>
      <c r="S45" s="36">
        <f t="shared" si="13"/>
        <v>5.0882111327370735E-3</v>
      </c>
      <c r="T45" s="36">
        <f t="shared" si="3"/>
        <v>0.30529266796422438</v>
      </c>
      <c r="U45" s="36">
        <f t="shared" si="4"/>
        <v>9.1587800389267322</v>
      </c>
      <c r="V45" s="36">
        <f t="shared" si="14"/>
        <v>6.9687655346470176</v>
      </c>
      <c r="W45" s="36">
        <f t="shared" si="15"/>
        <v>0.14980013148391777</v>
      </c>
      <c r="X45" s="36">
        <f t="shared" si="16"/>
        <v>29.440628066732092</v>
      </c>
    </row>
    <row r="46" spans="1:24" x14ac:dyDescent="0.2">
      <c r="A46" s="30"/>
      <c r="E46">
        <f>F46*3.785411784</f>
        <v>38.2326590184</v>
      </c>
      <c r="F46">
        <v>10.1</v>
      </c>
      <c r="G46">
        <f>F46*60</f>
        <v>606</v>
      </c>
      <c r="K46">
        <v>13</v>
      </c>
      <c r="L46" s="36">
        <f t="shared" si="0"/>
        <v>19</v>
      </c>
      <c r="M46" t="s">
        <v>569</v>
      </c>
      <c r="N46" s="36">
        <f t="shared" si="1"/>
        <v>2038</v>
      </c>
      <c r="O46">
        <f t="shared" si="11"/>
        <v>3.5899213653333346</v>
      </c>
      <c r="P46" s="124">
        <f t="shared" si="9"/>
        <v>4.8271664769381752</v>
      </c>
      <c r="Q46" s="174">
        <f t="shared" si="10"/>
        <v>9.6091241428373486</v>
      </c>
      <c r="R46" s="36">
        <f t="shared" si="12"/>
        <v>37.291462217860648</v>
      </c>
      <c r="S46" s="36">
        <f t="shared" si="13"/>
        <v>4.8338005761002197E-3</v>
      </c>
      <c r="T46" s="36">
        <f t="shared" si="3"/>
        <v>0.29002803456601317</v>
      </c>
      <c r="U46" s="36">
        <f t="shared" si="4"/>
        <v>8.7008410369803943</v>
      </c>
      <c r="V46" s="36">
        <f t="shared" si="14"/>
        <v>7.2587935692130312</v>
      </c>
      <c r="W46" s="36">
        <f t="shared" si="15"/>
        <v>0.14231012490972189</v>
      </c>
      <c r="X46" s="36">
        <f t="shared" si="16"/>
        <v>29.440628066732092</v>
      </c>
    </row>
    <row r="47" spans="1:24" x14ac:dyDescent="0.2">
      <c r="A47" s="30"/>
      <c r="D47" s="175" t="s">
        <v>1008</v>
      </c>
      <c r="E47" s="175">
        <f>E46/D44</f>
        <v>2.167579362682067</v>
      </c>
      <c r="K47">
        <v>14</v>
      </c>
      <c r="L47" s="36">
        <f t="shared" si="0"/>
        <v>20</v>
      </c>
      <c r="M47" t="s">
        <v>569</v>
      </c>
      <c r="N47" s="36">
        <f t="shared" si="1"/>
        <v>2038</v>
      </c>
      <c r="O47">
        <f t="shared" si="11"/>
        <v>3.7625137386666681</v>
      </c>
      <c r="P47" s="124">
        <f t="shared" si="9"/>
        <v>5.0812278704612366</v>
      </c>
      <c r="Q47" s="174">
        <f t="shared" si="10"/>
        <v>10.114867518776157</v>
      </c>
      <c r="R47" s="36">
        <f t="shared" si="12"/>
        <v>39.254170755642789</v>
      </c>
      <c r="S47" s="36">
        <f t="shared" si="13"/>
        <v>5.0882111327370735E-3</v>
      </c>
      <c r="T47" s="36">
        <f t="shared" si="3"/>
        <v>0.30529266796422438</v>
      </c>
      <c r="U47" s="36">
        <f t="shared" si="4"/>
        <v>9.1587800389267322</v>
      </c>
      <c r="V47" s="36">
        <f t="shared" si="14"/>
        <v>7.5640862371772553</v>
      </c>
      <c r="W47" s="36">
        <f t="shared" si="15"/>
        <v>0.14980013148391777</v>
      </c>
      <c r="X47" s="36">
        <f t="shared" si="16"/>
        <v>29.440628066732092</v>
      </c>
    </row>
    <row r="48" spans="1:24" x14ac:dyDescent="0.2">
      <c r="A48" s="30"/>
      <c r="E48" s="175">
        <f>1/E47</f>
        <v>0.46134412294950261</v>
      </c>
      <c r="K48">
        <v>14</v>
      </c>
      <c r="L48" s="36">
        <f t="shared" si="0"/>
        <v>20</v>
      </c>
      <c r="M48" t="s">
        <v>639</v>
      </c>
      <c r="N48" s="36">
        <f t="shared" si="1"/>
        <v>2040</v>
      </c>
      <c r="O48">
        <f t="shared" si="11"/>
        <v>3.9351061120000015</v>
      </c>
      <c r="P48" s="124">
        <f t="shared" si="9"/>
        <v>5.0762462745098054</v>
      </c>
      <c r="Q48" s="174">
        <f t="shared" si="10"/>
        <v>10.104950981993042</v>
      </c>
      <c r="R48" s="36">
        <f t="shared" si="12"/>
        <v>39.215686274509807</v>
      </c>
      <c r="S48" s="36">
        <f t="shared" si="13"/>
        <v>5.0782391387927716E-3</v>
      </c>
      <c r="T48" s="36">
        <f t="shared" si="3"/>
        <v>0.30469434832756631</v>
      </c>
      <c r="U48" s="36">
        <f t="shared" si="4"/>
        <v>9.1408304498269892</v>
      </c>
      <c r="V48" s="36">
        <f t="shared" si="14"/>
        <v>7.8687805855048216</v>
      </c>
      <c r="W48" s="36">
        <f t="shared" si="15"/>
        <v>0.14935997467037562</v>
      </c>
      <c r="X48" s="36">
        <f t="shared" si="16"/>
        <v>29.411764705882351</v>
      </c>
    </row>
    <row r="49" spans="1:24" x14ac:dyDescent="0.2">
      <c r="A49" s="30"/>
      <c r="K49">
        <v>14</v>
      </c>
      <c r="L49" s="36">
        <f t="shared" si="0"/>
        <v>20</v>
      </c>
      <c r="M49" t="s">
        <v>619</v>
      </c>
      <c r="N49" s="36">
        <f t="shared" si="1"/>
        <v>2039</v>
      </c>
      <c r="O49">
        <f t="shared" si="11"/>
        <v>4.1076984853333345</v>
      </c>
      <c r="P49" s="124">
        <f t="shared" si="9"/>
        <v>5.0787358509073073</v>
      </c>
      <c r="Q49" s="174">
        <f t="shared" si="10"/>
        <v>10.109906818668859</v>
      </c>
      <c r="R49" s="36">
        <f t="shared" si="12"/>
        <v>39.234919077979399</v>
      </c>
      <c r="S49" s="36">
        <f t="shared" si="13"/>
        <v>5.0832214677929456E-3</v>
      </c>
      <c r="T49" s="36">
        <f t="shared" si="3"/>
        <v>0.30499328806757675</v>
      </c>
      <c r="U49" s="36">
        <f t="shared" si="4"/>
        <v>9.149798642027303</v>
      </c>
      <c r="V49" s="36">
        <f t="shared" si="14"/>
        <v>8.173773873572399</v>
      </c>
      <c r="W49" s="36">
        <f t="shared" si="15"/>
        <v>0.1495798372082279</v>
      </c>
      <c r="X49" s="36">
        <f t="shared" si="16"/>
        <v>29.426189308484549</v>
      </c>
    </row>
    <row r="50" spans="1:24" x14ac:dyDescent="0.2">
      <c r="A50" t="s">
        <v>1010</v>
      </c>
      <c r="B50" t="s">
        <v>1011</v>
      </c>
      <c r="E50">
        <f>(E48/60)/1000</f>
        <v>7.689068715825043E-6</v>
      </c>
      <c r="K50">
        <v>14</v>
      </c>
      <c r="L50" s="36">
        <f t="shared" si="0"/>
        <v>20</v>
      </c>
      <c r="M50" t="s">
        <v>569</v>
      </c>
      <c r="N50" s="36">
        <f t="shared" si="1"/>
        <v>2038</v>
      </c>
      <c r="O50">
        <f t="shared" si="11"/>
        <v>4.2802908586666675</v>
      </c>
      <c r="P50" s="124">
        <f t="shared" si="9"/>
        <v>5.0812278704612366</v>
      </c>
      <c r="Q50" s="174">
        <f t="shared" si="10"/>
        <v>10.114867518776157</v>
      </c>
      <c r="R50" s="36">
        <f t="shared" si="12"/>
        <v>39.254170755642789</v>
      </c>
      <c r="S50" s="36">
        <f t="shared" si="13"/>
        <v>5.0882111327370735E-3</v>
      </c>
      <c r="T50" s="36">
        <f t="shared" si="3"/>
        <v>0.30529266796422438</v>
      </c>
      <c r="U50" s="36">
        <f t="shared" si="4"/>
        <v>9.1587800389267322</v>
      </c>
      <c r="V50" s="36">
        <f t="shared" si="14"/>
        <v>8.4790665415366231</v>
      </c>
      <c r="W50" s="36">
        <f t="shared" si="15"/>
        <v>0.14980013148391777</v>
      </c>
      <c r="X50" s="36">
        <f t="shared" si="16"/>
        <v>29.440628066732092</v>
      </c>
    </row>
    <row r="51" spans="1:24" x14ac:dyDescent="0.2">
      <c r="A51">
        <f>(E44/60)</f>
        <v>0.63721098364000006</v>
      </c>
      <c r="B51">
        <f>A51*0.2641720524</f>
        <v>0.16833333336000164</v>
      </c>
      <c r="C51">
        <f>B51*(N26/1000)</f>
        <v>0.34356833338776332</v>
      </c>
      <c r="D51">
        <f>B51*60</f>
        <v>10.100000001600099</v>
      </c>
      <c r="K51">
        <v>13</v>
      </c>
      <c r="L51" s="36">
        <f t="shared" si="0"/>
        <v>19</v>
      </c>
      <c r="M51" t="s">
        <v>569</v>
      </c>
      <c r="N51" s="36">
        <f t="shared" si="1"/>
        <v>2038</v>
      </c>
      <c r="O51">
        <f t="shared" si="11"/>
        <v>4.4442536133333341</v>
      </c>
      <c r="P51" s="124">
        <f t="shared" si="9"/>
        <v>4.8271664769381752</v>
      </c>
      <c r="Q51" s="174">
        <f t="shared" si="10"/>
        <v>9.6091241428373486</v>
      </c>
      <c r="R51" s="36">
        <f t="shared" si="12"/>
        <v>37.291462217860648</v>
      </c>
      <c r="S51" s="36">
        <f t="shared" si="13"/>
        <v>4.8338005761002197E-3</v>
      </c>
      <c r="T51" s="36">
        <f t="shared" si="3"/>
        <v>0.29002803456601317</v>
      </c>
      <c r="U51" s="36">
        <f t="shared" si="4"/>
        <v>8.7008410369803943</v>
      </c>
      <c r="V51" s="36">
        <f t="shared" si="14"/>
        <v>8.7690945761026367</v>
      </c>
      <c r="W51" s="36">
        <f t="shared" si="15"/>
        <v>0.14231012490972189</v>
      </c>
      <c r="X51" s="36">
        <f t="shared" si="16"/>
        <v>29.440628066732092</v>
      </c>
    </row>
    <row r="52" spans="1:24" x14ac:dyDescent="0.2">
      <c r="A52" s="30"/>
      <c r="K52">
        <v>14</v>
      </c>
      <c r="L52" s="36">
        <f t="shared" si="0"/>
        <v>20</v>
      </c>
      <c r="M52" t="s">
        <v>619</v>
      </c>
      <c r="N52" s="36">
        <f t="shared" si="1"/>
        <v>2039</v>
      </c>
      <c r="O52">
        <f t="shared" si="11"/>
        <v>4.6168459866666671</v>
      </c>
      <c r="P52" s="124">
        <f t="shared" si="9"/>
        <v>5.0787358509073073</v>
      </c>
      <c r="Q52" s="174">
        <f t="shared" si="10"/>
        <v>10.109906818668859</v>
      </c>
      <c r="R52" s="36">
        <f t="shared" si="12"/>
        <v>39.234919077979399</v>
      </c>
      <c r="S52" s="36">
        <f t="shared" si="13"/>
        <v>5.0832214677929456E-3</v>
      </c>
      <c r="T52" s="36">
        <f t="shared" si="3"/>
        <v>0.30499328806757675</v>
      </c>
      <c r="U52" s="36">
        <f t="shared" si="4"/>
        <v>9.149798642027303</v>
      </c>
      <c r="V52" s="36">
        <f t="shared" si="14"/>
        <v>9.0740878641702132</v>
      </c>
      <c r="W52" s="36">
        <f t="shared" si="15"/>
        <v>0.1495798372082279</v>
      </c>
      <c r="X52" s="36">
        <f t="shared" si="16"/>
        <v>29.426189308484549</v>
      </c>
    </row>
    <row r="53" spans="1:24" x14ac:dyDescent="0.2">
      <c r="A53" s="176" t="s">
        <v>1012</v>
      </c>
      <c r="B53" s="57"/>
      <c r="C53" s="57"/>
      <c r="D53" s="57"/>
      <c r="E53" s="57"/>
      <c r="F53" s="57"/>
      <c r="G53" s="57"/>
      <c r="H53" s="57"/>
      <c r="I53" s="57"/>
      <c r="J53" s="124">
        <f>N26/1000</f>
        <v>2.0409999999999999</v>
      </c>
      <c r="K53">
        <v>14</v>
      </c>
      <c r="L53" s="36">
        <f t="shared" si="0"/>
        <v>20</v>
      </c>
      <c r="M53" t="s">
        <v>569</v>
      </c>
      <c r="N53" s="36">
        <f t="shared" si="1"/>
        <v>2038</v>
      </c>
      <c r="O53">
        <f t="shared" si="11"/>
        <v>4.7894383600000001</v>
      </c>
      <c r="P53" s="124">
        <f t="shared" si="9"/>
        <v>5.0812278704612366</v>
      </c>
      <c r="Q53" s="174">
        <f t="shared" si="10"/>
        <v>10.114867518776157</v>
      </c>
      <c r="R53" s="36">
        <f t="shared" si="12"/>
        <v>39.254170755642789</v>
      </c>
      <c r="S53" s="36">
        <f t="shared" si="13"/>
        <v>5.0882111327370735E-3</v>
      </c>
      <c r="T53" s="36">
        <f t="shared" si="3"/>
        <v>0.30529266796422438</v>
      </c>
      <c r="U53" s="36">
        <f t="shared" si="4"/>
        <v>9.1587800389267322</v>
      </c>
      <c r="V53" s="36">
        <f t="shared" si="14"/>
        <v>9.3793805321344372</v>
      </c>
      <c r="W53" s="36">
        <f t="shared" si="15"/>
        <v>0.14980013148391777</v>
      </c>
      <c r="X53" s="36">
        <f t="shared" si="16"/>
        <v>29.440628066732092</v>
      </c>
    </row>
    <row r="54" spans="1:24" x14ac:dyDescent="0.2">
      <c r="A54" s="176" t="s">
        <v>1013</v>
      </c>
      <c r="B54" s="57"/>
      <c r="C54" s="57"/>
      <c r="D54" s="57"/>
      <c r="E54" s="57"/>
      <c r="F54" s="57"/>
      <c r="G54" s="57"/>
      <c r="H54" s="57"/>
      <c r="I54" s="57"/>
      <c r="J54" s="124">
        <f>L26/J53</f>
        <v>9.7991180793728567</v>
      </c>
      <c r="K54">
        <v>14</v>
      </c>
      <c r="L54" s="36">
        <f t="shared" si="0"/>
        <v>20</v>
      </c>
      <c r="M54" t="s">
        <v>569</v>
      </c>
      <c r="N54" s="36">
        <f t="shared" si="1"/>
        <v>2038</v>
      </c>
      <c r="O54">
        <f t="shared" si="11"/>
        <v>4.9620307333333331</v>
      </c>
      <c r="P54" s="124">
        <f t="shared" si="9"/>
        <v>5.0812278704612366</v>
      </c>
      <c r="Q54" s="174">
        <f t="shared" si="10"/>
        <v>10.114867518776157</v>
      </c>
      <c r="R54" s="36">
        <f t="shared" si="12"/>
        <v>39.254170755642789</v>
      </c>
      <c r="S54" s="36">
        <f t="shared" si="13"/>
        <v>5.0882111327370735E-3</v>
      </c>
      <c r="T54" s="36">
        <f t="shared" si="3"/>
        <v>0.30529266796422438</v>
      </c>
      <c r="U54" s="36">
        <f t="shared" si="4"/>
        <v>9.1587800389267322</v>
      </c>
      <c r="V54" s="36">
        <f t="shared" si="14"/>
        <v>9.6846732000986613</v>
      </c>
      <c r="W54" s="36">
        <f t="shared" si="15"/>
        <v>0.14980013148391777</v>
      </c>
      <c r="X54" s="36">
        <f t="shared" si="16"/>
        <v>29.440628066732092</v>
      </c>
    </row>
    <row r="55" spans="1:24" x14ac:dyDescent="0.2">
      <c r="A55" s="176" t="s">
        <v>1014</v>
      </c>
      <c r="B55" s="57"/>
      <c r="C55" s="57"/>
      <c r="D55" s="57"/>
      <c r="E55" s="57"/>
      <c r="F55" s="57"/>
      <c r="G55" s="57"/>
      <c r="H55" s="57"/>
      <c r="I55" s="57"/>
      <c r="J55" s="124">
        <f>2*J54</f>
        <v>19.598236158745713</v>
      </c>
      <c r="K55">
        <v>14</v>
      </c>
      <c r="L55" s="36">
        <f t="shared" si="0"/>
        <v>20</v>
      </c>
      <c r="M55" t="s">
        <v>569</v>
      </c>
      <c r="N55" s="36">
        <f t="shared" si="1"/>
        <v>2038</v>
      </c>
      <c r="O55">
        <f t="shared" si="11"/>
        <v>5.1346231066666661</v>
      </c>
      <c r="P55" s="124">
        <f t="shared" si="9"/>
        <v>5.0812278704612366</v>
      </c>
      <c r="Q55" s="174">
        <f t="shared" si="10"/>
        <v>10.114867518776157</v>
      </c>
      <c r="R55" s="36">
        <f t="shared" si="12"/>
        <v>39.254170755642789</v>
      </c>
      <c r="S55" s="36">
        <f t="shared" si="13"/>
        <v>5.0882111327370735E-3</v>
      </c>
      <c r="T55" s="36">
        <f t="shared" si="3"/>
        <v>0.30529266796422438</v>
      </c>
      <c r="U55" s="36">
        <f t="shared" si="4"/>
        <v>9.1587800389267322</v>
      </c>
      <c r="V55" s="36">
        <f t="shared" si="14"/>
        <v>9.9899658680628853</v>
      </c>
      <c r="W55" s="36">
        <f t="shared" si="15"/>
        <v>0.14980013148391777</v>
      </c>
      <c r="X55" s="36">
        <f t="shared" si="16"/>
        <v>29.440628066732092</v>
      </c>
    </row>
    <row r="56" spans="1:24" x14ac:dyDescent="0.2">
      <c r="A56" s="176" t="s">
        <v>1015</v>
      </c>
      <c r="B56" s="57"/>
      <c r="C56" s="57"/>
      <c r="D56" s="57"/>
      <c r="E56" s="57"/>
      <c r="F56" s="57"/>
      <c r="G56" s="57"/>
      <c r="H56" s="57">
        <v>0.98</v>
      </c>
      <c r="I56" s="57"/>
      <c r="J56" s="124">
        <f>J55*$H$56</f>
        <v>19.206271435570798</v>
      </c>
      <c r="K56">
        <v>13</v>
      </c>
      <c r="L56" s="36">
        <f t="shared" si="0"/>
        <v>19</v>
      </c>
      <c r="M56" t="s">
        <v>569</v>
      </c>
      <c r="N56" s="36">
        <f t="shared" si="1"/>
        <v>2038</v>
      </c>
      <c r="O56">
        <f t="shared" si="11"/>
        <v>5.2985858613333328</v>
      </c>
      <c r="P56" s="124">
        <f t="shared" si="9"/>
        <v>4.8271664769381752</v>
      </c>
      <c r="Q56" s="174">
        <f t="shared" si="10"/>
        <v>9.6091241428373486</v>
      </c>
      <c r="R56" s="36">
        <f t="shared" si="12"/>
        <v>37.291462217860648</v>
      </c>
      <c r="S56" s="36">
        <f t="shared" si="13"/>
        <v>4.8338005761002197E-3</v>
      </c>
      <c r="T56" s="36">
        <f t="shared" si="3"/>
        <v>0.29002803456601317</v>
      </c>
      <c r="U56" s="36">
        <f t="shared" si="4"/>
        <v>8.7008410369803943</v>
      </c>
      <c r="V56" s="36">
        <f t="shared" si="14"/>
        <v>10.279993902628899</v>
      </c>
      <c r="W56" s="36">
        <f t="shared" si="15"/>
        <v>0.14231012490972189</v>
      </c>
      <c r="X56" s="36">
        <f t="shared" si="16"/>
        <v>29.440628066732092</v>
      </c>
    </row>
    <row r="57" spans="1:24" x14ac:dyDescent="0.2">
      <c r="A57" s="176" t="s">
        <v>1016</v>
      </c>
      <c r="B57" s="57"/>
      <c r="C57" s="57"/>
      <c r="D57" s="57"/>
      <c r="E57" s="57"/>
      <c r="F57" s="57" t="s">
        <v>1020</v>
      </c>
      <c r="G57" s="57"/>
      <c r="H57" s="57">
        <v>0.26417200000000002</v>
      </c>
      <c r="I57" s="57"/>
      <c r="J57" s="124">
        <f>J56*$H$57</f>
        <v>5.0737591376776097</v>
      </c>
      <c r="K57">
        <v>14</v>
      </c>
      <c r="L57" s="36">
        <f t="shared" si="0"/>
        <v>20</v>
      </c>
      <c r="M57" t="s">
        <v>569</v>
      </c>
      <c r="N57" s="36">
        <f t="shared" si="1"/>
        <v>2038</v>
      </c>
      <c r="O57">
        <f t="shared" si="11"/>
        <v>5.4711782346666658</v>
      </c>
      <c r="P57" s="124">
        <f t="shared" si="9"/>
        <v>5.0812278704612366</v>
      </c>
      <c r="Q57" s="174">
        <f t="shared" si="10"/>
        <v>10.114867518776157</v>
      </c>
      <c r="R57" s="36">
        <f t="shared" si="12"/>
        <v>39.254170755642789</v>
      </c>
      <c r="S57" s="36">
        <f t="shared" si="13"/>
        <v>5.0882111327370735E-3</v>
      </c>
      <c r="T57" s="36">
        <f t="shared" si="3"/>
        <v>0.30529266796422438</v>
      </c>
      <c r="U57" s="36">
        <f t="shared" si="4"/>
        <v>9.1587800389267322</v>
      </c>
      <c r="V57" s="36">
        <f t="shared" si="14"/>
        <v>10.585286570593123</v>
      </c>
      <c r="W57" s="36">
        <f t="shared" si="15"/>
        <v>0.14980013148391777</v>
      </c>
      <c r="X57" s="36">
        <f t="shared" si="16"/>
        <v>29.440628066732092</v>
      </c>
    </row>
    <row r="58" spans="1:24" x14ac:dyDescent="0.2">
      <c r="A58" s="176"/>
      <c r="B58" s="57"/>
      <c r="C58" s="57"/>
      <c r="D58" s="57"/>
      <c r="E58" s="57"/>
      <c r="F58" s="57"/>
      <c r="G58" s="57"/>
      <c r="H58" s="57"/>
      <c r="I58" s="57"/>
      <c r="J58" s="124"/>
      <c r="K58">
        <v>14</v>
      </c>
      <c r="L58" s="36">
        <f t="shared" si="0"/>
        <v>20</v>
      </c>
      <c r="M58" t="s">
        <v>569</v>
      </c>
      <c r="N58" s="36">
        <f t="shared" si="1"/>
        <v>2038</v>
      </c>
      <c r="O58">
        <f t="shared" si="11"/>
        <v>5.6437706079999987</v>
      </c>
      <c r="P58" s="124">
        <f t="shared" si="9"/>
        <v>5.0812278704612366</v>
      </c>
      <c r="Q58" s="174">
        <f t="shared" si="10"/>
        <v>10.114867518776157</v>
      </c>
      <c r="R58" s="36">
        <f t="shared" si="12"/>
        <v>39.254170755642789</v>
      </c>
      <c r="S58" s="36">
        <f t="shared" si="13"/>
        <v>5.0882111327370735E-3</v>
      </c>
      <c r="T58" s="36">
        <f t="shared" si="3"/>
        <v>0.30529266796422438</v>
      </c>
      <c r="U58" s="36">
        <f t="shared" si="4"/>
        <v>9.1587800389267322</v>
      </c>
      <c r="V58" s="36">
        <f t="shared" si="14"/>
        <v>10.890579238557347</v>
      </c>
      <c r="W58" s="36">
        <f t="shared" si="15"/>
        <v>0.14980013148391777</v>
      </c>
      <c r="X58" s="36">
        <f t="shared" si="16"/>
        <v>29.440628066732092</v>
      </c>
    </row>
    <row r="59" spans="1:24" x14ac:dyDescent="0.2">
      <c r="A59" s="176" t="s">
        <v>1017</v>
      </c>
      <c r="B59" s="57"/>
      <c r="C59" s="57"/>
      <c r="D59" s="57"/>
      <c r="E59" s="57"/>
      <c r="F59" s="57"/>
      <c r="G59" s="57"/>
      <c r="H59" s="57"/>
      <c r="I59" s="57"/>
      <c r="J59" s="124"/>
      <c r="K59">
        <v>14</v>
      </c>
      <c r="L59" s="36">
        <f t="shared" si="0"/>
        <v>20</v>
      </c>
      <c r="M59" t="s">
        <v>619</v>
      </c>
      <c r="N59" s="36">
        <f t="shared" si="1"/>
        <v>2039</v>
      </c>
      <c r="O59">
        <f t="shared" si="11"/>
        <v>5.8163629813333317</v>
      </c>
      <c r="P59" s="124">
        <f t="shared" si="9"/>
        <v>5.0787358509073073</v>
      </c>
      <c r="Q59" s="174">
        <f t="shared" si="10"/>
        <v>10.109906818668859</v>
      </c>
      <c r="R59" s="36">
        <f t="shared" si="12"/>
        <v>39.234919077979399</v>
      </c>
      <c r="S59" s="36">
        <f t="shared" si="13"/>
        <v>5.0832214677929456E-3</v>
      </c>
      <c r="T59" s="36">
        <f t="shared" si="3"/>
        <v>0.30499328806757675</v>
      </c>
      <c r="U59" s="36">
        <f t="shared" si="4"/>
        <v>9.149798642027303</v>
      </c>
      <c r="V59" s="36">
        <f t="shared" si="14"/>
        <v>11.195572526624924</v>
      </c>
      <c r="W59" s="36">
        <f t="shared" si="15"/>
        <v>0.1495798372082279</v>
      </c>
      <c r="X59" s="36">
        <f t="shared" si="16"/>
        <v>29.426189308484549</v>
      </c>
    </row>
    <row r="60" spans="1:24" x14ac:dyDescent="0.2">
      <c r="A60" s="176" t="s">
        <v>1018</v>
      </c>
      <c r="B60" s="57"/>
      <c r="C60" s="57"/>
      <c r="D60" s="57"/>
      <c r="E60" s="57"/>
      <c r="F60" s="57"/>
      <c r="G60" s="57"/>
      <c r="H60" s="57"/>
      <c r="I60" s="57"/>
      <c r="J60" s="124">
        <f>J57*(J53/60)</f>
        <v>0.17259237333333335</v>
      </c>
      <c r="K60">
        <v>14</v>
      </c>
      <c r="L60" s="36">
        <f t="shared" si="0"/>
        <v>20</v>
      </c>
      <c r="M60" t="s">
        <v>619</v>
      </c>
      <c r="N60" s="36">
        <f t="shared" si="1"/>
        <v>2039</v>
      </c>
      <c r="O60">
        <f t="shared" si="11"/>
        <v>5.9889553546666647</v>
      </c>
      <c r="P60" s="124">
        <f t="shared" si="9"/>
        <v>5.0787358509073073</v>
      </c>
      <c r="Q60" s="174">
        <f t="shared" si="10"/>
        <v>10.109906818668859</v>
      </c>
      <c r="R60" s="36">
        <f t="shared" si="12"/>
        <v>39.234919077979399</v>
      </c>
      <c r="S60" s="36">
        <f t="shared" si="13"/>
        <v>5.0832214677929456E-3</v>
      </c>
      <c r="T60" s="36">
        <f t="shared" si="3"/>
        <v>0.30499328806757675</v>
      </c>
      <c r="U60" s="36">
        <f t="shared" si="4"/>
        <v>9.149798642027303</v>
      </c>
      <c r="V60" s="36">
        <f t="shared" si="14"/>
        <v>11.5005658146925</v>
      </c>
      <c r="W60" s="36">
        <f t="shared" si="15"/>
        <v>0.1495798372082279</v>
      </c>
      <c r="X60" s="36">
        <f t="shared" si="16"/>
        <v>29.426189308484549</v>
      </c>
    </row>
    <row r="61" spans="1:24" x14ac:dyDescent="0.2">
      <c r="A61" s="176" t="s">
        <v>1019</v>
      </c>
      <c r="B61" s="57"/>
      <c r="C61" s="57"/>
      <c r="D61" s="57"/>
      <c r="E61" s="57"/>
      <c r="F61" s="57"/>
      <c r="G61" s="57"/>
      <c r="H61" s="57"/>
      <c r="I61" s="57"/>
      <c r="J61" s="124"/>
      <c r="K61">
        <v>14</v>
      </c>
      <c r="L61" s="36">
        <f t="shared" si="0"/>
        <v>20</v>
      </c>
      <c r="M61" t="s">
        <v>614</v>
      </c>
      <c r="N61" s="36">
        <f t="shared" si="1"/>
        <v>2041</v>
      </c>
      <c r="O61">
        <f t="shared" si="11"/>
        <v>6.1615477279999977</v>
      </c>
      <c r="P61" s="124">
        <f t="shared" si="9"/>
        <v>5.0737591376776097</v>
      </c>
      <c r="Q61" s="174">
        <f t="shared" si="10"/>
        <v>10.100000001600097</v>
      </c>
      <c r="R61" s="36">
        <f t="shared" si="12"/>
        <v>39.196472317491427</v>
      </c>
      <c r="S61" s="36">
        <f t="shared" si="13"/>
        <v>5.0732641313629154E-3</v>
      </c>
      <c r="T61" s="36">
        <f t="shared" si="3"/>
        <v>0.30439584788177493</v>
      </c>
      <c r="U61" s="36">
        <f t="shared" si="4"/>
        <v>9.1318754364532477</v>
      </c>
      <c r="V61" s="36">
        <f t="shared" si="14"/>
        <v>11.804961662574275</v>
      </c>
      <c r="W61" s="36">
        <f t="shared" si="15"/>
        <v>0.14914054281321654</v>
      </c>
      <c r="X61" s="36">
        <f t="shared" si="16"/>
        <v>29.39735423811857</v>
      </c>
    </row>
    <row r="62" spans="1:24" x14ac:dyDescent="0.2">
      <c r="A62" s="30"/>
      <c r="K62">
        <v>14</v>
      </c>
      <c r="L62" s="36">
        <f t="shared" si="0"/>
        <v>20</v>
      </c>
      <c r="M62" t="s">
        <v>619</v>
      </c>
      <c r="N62" s="36">
        <f t="shared" si="1"/>
        <v>2039</v>
      </c>
      <c r="O62">
        <f t="shared" si="11"/>
        <v>6.3341401013333307</v>
      </c>
      <c r="P62" s="124">
        <f t="shared" si="9"/>
        <v>5.0787358509073073</v>
      </c>
      <c r="Q62" s="174">
        <f t="shared" si="10"/>
        <v>10.109906818668859</v>
      </c>
      <c r="R62" s="36">
        <f t="shared" si="12"/>
        <v>39.234919077979399</v>
      </c>
      <c r="S62" s="36">
        <f t="shared" si="13"/>
        <v>5.0832214677929456E-3</v>
      </c>
      <c r="T62" s="36">
        <f t="shared" si="3"/>
        <v>0.30499328806757675</v>
      </c>
      <c r="U62" s="36">
        <f t="shared" si="4"/>
        <v>9.149798642027303</v>
      </c>
      <c r="V62" s="36">
        <f t="shared" si="14"/>
        <v>12.109954950641852</v>
      </c>
      <c r="W62" s="36">
        <f t="shared" si="15"/>
        <v>0.1495798372082279</v>
      </c>
      <c r="X62" s="36">
        <f t="shared" si="16"/>
        <v>29.426189308484549</v>
      </c>
    </row>
    <row r="63" spans="1:24" x14ac:dyDescent="0.2">
      <c r="A63" s="30"/>
    </row>
    <row r="64" spans="1:24" x14ac:dyDescent="0.2">
      <c r="A64" s="30"/>
    </row>
    <row r="65" spans="1:28" x14ac:dyDescent="0.2">
      <c r="A65" s="30"/>
    </row>
    <row r="66" spans="1:28" x14ac:dyDescent="0.2">
      <c r="A66" s="30"/>
    </row>
    <row r="67" spans="1:28" x14ac:dyDescent="0.2">
      <c r="A67" s="30"/>
    </row>
    <row r="68" spans="1:28" x14ac:dyDescent="0.2">
      <c r="A68" s="30"/>
    </row>
    <row r="69" spans="1:28" x14ac:dyDescent="0.2">
      <c r="A69" s="30"/>
    </row>
    <row r="70" spans="1:28" x14ac:dyDescent="0.2">
      <c r="A70" s="30"/>
    </row>
    <row r="71" spans="1:28" x14ac:dyDescent="0.2">
      <c r="A71" s="30"/>
    </row>
    <row r="72" spans="1:28" x14ac:dyDescent="0.2">
      <c r="A72" s="30"/>
    </row>
    <row r="73" spans="1:28" x14ac:dyDescent="0.2">
      <c r="A73" s="30"/>
    </row>
    <row r="74" spans="1:28" x14ac:dyDescent="0.2">
      <c r="A74" s="30"/>
    </row>
    <row r="75" spans="1:28" x14ac:dyDescent="0.2">
      <c r="A75" s="30"/>
    </row>
    <row r="76" spans="1:28" x14ac:dyDescent="0.2">
      <c r="A76" s="30"/>
    </row>
    <row r="77" spans="1:28" x14ac:dyDescent="0.2">
      <c r="A77" s="30"/>
    </row>
    <row r="78" spans="1:28" x14ac:dyDescent="0.2">
      <c r="A78" s="30"/>
    </row>
    <row r="80" spans="1:28" x14ac:dyDescent="0.2">
      <c r="A80" s="33">
        <v>13</v>
      </c>
      <c r="B80" t="s">
        <v>488</v>
      </c>
      <c r="C80">
        <v>1</v>
      </c>
      <c r="D80" t="s">
        <v>489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490</v>
      </c>
      <c r="N80">
        <v>0</v>
      </c>
      <c r="O80">
        <v>0</v>
      </c>
      <c r="Q80">
        <v>0</v>
      </c>
      <c r="R80">
        <v>0</v>
      </c>
      <c r="S80" t="s">
        <v>491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492</v>
      </c>
    </row>
    <row r="81" spans="1:33" hidden="1" x14ac:dyDescent="0.2">
      <c r="A81" t="s">
        <v>493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0</v>
      </c>
      <c r="R81">
        <v>0</v>
      </c>
      <c r="S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458</v>
      </c>
    </row>
    <row r="82" spans="1:33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Q82">
        <v>0</v>
      </c>
      <c r="R82">
        <v>0</v>
      </c>
      <c r="S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">
        <v>494</v>
      </c>
      <c r="AD82" t="s">
        <v>495</v>
      </c>
      <c r="AE82">
        <v>3</v>
      </c>
      <c r="AF82" s="34">
        <v>0.55931712962962965</v>
      </c>
      <c r="AG82">
        <v>2023</v>
      </c>
    </row>
    <row r="83" spans="1:33" hidden="1" x14ac:dyDescent="0.2">
      <c r="A83" t="s">
        <v>493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Q83">
        <v>0</v>
      </c>
      <c r="R83">
        <v>0</v>
      </c>
      <c r="S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458</v>
      </c>
    </row>
    <row r="84" spans="1:33" hidden="1" x14ac:dyDescent="0.2">
      <c r="A84">
        <v>13</v>
      </c>
      <c r="B84" t="s">
        <v>488</v>
      </c>
      <c r="C84">
        <v>0</v>
      </c>
      <c r="D84" t="s">
        <v>489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496</v>
      </c>
      <c r="N84">
        <v>0</v>
      </c>
      <c r="O84">
        <v>0</v>
      </c>
      <c r="Q84">
        <v>0</v>
      </c>
      <c r="R84">
        <v>0</v>
      </c>
      <c r="S84" t="s">
        <v>491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492</v>
      </c>
    </row>
    <row r="85" spans="1:33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Q85">
        <v>0</v>
      </c>
      <c r="R85">
        <v>0</v>
      </c>
      <c r="S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">
        <v>494</v>
      </c>
      <c r="AD85" t="s">
        <v>495</v>
      </c>
      <c r="AE85">
        <v>3</v>
      </c>
      <c r="AF85" s="31">
        <v>0.55932870370370369</v>
      </c>
      <c r="AG85">
        <v>2023</v>
      </c>
    </row>
    <row r="86" spans="1:33" hidden="1" x14ac:dyDescent="0.2">
      <c r="A86" t="s">
        <v>493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0</v>
      </c>
      <c r="R86">
        <v>0</v>
      </c>
      <c r="S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458</v>
      </c>
    </row>
    <row r="87" spans="1:33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Q87">
        <v>0</v>
      </c>
      <c r="R87">
        <v>0</v>
      </c>
      <c r="S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">
        <v>494</v>
      </c>
      <c r="AD87" t="s">
        <v>495</v>
      </c>
      <c r="AE87">
        <v>3</v>
      </c>
      <c r="AF87" s="31">
        <v>0.55934027777777773</v>
      </c>
      <c r="AG87">
        <v>2023</v>
      </c>
    </row>
    <row r="88" spans="1:33" x14ac:dyDescent="0.2">
      <c r="A88" t="s">
        <v>497</v>
      </c>
      <c r="B88" t="s">
        <v>498</v>
      </c>
      <c r="C88">
        <v>1</v>
      </c>
      <c r="D88" t="s">
        <v>499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Q88">
        <v>0</v>
      </c>
      <c r="R88">
        <v>0</v>
      </c>
      <c r="S88" t="s">
        <v>500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492</v>
      </c>
    </row>
    <row r="89" spans="1:33" hidden="1" x14ac:dyDescent="0.2">
      <c r="A89" t="s">
        <v>493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0</v>
      </c>
      <c r="R89">
        <v>0</v>
      </c>
      <c r="S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458</v>
      </c>
    </row>
    <row r="90" spans="1:33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Q90">
        <v>0</v>
      </c>
      <c r="R90">
        <v>0</v>
      </c>
      <c r="S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">
        <v>494</v>
      </c>
      <c r="AD90" t="s">
        <v>495</v>
      </c>
      <c r="AE90">
        <v>3</v>
      </c>
      <c r="AF90" s="31">
        <v>0.55935185185185188</v>
      </c>
      <c r="AG90">
        <v>2023</v>
      </c>
    </row>
    <row r="91" spans="1:33" hidden="1" x14ac:dyDescent="0.2">
      <c r="A91" t="s">
        <v>493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0</v>
      </c>
      <c r="R91">
        <v>0</v>
      </c>
      <c r="S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458</v>
      </c>
    </row>
    <row r="92" spans="1:33" hidden="1" x14ac:dyDescent="0.2">
      <c r="A92" t="s">
        <v>497</v>
      </c>
      <c r="B92" t="s">
        <v>498</v>
      </c>
      <c r="C92">
        <v>0</v>
      </c>
      <c r="D92" t="s">
        <v>501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Q92">
        <v>0</v>
      </c>
      <c r="R92">
        <v>0</v>
      </c>
      <c r="S92" t="s">
        <v>500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492</v>
      </c>
    </row>
    <row r="93" spans="1:33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Q93">
        <v>0</v>
      </c>
      <c r="R93">
        <v>0</v>
      </c>
      <c r="S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">
        <v>494</v>
      </c>
      <c r="AD93" t="s">
        <v>495</v>
      </c>
      <c r="AE93">
        <v>3</v>
      </c>
      <c r="AF93" s="31">
        <v>0.55936342592592592</v>
      </c>
      <c r="AG93">
        <v>2023</v>
      </c>
    </row>
    <row r="94" spans="1:33" hidden="1" x14ac:dyDescent="0.2">
      <c r="A94" t="s">
        <v>493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0</v>
      </c>
      <c r="R94">
        <v>0</v>
      </c>
      <c r="S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458</v>
      </c>
    </row>
    <row r="95" spans="1:33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Q95">
        <v>0</v>
      </c>
      <c r="R95">
        <v>0</v>
      </c>
      <c r="S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">
        <v>494</v>
      </c>
      <c r="AD95" t="s">
        <v>495</v>
      </c>
      <c r="AE95">
        <v>3</v>
      </c>
      <c r="AF95" s="31">
        <v>0.55937500000000007</v>
      </c>
      <c r="AG95">
        <v>2023</v>
      </c>
    </row>
    <row r="96" spans="1:33" x14ac:dyDescent="0.2">
      <c r="A96" t="s">
        <v>502</v>
      </c>
      <c r="B96" t="s">
        <v>498</v>
      </c>
      <c r="C96">
        <v>1</v>
      </c>
      <c r="D96" t="s">
        <v>503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Q96">
        <v>0</v>
      </c>
      <c r="R96">
        <v>0</v>
      </c>
      <c r="S96" t="s">
        <v>500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492</v>
      </c>
    </row>
    <row r="97" spans="1:33" hidden="1" x14ac:dyDescent="0.2">
      <c r="A97" t="s">
        <v>493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0</v>
      </c>
      <c r="R97">
        <v>0</v>
      </c>
      <c r="S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458</v>
      </c>
    </row>
    <row r="98" spans="1:33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Q98">
        <v>0</v>
      </c>
      <c r="R98">
        <v>0</v>
      </c>
      <c r="S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">
        <v>494</v>
      </c>
      <c r="AD98" t="s">
        <v>495</v>
      </c>
      <c r="AE98">
        <v>3</v>
      </c>
      <c r="AF98" s="31">
        <v>0.55938657407407411</v>
      </c>
      <c r="AG98">
        <v>2023</v>
      </c>
    </row>
    <row r="99" spans="1:33" hidden="1" x14ac:dyDescent="0.2">
      <c r="A99" t="s">
        <v>493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Q99">
        <v>0</v>
      </c>
      <c r="R99">
        <v>0</v>
      </c>
      <c r="S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458</v>
      </c>
    </row>
    <row r="100" spans="1:33" hidden="1" x14ac:dyDescent="0.2">
      <c r="A100" t="s">
        <v>502</v>
      </c>
      <c r="B100" t="s">
        <v>498</v>
      </c>
      <c r="C100">
        <v>0</v>
      </c>
      <c r="D100" t="s">
        <v>504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Q100">
        <v>0</v>
      </c>
      <c r="R100">
        <v>0</v>
      </c>
      <c r="S100" t="s">
        <v>500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492</v>
      </c>
    </row>
    <row r="101" spans="1:33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Q101">
        <v>0</v>
      </c>
      <c r="R101">
        <v>0</v>
      </c>
      <c r="S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t="s">
        <v>494</v>
      </c>
      <c r="AD101" t="s">
        <v>495</v>
      </c>
      <c r="AE101">
        <v>3</v>
      </c>
      <c r="AF101" s="31">
        <v>0.55939814814814814</v>
      </c>
      <c r="AG101">
        <v>2023</v>
      </c>
    </row>
    <row r="102" spans="1:33" hidden="1" x14ac:dyDescent="0.2">
      <c r="A102" t="s">
        <v>493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0</v>
      </c>
      <c r="R102">
        <v>0</v>
      </c>
      <c r="S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458</v>
      </c>
    </row>
    <row r="103" spans="1:33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Q103">
        <v>0</v>
      </c>
      <c r="R103">
        <v>0</v>
      </c>
      <c r="S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 t="s">
        <v>494</v>
      </c>
      <c r="AD103" t="s">
        <v>495</v>
      </c>
      <c r="AE103">
        <v>3</v>
      </c>
      <c r="AF103" s="31">
        <v>0.55940972222222218</v>
      </c>
      <c r="AG103">
        <v>2023</v>
      </c>
    </row>
    <row r="104" spans="1:33" x14ac:dyDescent="0.2">
      <c r="A104">
        <v>77</v>
      </c>
      <c r="B104" t="s">
        <v>488</v>
      </c>
      <c r="C104">
        <v>1</v>
      </c>
      <c r="D104" t="s">
        <v>503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Q104">
        <v>0</v>
      </c>
      <c r="R104">
        <v>0</v>
      </c>
      <c r="S104" t="s">
        <v>491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492</v>
      </c>
    </row>
    <row r="105" spans="1:33" hidden="1" x14ac:dyDescent="0.2">
      <c r="A105" t="s">
        <v>493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0</v>
      </c>
      <c r="R105">
        <v>0</v>
      </c>
      <c r="S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458</v>
      </c>
    </row>
    <row r="106" spans="1:33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Q106">
        <v>0</v>
      </c>
      <c r="R106">
        <v>0</v>
      </c>
      <c r="S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t="s">
        <v>494</v>
      </c>
      <c r="AD106" t="s">
        <v>495</v>
      </c>
      <c r="AE106">
        <v>3</v>
      </c>
      <c r="AF106" s="31">
        <v>0.55942129629629633</v>
      </c>
      <c r="AG106">
        <v>2023</v>
      </c>
    </row>
    <row r="107" spans="1:33" hidden="1" x14ac:dyDescent="0.2">
      <c r="A107" t="s">
        <v>493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Q107">
        <v>0</v>
      </c>
      <c r="R107">
        <v>0</v>
      </c>
      <c r="S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458</v>
      </c>
    </row>
    <row r="108" spans="1:33" hidden="1" x14ac:dyDescent="0.2">
      <c r="A108">
        <v>77</v>
      </c>
      <c r="B108" t="s">
        <v>488</v>
      </c>
      <c r="C108">
        <v>0</v>
      </c>
      <c r="D108" t="s">
        <v>505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Q108">
        <v>0</v>
      </c>
      <c r="R108">
        <v>0</v>
      </c>
      <c r="S108" t="s">
        <v>491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492</v>
      </c>
    </row>
    <row r="109" spans="1:33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Q109">
        <v>0</v>
      </c>
      <c r="R109">
        <v>0</v>
      </c>
      <c r="S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 t="s">
        <v>494</v>
      </c>
      <c r="AD109" t="s">
        <v>495</v>
      </c>
      <c r="AE109">
        <v>3</v>
      </c>
      <c r="AF109" s="31">
        <v>0.55943287037037037</v>
      </c>
      <c r="AG109">
        <v>2023</v>
      </c>
    </row>
    <row r="110" spans="1:33" hidden="1" x14ac:dyDescent="0.2">
      <c r="A110" t="s">
        <v>493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458</v>
      </c>
    </row>
    <row r="111" spans="1:33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Q111">
        <v>0</v>
      </c>
      <c r="R111">
        <v>0</v>
      </c>
      <c r="S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t="s">
        <v>494</v>
      </c>
      <c r="AD111" t="s">
        <v>495</v>
      </c>
      <c r="AE111">
        <v>3</v>
      </c>
      <c r="AF111" s="31">
        <v>0.55944444444444441</v>
      </c>
      <c r="AG111">
        <v>2023</v>
      </c>
    </row>
    <row r="112" spans="1:33" x14ac:dyDescent="0.2">
      <c r="A112">
        <v>77</v>
      </c>
      <c r="B112" t="s">
        <v>506</v>
      </c>
      <c r="C112">
        <v>1</v>
      </c>
      <c r="D112" t="s">
        <v>507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Q112">
        <v>0</v>
      </c>
      <c r="R112">
        <v>0</v>
      </c>
      <c r="S112" t="s">
        <v>508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492</v>
      </c>
    </row>
    <row r="113" spans="1:33" hidden="1" x14ac:dyDescent="0.2">
      <c r="A113" t="s">
        <v>493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0</v>
      </c>
      <c r="R113">
        <v>0</v>
      </c>
      <c r="S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458</v>
      </c>
    </row>
    <row r="114" spans="1:33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Q114">
        <v>0</v>
      </c>
      <c r="R114">
        <v>0</v>
      </c>
      <c r="S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t="s">
        <v>494</v>
      </c>
      <c r="AD114" t="s">
        <v>495</v>
      </c>
      <c r="AE114">
        <v>3</v>
      </c>
      <c r="AF114" s="31">
        <v>0.55945601851851856</v>
      </c>
      <c r="AG114">
        <v>2023</v>
      </c>
    </row>
    <row r="115" spans="1:33" hidden="1" x14ac:dyDescent="0.2">
      <c r="A115" t="s">
        <v>493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0</v>
      </c>
      <c r="R115">
        <v>0</v>
      </c>
      <c r="S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458</v>
      </c>
    </row>
    <row r="116" spans="1:33" hidden="1" x14ac:dyDescent="0.2">
      <c r="A116">
        <v>77</v>
      </c>
      <c r="B116" t="s">
        <v>506</v>
      </c>
      <c r="C116">
        <v>0</v>
      </c>
      <c r="D116" t="s">
        <v>505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Q116">
        <v>0</v>
      </c>
      <c r="R116">
        <v>0</v>
      </c>
      <c r="S116" t="s">
        <v>508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492</v>
      </c>
    </row>
    <row r="117" spans="1:33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t="s">
        <v>494</v>
      </c>
      <c r="AD117" t="s">
        <v>495</v>
      </c>
      <c r="AE117">
        <v>3</v>
      </c>
      <c r="AF117" s="31">
        <v>0.5594675925925926</v>
      </c>
      <c r="AG117">
        <v>2023</v>
      </c>
    </row>
    <row r="118" spans="1:33" hidden="1" x14ac:dyDescent="0.2">
      <c r="A118" t="s">
        <v>493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0</v>
      </c>
      <c r="R118">
        <v>0</v>
      </c>
      <c r="S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458</v>
      </c>
    </row>
    <row r="119" spans="1:33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Q119">
        <v>0</v>
      </c>
      <c r="R119">
        <v>0</v>
      </c>
      <c r="S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 t="s">
        <v>494</v>
      </c>
      <c r="AD119" t="s">
        <v>495</v>
      </c>
      <c r="AE119">
        <v>3</v>
      </c>
      <c r="AF119" s="31">
        <v>0.55947916666666664</v>
      </c>
      <c r="AG119">
        <v>2023</v>
      </c>
    </row>
    <row r="120" spans="1:33" x14ac:dyDescent="0.2">
      <c r="A120">
        <v>77</v>
      </c>
      <c r="B120" t="s">
        <v>506</v>
      </c>
      <c r="C120">
        <v>1</v>
      </c>
      <c r="D120" t="s">
        <v>504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Q120">
        <v>0</v>
      </c>
      <c r="R120">
        <v>0</v>
      </c>
      <c r="S120" t="s">
        <v>509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492</v>
      </c>
    </row>
    <row r="121" spans="1:33" hidden="1" x14ac:dyDescent="0.2">
      <c r="A121" t="s">
        <v>493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0</v>
      </c>
      <c r="R121">
        <v>0</v>
      </c>
      <c r="S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458</v>
      </c>
    </row>
    <row r="122" spans="1:33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Q122">
        <v>0</v>
      </c>
      <c r="R122">
        <v>0</v>
      </c>
      <c r="S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 t="s">
        <v>494</v>
      </c>
      <c r="AD122" t="s">
        <v>495</v>
      </c>
      <c r="AE122">
        <v>3</v>
      </c>
      <c r="AF122" s="31">
        <v>0.55949074074074068</v>
      </c>
      <c r="AG122">
        <v>2023</v>
      </c>
    </row>
    <row r="123" spans="1:33" hidden="1" x14ac:dyDescent="0.2">
      <c r="A123" t="s">
        <v>493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Q123">
        <v>0</v>
      </c>
      <c r="R123">
        <v>0</v>
      </c>
      <c r="S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458</v>
      </c>
    </row>
    <row r="124" spans="1:33" hidden="1" x14ac:dyDescent="0.2">
      <c r="A124">
        <v>77</v>
      </c>
      <c r="B124" t="s">
        <v>506</v>
      </c>
      <c r="C124">
        <v>0</v>
      </c>
      <c r="D124" t="s">
        <v>504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Q124">
        <v>0</v>
      </c>
      <c r="R124">
        <v>0</v>
      </c>
      <c r="S124" t="s">
        <v>509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492</v>
      </c>
    </row>
    <row r="125" spans="1:33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Q125">
        <v>0</v>
      </c>
      <c r="R125">
        <v>0</v>
      </c>
      <c r="S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 t="s">
        <v>494</v>
      </c>
      <c r="AD125" t="s">
        <v>495</v>
      </c>
      <c r="AE125">
        <v>3</v>
      </c>
      <c r="AF125" s="31">
        <v>0.55950231481481483</v>
      </c>
      <c r="AG125">
        <v>2023</v>
      </c>
    </row>
    <row r="126" spans="1:33" hidden="1" x14ac:dyDescent="0.2">
      <c r="A126" t="s">
        <v>493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0</v>
      </c>
      <c r="R126">
        <v>0</v>
      </c>
      <c r="S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458</v>
      </c>
    </row>
    <row r="127" spans="1:33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Q127">
        <v>0</v>
      </c>
      <c r="R127">
        <v>0</v>
      </c>
      <c r="S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 t="s">
        <v>494</v>
      </c>
      <c r="AD127" t="s">
        <v>495</v>
      </c>
      <c r="AE127">
        <v>3</v>
      </c>
      <c r="AF127" s="31">
        <v>0.55951388888888887</v>
      </c>
      <c r="AG127">
        <v>2023</v>
      </c>
    </row>
    <row r="128" spans="1:33" x14ac:dyDescent="0.2">
      <c r="A128">
        <v>76</v>
      </c>
      <c r="B128" t="s">
        <v>506</v>
      </c>
      <c r="C128">
        <v>1</v>
      </c>
      <c r="D128" t="s">
        <v>510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511</v>
      </c>
      <c r="N128">
        <v>0</v>
      </c>
      <c r="O128">
        <v>0</v>
      </c>
      <c r="Q128">
        <v>0</v>
      </c>
      <c r="R128">
        <v>0</v>
      </c>
      <c r="S128" t="s">
        <v>509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492</v>
      </c>
    </row>
    <row r="129" spans="1:33" hidden="1" x14ac:dyDescent="0.2">
      <c r="A129" t="s">
        <v>493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0</v>
      </c>
      <c r="R129">
        <v>0</v>
      </c>
      <c r="S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458</v>
      </c>
    </row>
    <row r="130" spans="1:33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Q130">
        <v>0</v>
      </c>
      <c r="R130">
        <v>0</v>
      </c>
      <c r="S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 t="s">
        <v>494</v>
      </c>
      <c r="AD130" t="s">
        <v>495</v>
      </c>
      <c r="AE130">
        <v>3</v>
      </c>
      <c r="AF130" s="31">
        <v>0.55952546296296302</v>
      </c>
      <c r="AG130">
        <v>2023</v>
      </c>
    </row>
    <row r="131" spans="1:33" hidden="1" x14ac:dyDescent="0.2">
      <c r="A131" t="s">
        <v>493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Q131">
        <v>0</v>
      </c>
      <c r="R131">
        <v>0</v>
      </c>
      <c r="S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458</v>
      </c>
    </row>
    <row r="132" spans="1:33" hidden="1" x14ac:dyDescent="0.2">
      <c r="A132">
        <v>76</v>
      </c>
      <c r="B132" t="s">
        <v>506</v>
      </c>
      <c r="C132">
        <v>0</v>
      </c>
      <c r="D132" t="s">
        <v>505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512</v>
      </c>
      <c r="N132">
        <v>0</v>
      </c>
      <c r="O132">
        <v>0</v>
      </c>
      <c r="Q132">
        <v>0</v>
      </c>
      <c r="R132">
        <v>0</v>
      </c>
      <c r="S132" t="s">
        <v>513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492</v>
      </c>
    </row>
    <row r="133" spans="1:33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Q133">
        <v>0</v>
      </c>
      <c r="R133">
        <v>0</v>
      </c>
      <c r="S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 t="s">
        <v>494</v>
      </c>
      <c r="AD133" t="s">
        <v>495</v>
      </c>
      <c r="AE133">
        <v>3</v>
      </c>
      <c r="AF133" s="31">
        <v>0.55953703703703705</v>
      </c>
      <c r="AG133">
        <v>2023</v>
      </c>
    </row>
    <row r="134" spans="1:33" hidden="1" x14ac:dyDescent="0.2">
      <c r="A134" t="s">
        <v>493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0</v>
      </c>
      <c r="R134">
        <v>0</v>
      </c>
      <c r="S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458</v>
      </c>
    </row>
    <row r="135" spans="1:33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Q135">
        <v>0</v>
      </c>
      <c r="R135">
        <v>0</v>
      </c>
      <c r="S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 t="s">
        <v>494</v>
      </c>
      <c r="AD135" t="s">
        <v>495</v>
      </c>
      <c r="AE135">
        <v>3</v>
      </c>
      <c r="AF135" s="31">
        <v>0.55954861111111109</v>
      </c>
      <c r="AG135">
        <v>2023</v>
      </c>
    </row>
    <row r="136" spans="1:33" x14ac:dyDescent="0.2">
      <c r="A136">
        <v>75</v>
      </c>
      <c r="B136" t="s">
        <v>506</v>
      </c>
      <c r="C136">
        <v>1</v>
      </c>
      <c r="D136" t="s">
        <v>514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515</v>
      </c>
      <c r="N136">
        <v>0</v>
      </c>
      <c r="O136">
        <v>0</v>
      </c>
      <c r="Q136">
        <v>0</v>
      </c>
      <c r="R136">
        <v>0</v>
      </c>
      <c r="S136" t="s">
        <v>516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492</v>
      </c>
    </row>
    <row r="137" spans="1:33" hidden="1" x14ac:dyDescent="0.2">
      <c r="A137" t="s">
        <v>493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458</v>
      </c>
    </row>
    <row r="138" spans="1:33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Q138">
        <v>0</v>
      </c>
      <c r="R138">
        <v>0</v>
      </c>
      <c r="S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 t="s">
        <v>494</v>
      </c>
      <c r="AD138" t="s">
        <v>495</v>
      </c>
      <c r="AE138">
        <v>3</v>
      </c>
      <c r="AF138" s="31">
        <v>0.55956018518518513</v>
      </c>
      <c r="AG138">
        <v>2023</v>
      </c>
    </row>
    <row r="139" spans="1:33" hidden="1" x14ac:dyDescent="0.2">
      <c r="A139" t="s">
        <v>493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0</v>
      </c>
      <c r="R139">
        <v>0</v>
      </c>
      <c r="S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458</v>
      </c>
    </row>
    <row r="140" spans="1:33" hidden="1" x14ac:dyDescent="0.2">
      <c r="A140">
        <v>75</v>
      </c>
      <c r="B140" t="s">
        <v>506</v>
      </c>
      <c r="C140">
        <v>0</v>
      </c>
      <c r="D140" t="s">
        <v>510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517</v>
      </c>
      <c r="N140">
        <v>0</v>
      </c>
      <c r="O140">
        <v>0</v>
      </c>
      <c r="Q140">
        <v>0</v>
      </c>
      <c r="R140">
        <v>0</v>
      </c>
      <c r="S140" t="s">
        <v>516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492</v>
      </c>
    </row>
    <row r="141" spans="1:33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Q141">
        <v>0</v>
      </c>
      <c r="R141">
        <v>0</v>
      </c>
      <c r="S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 t="s">
        <v>494</v>
      </c>
      <c r="AD141" t="s">
        <v>495</v>
      </c>
      <c r="AE141">
        <v>3</v>
      </c>
      <c r="AF141" s="31">
        <v>0.55957175925925928</v>
      </c>
      <c r="AG141">
        <v>2023</v>
      </c>
    </row>
    <row r="142" spans="1:33" hidden="1" x14ac:dyDescent="0.2">
      <c r="A142" t="s">
        <v>493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0</v>
      </c>
      <c r="R142">
        <v>0</v>
      </c>
      <c r="S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458</v>
      </c>
    </row>
    <row r="143" spans="1:33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 t="s">
        <v>494</v>
      </c>
      <c r="AD143" t="s">
        <v>495</v>
      </c>
      <c r="AE143">
        <v>3</v>
      </c>
      <c r="AF143" s="31">
        <v>0.55958333333333332</v>
      </c>
      <c r="AG143">
        <v>2023</v>
      </c>
    </row>
    <row r="144" spans="1:33" x14ac:dyDescent="0.2">
      <c r="A144">
        <v>74</v>
      </c>
      <c r="B144" t="s">
        <v>506</v>
      </c>
      <c r="C144">
        <v>1</v>
      </c>
      <c r="D144" t="s">
        <v>518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519</v>
      </c>
      <c r="N144">
        <v>0</v>
      </c>
      <c r="O144">
        <v>0</v>
      </c>
      <c r="Q144">
        <v>0</v>
      </c>
      <c r="R144">
        <v>0</v>
      </c>
      <c r="S144" t="s">
        <v>516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492</v>
      </c>
    </row>
    <row r="145" spans="1:33" hidden="1" x14ac:dyDescent="0.2">
      <c r="A145" t="s">
        <v>493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0</v>
      </c>
      <c r="R145">
        <v>0</v>
      </c>
      <c r="S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458</v>
      </c>
    </row>
    <row r="146" spans="1:33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Q146">
        <v>0</v>
      </c>
      <c r="R146">
        <v>0</v>
      </c>
      <c r="S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 t="s">
        <v>494</v>
      </c>
      <c r="AD146" t="s">
        <v>495</v>
      </c>
      <c r="AE146">
        <v>3</v>
      </c>
      <c r="AF146" s="31">
        <v>0.55959490740740747</v>
      </c>
      <c r="AG146">
        <v>2023</v>
      </c>
    </row>
    <row r="147" spans="1:33" hidden="1" x14ac:dyDescent="0.2">
      <c r="A147" t="s">
        <v>493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Q147">
        <v>0</v>
      </c>
      <c r="R147">
        <v>0</v>
      </c>
      <c r="S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458</v>
      </c>
    </row>
    <row r="148" spans="1:33" hidden="1" x14ac:dyDescent="0.2">
      <c r="A148">
        <v>74</v>
      </c>
      <c r="B148" t="s">
        <v>506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520</v>
      </c>
      <c r="N148">
        <v>0</v>
      </c>
      <c r="O148">
        <v>0</v>
      </c>
      <c r="Q148">
        <v>0</v>
      </c>
      <c r="R148">
        <v>0</v>
      </c>
      <c r="S148" t="s">
        <v>521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492</v>
      </c>
    </row>
    <row r="149" spans="1:33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Q149">
        <v>0</v>
      </c>
      <c r="R149">
        <v>0</v>
      </c>
      <c r="S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 t="s">
        <v>494</v>
      </c>
      <c r="AD149" t="s">
        <v>495</v>
      </c>
      <c r="AE149">
        <v>3</v>
      </c>
      <c r="AF149" s="31">
        <v>0.55960648148148151</v>
      </c>
      <c r="AG149">
        <v>2023</v>
      </c>
    </row>
    <row r="150" spans="1:33" hidden="1" x14ac:dyDescent="0.2">
      <c r="A150" t="s">
        <v>493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Q150">
        <v>0</v>
      </c>
      <c r="R150">
        <v>0</v>
      </c>
      <c r="S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458</v>
      </c>
    </row>
    <row r="151" spans="1:33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Q151">
        <v>0</v>
      </c>
      <c r="R151">
        <v>0</v>
      </c>
      <c r="S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 t="s">
        <v>494</v>
      </c>
      <c r="AD151" t="s">
        <v>495</v>
      </c>
      <c r="AE151">
        <v>3</v>
      </c>
      <c r="AF151" s="31">
        <v>0.55961805555555555</v>
      </c>
      <c r="AG151">
        <v>2023</v>
      </c>
    </row>
    <row r="152" spans="1:33" x14ac:dyDescent="0.2">
      <c r="A152">
        <v>71</v>
      </c>
      <c r="B152" t="s">
        <v>506</v>
      </c>
      <c r="C152">
        <v>1</v>
      </c>
      <c r="D152" t="s">
        <v>522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Q152">
        <v>0</v>
      </c>
      <c r="R152">
        <v>0</v>
      </c>
      <c r="S152" t="s">
        <v>523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492</v>
      </c>
    </row>
    <row r="153" spans="1:33" hidden="1" x14ac:dyDescent="0.2">
      <c r="A153" t="s">
        <v>493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Q153">
        <v>0</v>
      </c>
      <c r="R153">
        <v>0</v>
      </c>
      <c r="S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458</v>
      </c>
    </row>
    <row r="154" spans="1:33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Q154">
        <v>0</v>
      </c>
      <c r="R154">
        <v>0</v>
      </c>
      <c r="S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 t="s">
        <v>494</v>
      </c>
      <c r="AD154" t="s">
        <v>495</v>
      </c>
      <c r="AE154">
        <v>3</v>
      </c>
      <c r="AF154" s="31">
        <v>0.55962962962962959</v>
      </c>
      <c r="AG154">
        <v>2023</v>
      </c>
    </row>
    <row r="155" spans="1:33" hidden="1" x14ac:dyDescent="0.2">
      <c r="A155" t="s">
        <v>493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Q155">
        <v>0</v>
      </c>
      <c r="R155">
        <v>0</v>
      </c>
      <c r="S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458</v>
      </c>
    </row>
    <row r="156" spans="1:33" hidden="1" x14ac:dyDescent="0.2">
      <c r="A156">
        <v>71</v>
      </c>
      <c r="B156" t="s">
        <v>506</v>
      </c>
      <c r="C156">
        <v>0</v>
      </c>
      <c r="D156" t="s">
        <v>524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Q156">
        <v>0</v>
      </c>
      <c r="R156">
        <v>0</v>
      </c>
      <c r="S156" t="s">
        <v>525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492</v>
      </c>
    </row>
    <row r="157" spans="1:33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Q157">
        <v>0</v>
      </c>
      <c r="R157">
        <v>0</v>
      </c>
      <c r="S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 t="s">
        <v>494</v>
      </c>
      <c r="AD157" t="s">
        <v>495</v>
      </c>
      <c r="AE157">
        <v>3</v>
      </c>
      <c r="AF157" s="31">
        <v>0.55964120370370374</v>
      </c>
      <c r="AG157">
        <v>2023</v>
      </c>
    </row>
    <row r="158" spans="1:33" hidden="1" x14ac:dyDescent="0.2">
      <c r="A158" t="s">
        <v>493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Q158">
        <v>0</v>
      </c>
      <c r="R158">
        <v>0</v>
      </c>
      <c r="S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458</v>
      </c>
    </row>
    <row r="159" spans="1:33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Q159">
        <v>0</v>
      </c>
      <c r="R159">
        <v>0</v>
      </c>
      <c r="S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 t="s">
        <v>494</v>
      </c>
      <c r="AD159" t="s">
        <v>495</v>
      </c>
      <c r="AE159">
        <v>3</v>
      </c>
      <c r="AF159" s="31">
        <v>0.55965277777777778</v>
      </c>
      <c r="AG159">
        <v>2023</v>
      </c>
    </row>
    <row r="160" spans="1:33" x14ac:dyDescent="0.2">
      <c r="A160">
        <v>69</v>
      </c>
      <c r="B160" t="s">
        <v>506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Q160">
        <v>0</v>
      </c>
      <c r="R160">
        <v>0</v>
      </c>
      <c r="S160" t="s">
        <v>526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492</v>
      </c>
    </row>
    <row r="161" spans="1:33" hidden="1" x14ac:dyDescent="0.2">
      <c r="A161" t="s">
        <v>493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Q161">
        <v>0</v>
      </c>
      <c r="R161">
        <v>0</v>
      </c>
      <c r="S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458</v>
      </c>
    </row>
    <row r="162" spans="1:33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Q162">
        <v>0</v>
      </c>
      <c r="R162">
        <v>0</v>
      </c>
      <c r="S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 t="s">
        <v>494</v>
      </c>
      <c r="AD162" t="s">
        <v>495</v>
      </c>
      <c r="AE162">
        <v>3</v>
      </c>
      <c r="AF162" s="31">
        <v>0.55966435185185182</v>
      </c>
      <c r="AG162">
        <v>2023</v>
      </c>
    </row>
    <row r="163" spans="1:33" hidden="1" x14ac:dyDescent="0.2">
      <c r="A163" t="s">
        <v>493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Q163">
        <v>0</v>
      </c>
      <c r="R163">
        <v>0</v>
      </c>
      <c r="S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458</v>
      </c>
    </row>
    <row r="164" spans="1:33" hidden="1" x14ac:dyDescent="0.2">
      <c r="A164">
        <v>69</v>
      </c>
      <c r="B164" t="s">
        <v>506</v>
      </c>
      <c r="C164">
        <v>0</v>
      </c>
      <c r="D164" t="s">
        <v>527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Q164">
        <v>0</v>
      </c>
      <c r="R164">
        <v>0</v>
      </c>
      <c r="S164" t="s">
        <v>526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492</v>
      </c>
    </row>
    <row r="165" spans="1:33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Q165">
        <v>0</v>
      </c>
      <c r="R165">
        <v>0</v>
      </c>
      <c r="S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 t="s">
        <v>494</v>
      </c>
      <c r="AD165" t="s">
        <v>495</v>
      </c>
      <c r="AE165">
        <v>3</v>
      </c>
      <c r="AF165" s="31">
        <v>0.55967592592592597</v>
      </c>
      <c r="AG165">
        <v>2023</v>
      </c>
    </row>
    <row r="166" spans="1:33" hidden="1" x14ac:dyDescent="0.2">
      <c r="A166" t="s">
        <v>493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Q166">
        <v>0</v>
      </c>
      <c r="R166">
        <v>0</v>
      </c>
      <c r="S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458</v>
      </c>
    </row>
    <row r="167" spans="1:33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Q167">
        <v>0</v>
      </c>
      <c r="R167">
        <v>0</v>
      </c>
      <c r="S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 t="s">
        <v>494</v>
      </c>
      <c r="AD167" t="s">
        <v>495</v>
      </c>
      <c r="AE167">
        <v>3</v>
      </c>
      <c r="AF167" s="31">
        <v>0.5596875</v>
      </c>
      <c r="AG167">
        <v>2023</v>
      </c>
    </row>
    <row r="168" spans="1:33" x14ac:dyDescent="0.2">
      <c r="A168" t="s">
        <v>528</v>
      </c>
      <c r="B168" t="s">
        <v>506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Q168">
        <v>0</v>
      </c>
      <c r="R168">
        <v>0</v>
      </c>
      <c r="S168" t="s">
        <v>529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492</v>
      </c>
    </row>
    <row r="169" spans="1:33" hidden="1" x14ac:dyDescent="0.2">
      <c r="A169" t="s">
        <v>493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Q169">
        <v>0</v>
      </c>
      <c r="R169">
        <v>0</v>
      </c>
      <c r="S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458</v>
      </c>
    </row>
    <row r="170" spans="1:33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Q170">
        <v>0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 t="s">
        <v>494</v>
      </c>
      <c r="AD170" t="s">
        <v>495</v>
      </c>
      <c r="AE170">
        <v>3</v>
      </c>
      <c r="AF170" s="31">
        <v>0.55969907407407404</v>
      </c>
      <c r="AG170">
        <v>2023</v>
      </c>
    </row>
    <row r="171" spans="1:33" hidden="1" x14ac:dyDescent="0.2">
      <c r="A171" t="s">
        <v>493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Q171">
        <v>0</v>
      </c>
      <c r="R171">
        <v>0</v>
      </c>
      <c r="S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458</v>
      </c>
    </row>
    <row r="172" spans="1:33" hidden="1" x14ac:dyDescent="0.2">
      <c r="A172" t="s">
        <v>528</v>
      </c>
      <c r="B172" t="s">
        <v>506</v>
      </c>
      <c r="C172">
        <v>0</v>
      </c>
      <c r="D172" t="s">
        <v>530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Q172">
        <v>0</v>
      </c>
      <c r="R172">
        <v>0</v>
      </c>
      <c r="S172" t="s">
        <v>531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492</v>
      </c>
    </row>
    <row r="173" spans="1:33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Q173">
        <v>0</v>
      </c>
      <c r="R173">
        <v>0</v>
      </c>
      <c r="S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 t="s">
        <v>494</v>
      </c>
      <c r="AD173" t="s">
        <v>495</v>
      </c>
      <c r="AE173">
        <v>3</v>
      </c>
      <c r="AF173" s="31">
        <v>0.55971064814814808</v>
      </c>
      <c r="AG173">
        <v>2023</v>
      </c>
    </row>
    <row r="174" spans="1:33" hidden="1" x14ac:dyDescent="0.2">
      <c r="A174" t="s">
        <v>493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Q174">
        <v>0</v>
      </c>
      <c r="R174">
        <v>0</v>
      </c>
      <c r="S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458</v>
      </c>
    </row>
    <row r="175" spans="1:33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Q175">
        <v>0</v>
      </c>
      <c r="R175">
        <v>0</v>
      </c>
      <c r="S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 t="s">
        <v>494</v>
      </c>
      <c r="AD175" t="s">
        <v>495</v>
      </c>
      <c r="AE175">
        <v>3</v>
      </c>
      <c r="AF175" s="31">
        <v>0.55972222222222223</v>
      </c>
      <c r="AG175">
        <v>2023</v>
      </c>
    </row>
    <row r="176" spans="1:33" x14ac:dyDescent="0.2">
      <c r="A176">
        <v>54</v>
      </c>
      <c r="B176" t="s">
        <v>498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Q176">
        <v>0</v>
      </c>
      <c r="R176">
        <v>0</v>
      </c>
      <c r="S176" t="s">
        <v>532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492</v>
      </c>
    </row>
    <row r="177" spans="1:33" hidden="1" x14ac:dyDescent="0.2">
      <c r="A177" t="s">
        <v>493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Q177">
        <v>0</v>
      </c>
      <c r="R177">
        <v>0</v>
      </c>
      <c r="S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458</v>
      </c>
    </row>
    <row r="178" spans="1:33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Q178">
        <v>0</v>
      </c>
      <c r="R178">
        <v>0</v>
      </c>
      <c r="S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 t="s">
        <v>494</v>
      </c>
      <c r="AD178" t="s">
        <v>495</v>
      </c>
      <c r="AE178">
        <v>3</v>
      </c>
      <c r="AF178" s="31">
        <v>0.55973379629629627</v>
      </c>
      <c r="AG178">
        <v>2023</v>
      </c>
    </row>
    <row r="179" spans="1:33" hidden="1" x14ac:dyDescent="0.2">
      <c r="A179" t="s">
        <v>493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Q179">
        <v>0</v>
      </c>
      <c r="R179">
        <v>0</v>
      </c>
      <c r="S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458</v>
      </c>
    </row>
    <row r="180" spans="1:33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Q180">
        <v>0</v>
      </c>
      <c r="R180">
        <v>0</v>
      </c>
      <c r="S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 t="s">
        <v>494</v>
      </c>
      <c r="AD180" t="s">
        <v>495</v>
      </c>
      <c r="AE180">
        <v>3</v>
      </c>
      <c r="AF180" s="31">
        <v>0.55974537037037042</v>
      </c>
      <c r="AG180">
        <v>2023</v>
      </c>
    </row>
    <row r="181" spans="1:33" hidden="1" x14ac:dyDescent="0.2">
      <c r="A181">
        <v>54</v>
      </c>
      <c r="B181" t="s">
        <v>498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Q181">
        <v>0</v>
      </c>
      <c r="R181">
        <v>0</v>
      </c>
      <c r="S181" t="s">
        <v>533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492</v>
      </c>
    </row>
    <row r="182" spans="1:33" hidden="1" x14ac:dyDescent="0.2">
      <c r="A182" t="s">
        <v>493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Q182">
        <v>0</v>
      </c>
      <c r="R182">
        <v>0</v>
      </c>
      <c r="S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458</v>
      </c>
    </row>
    <row r="183" spans="1:33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Q183">
        <v>0</v>
      </c>
      <c r="R183">
        <v>0</v>
      </c>
      <c r="S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 t="s">
        <v>494</v>
      </c>
      <c r="AD183" t="s">
        <v>495</v>
      </c>
      <c r="AE183">
        <v>3</v>
      </c>
      <c r="AF183" s="31">
        <v>0.55975694444444446</v>
      </c>
      <c r="AG183">
        <v>2023</v>
      </c>
    </row>
    <row r="184" spans="1:33" hidden="1" x14ac:dyDescent="0.2">
      <c r="A184" t="s">
        <v>493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Q184">
        <v>0</v>
      </c>
      <c r="R184">
        <v>0</v>
      </c>
      <c r="S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458</v>
      </c>
    </row>
    <row r="185" spans="1:33" x14ac:dyDescent="0.2">
      <c r="A185">
        <v>49</v>
      </c>
      <c r="B185" t="s">
        <v>498</v>
      </c>
      <c r="C185">
        <v>1</v>
      </c>
      <c r="D185" t="s">
        <v>534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Q185">
        <v>0</v>
      </c>
      <c r="R185">
        <v>0</v>
      </c>
      <c r="S185" t="s">
        <v>535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492</v>
      </c>
    </row>
    <row r="186" spans="1:33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Q186">
        <v>0</v>
      </c>
      <c r="R186">
        <v>0</v>
      </c>
      <c r="S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 t="s">
        <v>494</v>
      </c>
      <c r="AD186" t="s">
        <v>495</v>
      </c>
      <c r="AE186">
        <v>3</v>
      </c>
      <c r="AF186" s="31">
        <v>0.5597685185185185</v>
      </c>
      <c r="AG186">
        <v>2023</v>
      </c>
    </row>
    <row r="187" spans="1:33" hidden="1" x14ac:dyDescent="0.2">
      <c r="A187" t="s">
        <v>493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Q187">
        <v>0</v>
      </c>
      <c r="R187">
        <v>0</v>
      </c>
      <c r="S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458</v>
      </c>
    </row>
    <row r="188" spans="1:33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Q188">
        <v>0</v>
      </c>
      <c r="R188">
        <v>0</v>
      </c>
      <c r="S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 t="s">
        <v>494</v>
      </c>
      <c r="AD188" t="s">
        <v>495</v>
      </c>
      <c r="AE188">
        <v>3</v>
      </c>
      <c r="AF188" s="31">
        <v>0.55978009259259254</v>
      </c>
      <c r="AG188">
        <v>2023</v>
      </c>
    </row>
    <row r="189" spans="1:33" hidden="1" x14ac:dyDescent="0.2">
      <c r="A189">
        <v>49</v>
      </c>
      <c r="B189" t="s">
        <v>498</v>
      </c>
      <c r="C189">
        <v>0</v>
      </c>
      <c r="D189" t="s">
        <v>536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Q189">
        <v>0</v>
      </c>
      <c r="R189">
        <v>0</v>
      </c>
      <c r="S189" t="s">
        <v>537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492</v>
      </c>
    </row>
    <row r="190" spans="1:33" hidden="1" x14ac:dyDescent="0.2">
      <c r="A190" t="s">
        <v>493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Q190">
        <v>0</v>
      </c>
      <c r="R190">
        <v>0</v>
      </c>
      <c r="S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458</v>
      </c>
    </row>
    <row r="191" spans="1:33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Q191">
        <v>0</v>
      </c>
      <c r="R191">
        <v>0</v>
      </c>
      <c r="S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 t="s">
        <v>494</v>
      </c>
      <c r="AD191" t="s">
        <v>495</v>
      </c>
      <c r="AE191">
        <v>3</v>
      </c>
      <c r="AF191" s="31">
        <v>0.55979166666666669</v>
      </c>
      <c r="AG191">
        <v>2023</v>
      </c>
    </row>
    <row r="192" spans="1:33" hidden="1" x14ac:dyDescent="0.2">
      <c r="A192" t="s">
        <v>493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Q192">
        <v>0</v>
      </c>
      <c r="R192">
        <v>0</v>
      </c>
      <c r="S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458</v>
      </c>
    </row>
    <row r="193" spans="1:33" x14ac:dyDescent="0.2">
      <c r="A193">
        <v>44</v>
      </c>
      <c r="B193" t="s">
        <v>506</v>
      </c>
      <c r="C193">
        <v>1</v>
      </c>
      <c r="D193" t="s">
        <v>538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539</v>
      </c>
      <c r="N193">
        <v>0</v>
      </c>
      <c r="O193">
        <v>0</v>
      </c>
      <c r="Q193">
        <v>0</v>
      </c>
      <c r="R193">
        <v>0</v>
      </c>
      <c r="S193" t="s">
        <v>540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492</v>
      </c>
    </row>
    <row r="194" spans="1:33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Q194">
        <v>0</v>
      </c>
      <c r="R194">
        <v>0</v>
      </c>
      <c r="S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 t="s">
        <v>494</v>
      </c>
      <c r="AD194" t="s">
        <v>495</v>
      </c>
      <c r="AE194">
        <v>3</v>
      </c>
      <c r="AF194" s="31">
        <v>0.55980324074074073</v>
      </c>
      <c r="AG194">
        <v>2023</v>
      </c>
    </row>
    <row r="195" spans="1:33" hidden="1" x14ac:dyDescent="0.2">
      <c r="A195" t="s">
        <v>493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Q195">
        <v>0</v>
      </c>
      <c r="R195">
        <v>0</v>
      </c>
      <c r="S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458</v>
      </c>
    </row>
    <row r="196" spans="1:33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Q196">
        <v>0</v>
      </c>
      <c r="R196">
        <v>0</v>
      </c>
      <c r="S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 t="s">
        <v>494</v>
      </c>
      <c r="AD196" t="s">
        <v>495</v>
      </c>
      <c r="AE196">
        <v>3</v>
      </c>
      <c r="AF196" s="31">
        <v>0.55981481481481488</v>
      </c>
      <c r="AG196">
        <v>2023</v>
      </c>
    </row>
    <row r="197" spans="1:33" hidden="1" x14ac:dyDescent="0.2">
      <c r="A197">
        <v>44</v>
      </c>
      <c r="B197" t="s">
        <v>506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541</v>
      </c>
      <c r="N197">
        <v>0</v>
      </c>
      <c r="O197">
        <v>0</v>
      </c>
      <c r="Q197">
        <v>0</v>
      </c>
      <c r="R197">
        <v>0</v>
      </c>
      <c r="S197" t="s">
        <v>540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492</v>
      </c>
    </row>
    <row r="198" spans="1:33" hidden="1" x14ac:dyDescent="0.2">
      <c r="A198" t="s">
        <v>493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Q198">
        <v>0</v>
      </c>
      <c r="R198">
        <v>0</v>
      </c>
      <c r="S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458</v>
      </c>
    </row>
    <row r="199" spans="1:33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Q199">
        <v>0</v>
      </c>
      <c r="R199">
        <v>0</v>
      </c>
      <c r="S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 t="s">
        <v>494</v>
      </c>
      <c r="AD199" t="s">
        <v>495</v>
      </c>
      <c r="AE199">
        <v>3</v>
      </c>
      <c r="AF199" s="31">
        <v>0.55982638888888892</v>
      </c>
      <c r="AG199">
        <v>2023</v>
      </c>
    </row>
    <row r="200" spans="1:33" hidden="1" x14ac:dyDescent="0.2">
      <c r="A200" t="s">
        <v>493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Q200">
        <v>0</v>
      </c>
      <c r="R200">
        <v>0</v>
      </c>
      <c r="S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458</v>
      </c>
    </row>
    <row r="201" spans="1:33" x14ac:dyDescent="0.2">
      <c r="A201">
        <v>43</v>
      </c>
      <c r="B201" t="s">
        <v>506</v>
      </c>
      <c r="C201">
        <v>1</v>
      </c>
      <c r="D201" t="s">
        <v>536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542</v>
      </c>
      <c r="N201">
        <v>0</v>
      </c>
      <c r="O201">
        <v>0</v>
      </c>
      <c r="Q201">
        <v>0</v>
      </c>
      <c r="R201">
        <v>0</v>
      </c>
      <c r="S201" t="s">
        <v>543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492</v>
      </c>
    </row>
    <row r="202" spans="1:33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Q202">
        <v>0</v>
      </c>
      <c r="R202">
        <v>0</v>
      </c>
      <c r="S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 t="s">
        <v>494</v>
      </c>
      <c r="AD202" t="s">
        <v>495</v>
      </c>
      <c r="AE202">
        <v>3</v>
      </c>
      <c r="AF202" s="31">
        <v>0.55983796296296295</v>
      </c>
      <c r="AG202">
        <v>2023</v>
      </c>
    </row>
    <row r="203" spans="1:33" hidden="1" x14ac:dyDescent="0.2">
      <c r="A203" t="s">
        <v>493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458</v>
      </c>
    </row>
    <row r="204" spans="1:33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Q204">
        <v>0</v>
      </c>
      <c r="R204">
        <v>0</v>
      </c>
      <c r="S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 t="s">
        <v>494</v>
      </c>
      <c r="AD204" t="s">
        <v>495</v>
      </c>
      <c r="AE204">
        <v>3</v>
      </c>
      <c r="AF204" s="31">
        <v>0.55984953703703699</v>
      </c>
      <c r="AG204">
        <v>2023</v>
      </c>
    </row>
    <row r="205" spans="1:33" hidden="1" x14ac:dyDescent="0.2">
      <c r="A205">
        <v>43</v>
      </c>
      <c r="B205" t="s">
        <v>506</v>
      </c>
      <c r="C205">
        <v>0</v>
      </c>
      <c r="D205" t="s">
        <v>544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545</v>
      </c>
      <c r="N205">
        <v>0</v>
      </c>
      <c r="O205">
        <v>0</v>
      </c>
      <c r="Q205">
        <v>0</v>
      </c>
      <c r="R205">
        <v>0</v>
      </c>
      <c r="S205" t="s">
        <v>546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492</v>
      </c>
    </row>
    <row r="206" spans="1:33" hidden="1" x14ac:dyDescent="0.2">
      <c r="A206" t="s">
        <v>493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Q206">
        <v>0</v>
      </c>
      <c r="R206">
        <v>0</v>
      </c>
      <c r="S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458</v>
      </c>
    </row>
    <row r="207" spans="1:33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Q207">
        <v>0</v>
      </c>
      <c r="R207">
        <v>0</v>
      </c>
      <c r="S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 t="s">
        <v>494</v>
      </c>
      <c r="AD207" t="s">
        <v>495</v>
      </c>
      <c r="AE207">
        <v>3</v>
      </c>
      <c r="AF207" s="31">
        <v>0.55986111111111114</v>
      </c>
      <c r="AG207">
        <v>2023</v>
      </c>
    </row>
    <row r="208" spans="1:33" hidden="1" x14ac:dyDescent="0.2">
      <c r="A208" t="s">
        <v>493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Q208">
        <v>0</v>
      </c>
      <c r="R208">
        <v>0</v>
      </c>
      <c r="S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458</v>
      </c>
    </row>
    <row r="209" spans="1:33" x14ac:dyDescent="0.2">
      <c r="A209">
        <v>43</v>
      </c>
      <c r="B209" t="s">
        <v>498</v>
      </c>
      <c r="C209">
        <v>1</v>
      </c>
      <c r="D209" t="s">
        <v>544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547</v>
      </c>
      <c r="N209">
        <v>0</v>
      </c>
      <c r="O209">
        <v>0</v>
      </c>
      <c r="Q209">
        <v>0</v>
      </c>
      <c r="R209">
        <v>0</v>
      </c>
      <c r="S209" t="s">
        <v>546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492</v>
      </c>
    </row>
    <row r="210" spans="1:33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Q210">
        <v>0</v>
      </c>
      <c r="R210">
        <v>0</v>
      </c>
      <c r="S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 t="s">
        <v>494</v>
      </c>
      <c r="AD210" t="s">
        <v>495</v>
      </c>
      <c r="AE210">
        <v>3</v>
      </c>
      <c r="AF210" s="31">
        <v>0.55987268518518518</v>
      </c>
      <c r="AG210">
        <v>2023</v>
      </c>
    </row>
    <row r="211" spans="1:33" hidden="1" x14ac:dyDescent="0.2">
      <c r="A211" t="s">
        <v>493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Q211">
        <v>0</v>
      </c>
      <c r="R211">
        <v>0</v>
      </c>
      <c r="S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458</v>
      </c>
    </row>
    <row r="212" spans="1:33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Q212">
        <v>0</v>
      </c>
      <c r="R212">
        <v>0</v>
      </c>
      <c r="S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 t="s">
        <v>494</v>
      </c>
      <c r="AD212" t="s">
        <v>495</v>
      </c>
      <c r="AE212">
        <v>3</v>
      </c>
      <c r="AF212" s="31">
        <v>0.55988425925925933</v>
      </c>
      <c r="AG212">
        <v>2023</v>
      </c>
    </row>
    <row r="213" spans="1:33" hidden="1" x14ac:dyDescent="0.2">
      <c r="A213">
        <v>43</v>
      </c>
      <c r="B213" t="s">
        <v>498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548</v>
      </c>
      <c r="N213">
        <v>0</v>
      </c>
      <c r="O213">
        <v>0</v>
      </c>
      <c r="Q213">
        <v>0</v>
      </c>
      <c r="R213">
        <v>0</v>
      </c>
      <c r="S213" t="s">
        <v>549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492</v>
      </c>
    </row>
    <row r="214" spans="1:33" hidden="1" x14ac:dyDescent="0.2">
      <c r="A214" t="s">
        <v>493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Q214">
        <v>0</v>
      </c>
      <c r="R214">
        <v>0</v>
      </c>
      <c r="S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458</v>
      </c>
    </row>
    <row r="215" spans="1:33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Q215">
        <v>0</v>
      </c>
      <c r="R215">
        <v>0</v>
      </c>
      <c r="S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 t="s">
        <v>494</v>
      </c>
      <c r="AD215" t="s">
        <v>495</v>
      </c>
      <c r="AE215">
        <v>3</v>
      </c>
      <c r="AF215" s="31">
        <v>0.55989583333333337</v>
      </c>
      <c r="AG215">
        <v>2023</v>
      </c>
    </row>
    <row r="216" spans="1:33" hidden="1" x14ac:dyDescent="0.2">
      <c r="A216" t="s">
        <v>493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458</v>
      </c>
    </row>
    <row r="217" spans="1:33" x14ac:dyDescent="0.2">
      <c r="A217">
        <v>43</v>
      </c>
      <c r="B217" t="s">
        <v>498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Q217">
        <v>0</v>
      </c>
      <c r="R217">
        <v>0</v>
      </c>
      <c r="S217" t="s">
        <v>550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492</v>
      </c>
    </row>
    <row r="218" spans="1:33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Q218">
        <v>0</v>
      </c>
      <c r="R218">
        <v>0</v>
      </c>
      <c r="S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 t="s">
        <v>494</v>
      </c>
      <c r="AD218" t="s">
        <v>495</v>
      </c>
      <c r="AE218">
        <v>3</v>
      </c>
      <c r="AF218" s="31">
        <v>0.55990740740740741</v>
      </c>
      <c r="AG218">
        <v>2023</v>
      </c>
    </row>
    <row r="219" spans="1:33" hidden="1" x14ac:dyDescent="0.2">
      <c r="A219" t="s">
        <v>493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Q219">
        <v>0</v>
      </c>
      <c r="R219">
        <v>0</v>
      </c>
      <c r="S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458</v>
      </c>
    </row>
    <row r="220" spans="1:33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Q220">
        <v>0</v>
      </c>
      <c r="R220">
        <v>0</v>
      </c>
      <c r="S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 t="s">
        <v>494</v>
      </c>
      <c r="AD220" t="s">
        <v>495</v>
      </c>
      <c r="AE220">
        <v>3</v>
      </c>
      <c r="AF220" s="31">
        <v>0.55991898148148145</v>
      </c>
      <c r="AG220">
        <v>2023</v>
      </c>
    </row>
    <row r="221" spans="1:33" hidden="1" x14ac:dyDescent="0.2">
      <c r="A221">
        <v>43</v>
      </c>
      <c r="B221" t="s">
        <v>498</v>
      </c>
      <c r="C221">
        <v>0</v>
      </c>
      <c r="D221" t="s">
        <v>536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Q221">
        <v>0</v>
      </c>
      <c r="R221">
        <v>0</v>
      </c>
      <c r="S221" t="s">
        <v>551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492</v>
      </c>
    </row>
    <row r="222" spans="1:33" hidden="1" x14ac:dyDescent="0.2">
      <c r="A222" t="s">
        <v>493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Q222">
        <v>0</v>
      </c>
      <c r="R222">
        <v>0</v>
      </c>
      <c r="S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458</v>
      </c>
    </row>
    <row r="223" spans="1:33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Q223">
        <v>0</v>
      </c>
      <c r="R223">
        <v>0</v>
      </c>
      <c r="S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 t="s">
        <v>494</v>
      </c>
      <c r="AD223" t="s">
        <v>495</v>
      </c>
      <c r="AE223">
        <v>3</v>
      </c>
      <c r="AF223" s="31">
        <v>0.55993055555555549</v>
      </c>
      <c r="AG223">
        <v>2023</v>
      </c>
    </row>
    <row r="224" spans="1:33" hidden="1" x14ac:dyDescent="0.2">
      <c r="A224" t="s">
        <v>493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Q224">
        <v>0</v>
      </c>
      <c r="R224">
        <v>0</v>
      </c>
      <c r="S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458</v>
      </c>
    </row>
    <row r="225" spans="1:33" x14ac:dyDescent="0.2">
      <c r="A225">
        <v>43</v>
      </c>
      <c r="B225" t="s">
        <v>506</v>
      </c>
      <c r="C225">
        <v>1</v>
      </c>
      <c r="D225" t="s">
        <v>544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Q225">
        <v>0</v>
      </c>
      <c r="R225">
        <v>0</v>
      </c>
      <c r="S225" s="32" t="s">
        <v>552</v>
      </c>
      <c r="T225" s="32"/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492</v>
      </c>
    </row>
    <row r="226" spans="1:33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Q226">
        <v>0</v>
      </c>
      <c r="R226">
        <v>0</v>
      </c>
      <c r="S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 t="s">
        <v>494</v>
      </c>
      <c r="AD226" t="s">
        <v>495</v>
      </c>
      <c r="AE226">
        <v>3</v>
      </c>
      <c r="AF226" s="31">
        <v>0.55994212962962964</v>
      </c>
      <c r="AG226">
        <v>2023</v>
      </c>
    </row>
    <row r="227" spans="1:33" hidden="1" x14ac:dyDescent="0.2">
      <c r="A227" t="s">
        <v>493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Q227">
        <v>0</v>
      </c>
      <c r="R227">
        <v>0</v>
      </c>
      <c r="S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458</v>
      </c>
    </row>
    <row r="228" spans="1:33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Q228">
        <v>0</v>
      </c>
      <c r="R228">
        <v>0</v>
      </c>
      <c r="S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 t="s">
        <v>494</v>
      </c>
      <c r="AD228" t="s">
        <v>495</v>
      </c>
      <c r="AE228">
        <v>3</v>
      </c>
      <c r="AF228" s="31">
        <v>0.55995370370370368</v>
      </c>
      <c r="AG228">
        <v>2023</v>
      </c>
    </row>
    <row r="229" spans="1:33" hidden="1" x14ac:dyDescent="0.2">
      <c r="A229">
        <v>43</v>
      </c>
      <c r="B229" t="s">
        <v>506</v>
      </c>
      <c r="C229">
        <v>0</v>
      </c>
      <c r="D229" t="s">
        <v>536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Q229">
        <v>0</v>
      </c>
      <c r="R229">
        <v>0</v>
      </c>
      <c r="S229" s="32" t="s">
        <v>553</v>
      </c>
      <c r="T229" s="32"/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492</v>
      </c>
    </row>
    <row r="230" spans="1:33" hidden="1" x14ac:dyDescent="0.2">
      <c r="A230" t="s">
        <v>493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Q230">
        <v>0</v>
      </c>
      <c r="R230">
        <v>0</v>
      </c>
      <c r="S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458</v>
      </c>
    </row>
    <row r="231" spans="1:33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Q231">
        <v>0</v>
      </c>
      <c r="R231">
        <v>0</v>
      </c>
      <c r="S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 t="s">
        <v>494</v>
      </c>
      <c r="AD231" t="s">
        <v>495</v>
      </c>
      <c r="AE231">
        <v>3</v>
      </c>
      <c r="AF231" s="31">
        <v>0.55996527777777783</v>
      </c>
      <c r="AG231">
        <v>2023</v>
      </c>
    </row>
    <row r="232" spans="1:33" hidden="1" x14ac:dyDescent="0.2">
      <c r="A232" t="s">
        <v>493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Q232">
        <v>0</v>
      </c>
      <c r="R232">
        <v>0</v>
      </c>
      <c r="S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458</v>
      </c>
    </row>
    <row r="233" spans="1:33" x14ac:dyDescent="0.2">
      <c r="A233">
        <v>43</v>
      </c>
      <c r="B233" t="s">
        <v>498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Q233">
        <v>0</v>
      </c>
      <c r="R233">
        <v>0</v>
      </c>
      <c r="S233" s="32" t="s">
        <v>553</v>
      </c>
      <c r="T233" s="32"/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492</v>
      </c>
    </row>
    <row r="234" spans="1:33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Q234">
        <v>0</v>
      </c>
      <c r="R234">
        <v>0</v>
      </c>
      <c r="S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 t="s">
        <v>494</v>
      </c>
      <c r="AD234" t="s">
        <v>495</v>
      </c>
      <c r="AE234">
        <v>3</v>
      </c>
      <c r="AF234" s="31">
        <v>0.55997685185185186</v>
      </c>
      <c r="AG234">
        <v>2023</v>
      </c>
    </row>
    <row r="235" spans="1:33" hidden="1" x14ac:dyDescent="0.2">
      <c r="A235" t="s">
        <v>493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Q235">
        <v>0</v>
      </c>
      <c r="R235">
        <v>0</v>
      </c>
      <c r="S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458</v>
      </c>
    </row>
    <row r="236" spans="1:33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 t="s">
        <v>494</v>
      </c>
      <c r="AD236" t="s">
        <v>495</v>
      </c>
      <c r="AE236">
        <v>3</v>
      </c>
      <c r="AF236" s="31">
        <v>0.5599884259259259</v>
      </c>
      <c r="AG236">
        <v>2023</v>
      </c>
    </row>
    <row r="237" spans="1:33" hidden="1" x14ac:dyDescent="0.2">
      <c r="A237">
        <v>43</v>
      </c>
      <c r="B237" t="s">
        <v>498</v>
      </c>
      <c r="C237">
        <v>0</v>
      </c>
      <c r="D237" t="s">
        <v>538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Q237">
        <v>0</v>
      </c>
      <c r="R237">
        <v>0</v>
      </c>
      <c r="S237" t="s">
        <v>554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492</v>
      </c>
    </row>
    <row r="238" spans="1:33" hidden="1" x14ac:dyDescent="0.2">
      <c r="A238" t="s">
        <v>493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Q238">
        <v>0</v>
      </c>
      <c r="R238">
        <v>0</v>
      </c>
      <c r="S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458</v>
      </c>
    </row>
    <row r="239" spans="1:33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Q239">
        <v>0</v>
      </c>
      <c r="R239">
        <v>0</v>
      </c>
      <c r="S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 t="s">
        <v>494</v>
      </c>
      <c r="AD239" t="s">
        <v>495</v>
      </c>
      <c r="AE239">
        <v>3</v>
      </c>
      <c r="AF239" s="31">
        <v>0.55999999999999994</v>
      </c>
      <c r="AG239">
        <v>2023</v>
      </c>
    </row>
    <row r="240" spans="1:33" hidden="1" x14ac:dyDescent="0.2">
      <c r="A240" t="s">
        <v>493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Q240">
        <v>0</v>
      </c>
      <c r="R240">
        <v>0</v>
      </c>
      <c r="S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458</v>
      </c>
    </row>
    <row r="241" spans="1:33" x14ac:dyDescent="0.2">
      <c r="A241">
        <v>43</v>
      </c>
      <c r="B241" t="s">
        <v>506</v>
      </c>
      <c r="C241">
        <v>1</v>
      </c>
      <c r="D241" t="s">
        <v>536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Q241">
        <v>0</v>
      </c>
      <c r="R241">
        <v>0</v>
      </c>
      <c r="S241" t="s">
        <v>555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492</v>
      </c>
    </row>
    <row r="242" spans="1:33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 t="s">
        <v>494</v>
      </c>
      <c r="AD242" t="s">
        <v>495</v>
      </c>
      <c r="AE242">
        <v>3</v>
      </c>
      <c r="AF242" s="31">
        <v>0.56001157407407409</v>
      </c>
      <c r="AG242">
        <v>2023</v>
      </c>
    </row>
    <row r="243" spans="1:33" hidden="1" x14ac:dyDescent="0.2">
      <c r="A243" t="s">
        <v>493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Q243">
        <v>0</v>
      </c>
      <c r="R243">
        <v>0</v>
      </c>
      <c r="S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458</v>
      </c>
    </row>
    <row r="244" spans="1:33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Q244">
        <v>0</v>
      </c>
      <c r="R244">
        <v>0</v>
      </c>
      <c r="S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 t="s">
        <v>494</v>
      </c>
      <c r="AD244" t="s">
        <v>495</v>
      </c>
      <c r="AE244">
        <v>3</v>
      </c>
      <c r="AF244" s="31">
        <v>0.56002314814814813</v>
      </c>
      <c r="AG244">
        <v>2023</v>
      </c>
    </row>
    <row r="245" spans="1:33" hidden="1" x14ac:dyDescent="0.2">
      <c r="A245">
        <v>43</v>
      </c>
      <c r="B245" t="s">
        <v>506</v>
      </c>
      <c r="C245">
        <v>0</v>
      </c>
      <c r="D245" t="s">
        <v>536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Q245">
        <v>0</v>
      </c>
      <c r="R245">
        <v>0</v>
      </c>
      <c r="S245" t="s">
        <v>556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492</v>
      </c>
    </row>
    <row r="246" spans="1:33" hidden="1" x14ac:dyDescent="0.2">
      <c r="A246" t="s">
        <v>493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Q246">
        <v>0</v>
      </c>
      <c r="R246">
        <v>0</v>
      </c>
      <c r="S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458</v>
      </c>
    </row>
    <row r="247" spans="1:33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Q247">
        <v>0</v>
      </c>
      <c r="R247">
        <v>0</v>
      </c>
      <c r="S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 t="s">
        <v>494</v>
      </c>
      <c r="AD247" t="s">
        <v>495</v>
      </c>
      <c r="AE247">
        <v>3</v>
      </c>
      <c r="AF247" s="31">
        <v>0.56003472222222228</v>
      </c>
      <c r="AG247">
        <v>2023</v>
      </c>
    </row>
    <row r="248" spans="1:33" hidden="1" x14ac:dyDescent="0.2">
      <c r="A248" t="s">
        <v>493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Q248">
        <v>0</v>
      </c>
      <c r="R248">
        <v>0</v>
      </c>
      <c r="S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458</v>
      </c>
    </row>
    <row r="249" spans="1:33" x14ac:dyDescent="0.2">
      <c r="A249">
        <v>43</v>
      </c>
      <c r="B249" t="s">
        <v>506</v>
      </c>
      <c r="C249">
        <v>1</v>
      </c>
      <c r="D249" t="s">
        <v>536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Q249">
        <v>0</v>
      </c>
      <c r="R249">
        <v>0</v>
      </c>
      <c r="S249" t="s">
        <v>556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492</v>
      </c>
    </row>
    <row r="250" spans="1:33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Q250">
        <v>0</v>
      </c>
      <c r="R250">
        <v>0</v>
      </c>
      <c r="S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 t="s">
        <v>494</v>
      </c>
      <c r="AD250" t="s">
        <v>495</v>
      </c>
      <c r="AE250">
        <v>3</v>
      </c>
      <c r="AF250" s="31">
        <v>0.56004629629629632</v>
      </c>
      <c r="AG250">
        <v>2023</v>
      </c>
    </row>
    <row r="251" spans="1:33" hidden="1" x14ac:dyDescent="0.2">
      <c r="A251" t="s">
        <v>493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Q251">
        <v>0</v>
      </c>
      <c r="R251">
        <v>0</v>
      </c>
      <c r="S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458</v>
      </c>
    </row>
    <row r="252" spans="1:33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Q252">
        <v>0</v>
      </c>
      <c r="R252">
        <v>0</v>
      </c>
      <c r="S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 t="s">
        <v>494</v>
      </c>
      <c r="AD252" t="s">
        <v>495</v>
      </c>
      <c r="AE252">
        <v>3</v>
      </c>
      <c r="AF252" s="31">
        <v>0.56005787037037036</v>
      </c>
      <c r="AG252">
        <v>2023</v>
      </c>
    </row>
    <row r="253" spans="1:33" hidden="1" x14ac:dyDescent="0.2">
      <c r="A253">
        <v>43</v>
      </c>
      <c r="B253" t="s">
        <v>506</v>
      </c>
      <c r="C253">
        <v>0</v>
      </c>
      <c r="D253" t="s">
        <v>538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Q253">
        <v>0</v>
      </c>
      <c r="R253">
        <v>0</v>
      </c>
      <c r="S253" t="s">
        <v>557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492</v>
      </c>
    </row>
    <row r="254" spans="1:33" hidden="1" x14ac:dyDescent="0.2">
      <c r="A254" t="s">
        <v>493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Q254">
        <v>0</v>
      </c>
      <c r="R254">
        <v>0</v>
      </c>
      <c r="S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458</v>
      </c>
    </row>
    <row r="255" spans="1:33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Q255">
        <v>0</v>
      </c>
      <c r="R255">
        <v>0</v>
      </c>
      <c r="S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 t="s">
        <v>494</v>
      </c>
      <c r="AD255" t="s">
        <v>495</v>
      </c>
      <c r="AE255">
        <v>3</v>
      </c>
      <c r="AF255" s="31">
        <v>0.5600694444444444</v>
      </c>
      <c r="AG255">
        <v>2023</v>
      </c>
    </row>
    <row r="256" spans="1:33" hidden="1" x14ac:dyDescent="0.2">
      <c r="A256" t="s">
        <v>493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Q256">
        <v>0</v>
      </c>
      <c r="R256">
        <v>0</v>
      </c>
      <c r="S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458</v>
      </c>
    </row>
    <row r="257" spans="1:33" x14ac:dyDescent="0.2">
      <c r="A257">
        <v>43</v>
      </c>
      <c r="B257" t="s">
        <v>506</v>
      </c>
      <c r="C257">
        <v>1</v>
      </c>
      <c r="D257" t="s">
        <v>536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558</v>
      </c>
      <c r="N257">
        <v>0</v>
      </c>
      <c r="O257">
        <v>0</v>
      </c>
      <c r="Q257">
        <v>0</v>
      </c>
      <c r="R257">
        <v>0</v>
      </c>
      <c r="S257" t="s">
        <v>557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492</v>
      </c>
    </row>
    <row r="258" spans="1:33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Q258">
        <v>0</v>
      </c>
      <c r="R258">
        <v>0</v>
      </c>
      <c r="S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 t="s">
        <v>494</v>
      </c>
      <c r="AD258" t="s">
        <v>495</v>
      </c>
      <c r="AE258">
        <v>3</v>
      </c>
      <c r="AF258" s="31">
        <v>0.56008101851851855</v>
      </c>
      <c r="AG258">
        <v>2023</v>
      </c>
    </row>
    <row r="259" spans="1:33" hidden="1" x14ac:dyDescent="0.2">
      <c r="A259" t="s">
        <v>493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Q259">
        <v>0</v>
      </c>
      <c r="R259">
        <v>0</v>
      </c>
      <c r="S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458</v>
      </c>
    </row>
    <row r="260" spans="1:33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Q260">
        <v>0</v>
      </c>
      <c r="R260">
        <v>0</v>
      </c>
      <c r="S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 t="s">
        <v>494</v>
      </c>
      <c r="AD260" t="s">
        <v>495</v>
      </c>
      <c r="AE260">
        <v>3</v>
      </c>
      <c r="AF260" s="31">
        <v>0.56009259259259259</v>
      </c>
      <c r="AG260">
        <v>2023</v>
      </c>
    </row>
    <row r="261" spans="1:33" hidden="1" x14ac:dyDescent="0.2">
      <c r="A261">
        <v>43</v>
      </c>
      <c r="B261" t="s">
        <v>506</v>
      </c>
      <c r="C261">
        <v>0</v>
      </c>
      <c r="D261" t="s">
        <v>544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559</v>
      </c>
      <c r="N261">
        <v>0</v>
      </c>
      <c r="O261">
        <v>0</v>
      </c>
      <c r="Q261">
        <v>0</v>
      </c>
      <c r="R261">
        <v>0</v>
      </c>
      <c r="S261" t="s">
        <v>560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492</v>
      </c>
    </row>
    <row r="262" spans="1:33" hidden="1" x14ac:dyDescent="0.2">
      <c r="A262" t="s">
        <v>493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Q262">
        <v>0</v>
      </c>
      <c r="R262">
        <v>0</v>
      </c>
      <c r="S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458</v>
      </c>
    </row>
    <row r="263" spans="1:33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Q263">
        <v>0</v>
      </c>
      <c r="R263">
        <v>0</v>
      </c>
      <c r="S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 t="s">
        <v>494</v>
      </c>
      <c r="AD263" t="s">
        <v>495</v>
      </c>
      <c r="AE263">
        <v>3</v>
      </c>
      <c r="AF263" s="31">
        <v>0.56010416666666674</v>
      </c>
      <c r="AG263">
        <v>2023</v>
      </c>
    </row>
    <row r="264" spans="1:33" hidden="1" x14ac:dyDescent="0.2">
      <c r="A264" t="s">
        <v>493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Q264">
        <v>0</v>
      </c>
      <c r="R264">
        <v>0</v>
      </c>
      <c r="S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458</v>
      </c>
    </row>
    <row r="265" spans="1:33" x14ac:dyDescent="0.2">
      <c r="A265" s="33">
        <v>42</v>
      </c>
      <c r="B265" t="s">
        <v>561</v>
      </c>
      <c r="C265">
        <v>1</v>
      </c>
      <c r="D265" t="s">
        <v>536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562</v>
      </c>
      <c r="N265">
        <v>0</v>
      </c>
      <c r="O265">
        <v>0</v>
      </c>
      <c r="Q265">
        <v>0</v>
      </c>
      <c r="R265">
        <v>0</v>
      </c>
      <c r="S265" t="s">
        <v>563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492</v>
      </c>
    </row>
    <row r="266" spans="1:33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Q266">
        <v>0</v>
      </c>
      <c r="R266">
        <v>0</v>
      </c>
      <c r="S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 t="s">
        <v>494</v>
      </c>
      <c r="AD266" t="s">
        <v>495</v>
      </c>
      <c r="AE266">
        <v>3</v>
      </c>
      <c r="AF266" s="34">
        <v>0.56011574074074078</v>
      </c>
      <c r="AG266">
        <v>2023</v>
      </c>
    </row>
    <row r="267" spans="1:33" hidden="1" x14ac:dyDescent="0.2">
      <c r="A267" t="s">
        <v>493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Q267">
        <v>0</v>
      </c>
      <c r="R267">
        <v>0</v>
      </c>
      <c r="S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458</v>
      </c>
    </row>
    <row r="268" spans="1:33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Q268">
        <v>0</v>
      </c>
      <c r="R268">
        <v>0</v>
      </c>
      <c r="S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 t="s">
        <v>494</v>
      </c>
      <c r="AD268" t="s">
        <v>495</v>
      </c>
      <c r="AE268">
        <v>3</v>
      </c>
      <c r="AF268" s="31">
        <v>0.56012731481481481</v>
      </c>
      <c r="AG268">
        <v>2023</v>
      </c>
    </row>
    <row r="269" spans="1:33" hidden="1" x14ac:dyDescent="0.2">
      <c r="A269">
        <v>42</v>
      </c>
      <c r="B269" t="s">
        <v>561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564</v>
      </c>
      <c r="N269">
        <v>0</v>
      </c>
      <c r="O269">
        <v>0</v>
      </c>
      <c r="Q269">
        <v>0</v>
      </c>
      <c r="R269">
        <v>0</v>
      </c>
      <c r="S269" t="s">
        <v>563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492</v>
      </c>
    </row>
    <row r="270" spans="1:33" hidden="1" x14ac:dyDescent="0.2">
      <c r="A270" t="s">
        <v>493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Q270">
        <v>0</v>
      </c>
      <c r="R270">
        <v>0</v>
      </c>
      <c r="S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458</v>
      </c>
    </row>
    <row r="271" spans="1:33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Q271">
        <v>0</v>
      </c>
      <c r="R271">
        <v>0</v>
      </c>
      <c r="S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 t="s">
        <v>494</v>
      </c>
      <c r="AD271" t="s">
        <v>495</v>
      </c>
      <c r="AE271">
        <v>3</v>
      </c>
      <c r="AF271" s="31">
        <v>0.56013888888888885</v>
      </c>
      <c r="AG271">
        <v>2023</v>
      </c>
    </row>
    <row r="272" spans="1:33" x14ac:dyDescent="0.2">
      <c r="A272">
        <v>14</v>
      </c>
      <c r="B272" t="s">
        <v>569</v>
      </c>
      <c r="C272">
        <v>1</v>
      </c>
      <c r="D272" t="s">
        <v>570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571</v>
      </c>
      <c r="N272">
        <v>0</v>
      </c>
      <c r="O272">
        <v>0</v>
      </c>
      <c r="Q272">
        <v>0</v>
      </c>
      <c r="R272">
        <v>0</v>
      </c>
      <c r="S272" t="s">
        <v>572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459</v>
      </c>
    </row>
    <row r="273" spans="1:32" hidden="1" x14ac:dyDescent="0.2">
      <c r="A273" t="s">
        <v>573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 t="s">
        <v>458</v>
      </c>
    </row>
    <row r="274" spans="1:32" hidden="1" x14ac:dyDescent="0.2">
      <c r="A274" t="s">
        <v>574</v>
      </c>
      <c r="B274" t="s">
        <v>575</v>
      </c>
      <c r="C274" t="s">
        <v>576</v>
      </c>
      <c r="D274" t="s">
        <v>577</v>
      </c>
      <c r="E274">
        <v>1.837901</v>
      </c>
    </row>
    <row r="275" spans="1:32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578</v>
      </c>
      <c r="AC275" t="s">
        <v>495</v>
      </c>
      <c r="AD275">
        <v>4</v>
      </c>
      <c r="AE275" s="31">
        <v>0.35936342592592596</v>
      </c>
      <c r="AF275">
        <v>2023</v>
      </c>
    </row>
    <row r="276" spans="1:32" hidden="1" x14ac:dyDescent="0.2">
      <c r="A276">
        <v>14</v>
      </c>
      <c r="B276" t="s">
        <v>569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579</v>
      </c>
      <c r="N276">
        <v>0</v>
      </c>
      <c r="O276">
        <v>0</v>
      </c>
      <c r="Q276">
        <v>0</v>
      </c>
      <c r="R276">
        <v>0</v>
      </c>
      <c r="S276" t="s">
        <v>572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 t="s">
        <v>459</v>
      </c>
    </row>
    <row r="277" spans="1:32" hidden="1" x14ac:dyDescent="0.2">
      <c r="A277" t="s">
        <v>573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458</v>
      </c>
    </row>
    <row r="278" spans="1:32" hidden="1" x14ac:dyDescent="0.2">
      <c r="A278" t="s">
        <v>574</v>
      </c>
      <c r="B278" t="s">
        <v>580</v>
      </c>
      <c r="C278" t="s">
        <v>576</v>
      </c>
      <c r="D278" t="s">
        <v>577</v>
      </c>
      <c r="E278">
        <v>1.837261</v>
      </c>
    </row>
    <row r="279" spans="1:32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578</v>
      </c>
      <c r="AC279" t="s">
        <v>495</v>
      </c>
      <c r="AD279">
        <v>4</v>
      </c>
      <c r="AE279" s="31">
        <v>0.359375</v>
      </c>
      <c r="AF279">
        <v>2023</v>
      </c>
    </row>
    <row r="280" spans="1:32" x14ac:dyDescent="0.2">
      <c r="A280">
        <v>14</v>
      </c>
      <c r="B280" t="s">
        <v>569</v>
      </c>
      <c r="C280">
        <v>1</v>
      </c>
      <c r="D280" t="s">
        <v>581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582</v>
      </c>
      <c r="N280">
        <v>0</v>
      </c>
      <c r="O280">
        <v>0</v>
      </c>
      <c r="Q280">
        <v>0</v>
      </c>
      <c r="R280">
        <v>0</v>
      </c>
      <c r="S280" t="s">
        <v>572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 t="s">
        <v>459</v>
      </c>
    </row>
    <row r="281" spans="1:32" hidden="1" x14ac:dyDescent="0.2">
      <c r="A281" t="s">
        <v>573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458</v>
      </c>
    </row>
    <row r="282" spans="1:32" hidden="1" x14ac:dyDescent="0.2">
      <c r="A282" t="s">
        <v>574</v>
      </c>
      <c r="B282" t="s">
        <v>583</v>
      </c>
      <c r="C282" t="s">
        <v>576</v>
      </c>
      <c r="D282" t="s">
        <v>577</v>
      </c>
      <c r="E282">
        <v>1.8364339999999999</v>
      </c>
    </row>
    <row r="283" spans="1:32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578</v>
      </c>
      <c r="AC283" t="s">
        <v>495</v>
      </c>
      <c r="AD283">
        <v>4</v>
      </c>
      <c r="AE283" s="31">
        <v>0.35938657407407404</v>
      </c>
      <c r="AF283">
        <v>2023</v>
      </c>
    </row>
    <row r="284" spans="1:32" hidden="1" x14ac:dyDescent="0.2">
      <c r="A284">
        <v>14</v>
      </c>
      <c r="B284" t="s">
        <v>569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584</v>
      </c>
      <c r="N284">
        <v>0</v>
      </c>
      <c r="O284">
        <v>0</v>
      </c>
      <c r="Q284">
        <v>0</v>
      </c>
      <c r="R284">
        <v>0</v>
      </c>
      <c r="S284" t="s">
        <v>572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 t="s">
        <v>459</v>
      </c>
    </row>
    <row r="285" spans="1:32" hidden="1" x14ac:dyDescent="0.2">
      <c r="A285" t="s">
        <v>573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 t="s">
        <v>458</v>
      </c>
    </row>
    <row r="286" spans="1:32" hidden="1" x14ac:dyDescent="0.2">
      <c r="A286" t="s">
        <v>574</v>
      </c>
      <c r="B286" t="s">
        <v>585</v>
      </c>
      <c r="C286" t="s">
        <v>576</v>
      </c>
      <c r="D286" t="s">
        <v>577</v>
      </c>
      <c r="E286">
        <v>1.835782</v>
      </c>
    </row>
    <row r="287" spans="1:32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578</v>
      </c>
      <c r="AC287" t="s">
        <v>495</v>
      </c>
      <c r="AD287">
        <v>4</v>
      </c>
      <c r="AE287" s="31">
        <v>0.35939814814814813</v>
      </c>
      <c r="AF287">
        <v>2023</v>
      </c>
    </row>
    <row r="288" spans="1:32" x14ac:dyDescent="0.2">
      <c r="A288">
        <v>14</v>
      </c>
      <c r="B288" t="s">
        <v>569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586</v>
      </c>
      <c r="N288">
        <v>0</v>
      </c>
      <c r="O288">
        <v>0</v>
      </c>
      <c r="Q288">
        <v>0</v>
      </c>
      <c r="R288">
        <v>0</v>
      </c>
      <c r="S288" t="s">
        <v>572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 t="s">
        <v>459</v>
      </c>
    </row>
    <row r="289" spans="1:32" hidden="1" x14ac:dyDescent="0.2">
      <c r="A289" t="s">
        <v>573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458</v>
      </c>
    </row>
    <row r="290" spans="1:32" hidden="1" x14ac:dyDescent="0.2">
      <c r="A290" t="s">
        <v>574</v>
      </c>
      <c r="B290" t="s">
        <v>587</v>
      </c>
      <c r="C290" t="s">
        <v>576</v>
      </c>
      <c r="D290" t="s">
        <v>577</v>
      </c>
      <c r="E290">
        <v>1.835834</v>
      </c>
    </row>
    <row r="291" spans="1:32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578</v>
      </c>
      <c r="AC291" t="s">
        <v>495</v>
      </c>
      <c r="AD291">
        <v>4</v>
      </c>
      <c r="AE291" s="31">
        <v>0.35940972222222217</v>
      </c>
      <c r="AF291">
        <v>2023</v>
      </c>
    </row>
    <row r="292" spans="1:32" hidden="1" x14ac:dyDescent="0.2">
      <c r="A292">
        <v>14</v>
      </c>
      <c r="B292" t="s">
        <v>569</v>
      </c>
      <c r="C292">
        <v>0</v>
      </c>
      <c r="D292" t="s">
        <v>570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588</v>
      </c>
      <c r="N292">
        <v>0</v>
      </c>
      <c r="O292">
        <v>0</v>
      </c>
      <c r="Q292">
        <v>0</v>
      </c>
      <c r="R292">
        <v>0</v>
      </c>
      <c r="S292" t="s">
        <v>589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 t="s">
        <v>459</v>
      </c>
    </row>
    <row r="293" spans="1:32" hidden="1" x14ac:dyDescent="0.2">
      <c r="A293" t="s">
        <v>573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 t="s">
        <v>458</v>
      </c>
    </row>
    <row r="294" spans="1:32" hidden="1" x14ac:dyDescent="0.2">
      <c r="A294" t="s">
        <v>574</v>
      </c>
      <c r="B294" t="s">
        <v>575</v>
      </c>
      <c r="C294" t="s">
        <v>576</v>
      </c>
      <c r="D294" t="s">
        <v>577</v>
      </c>
      <c r="E294">
        <v>1.836519</v>
      </c>
    </row>
    <row r="295" spans="1:32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578</v>
      </c>
      <c r="AC295" t="s">
        <v>495</v>
      </c>
      <c r="AD295">
        <v>4</v>
      </c>
      <c r="AE295" s="31">
        <v>0.35942129629629632</v>
      </c>
      <c r="AF295">
        <v>2023</v>
      </c>
    </row>
    <row r="296" spans="1:32" x14ac:dyDescent="0.2">
      <c r="A296">
        <v>14</v>
      </c>
      <c r="B296" t="s">
        <v>569</v>
      </c>
      <c r="C296">
        <v>1</v>
      </c>
      <c r="D296" t="s">
        <v>590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591</v>
      </c>
      <c r="N296">
        <v>0</v>
      </c>
      <c r="O296">
        <v>0</v>
      </c>
      <c r="Q296">
        <v>0</v>
      </c>
      <c r="R296">
        <v>0</v>
      </c>
      <c r="S296" t="s">
        <v>572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 t="s">
        <v>459</v>
      </c>
    </row>
    <row r="297" spans="1:32" hidden="1" x14ac:dyDescent="0.2">
      <c r="A297" t="s">
        <v>573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458</v>
      </c>
    </row>
    <row r="298" spans="1:32" hidden="1" x14ac:dyDescent="0.2">
      <c r="A298" t="s">
        <v>574</v>
      </c>
      <c r="B298" t="s">
        <v>592</v>
      </c>
      <c r="C298" t="s">
        <v>576</v>
      </c>
      <c r="D298" t="s">
        <v>577</v>
      </c>
      <c r="E298">
        <v>1.837056</v>
      </c>
    </row>
    <row r="299" spans="1:32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578</v>
      </c>
      <c r="AC299" t="s">
        <v>495</v>
      </c>
      <c r="AD299">
        <v>4</v>
      </c>
      <c r="AE299" s="31">
        <v>0.35943287037037036</v>
      </c>
      <c r="AF299">
        <v>2023</v>
      </c>
    </row>
    <row r="300" spans="1:32" hidden="1" x14ac:dyDescent="0.2">
      <c r="A300">
        <v>14</v>
      </c>
      <c r="B300" t="s">
        <v>569</v>
      </c>
      <c r="C300">
        <v>0</v>
      </c>
      <c r="D300" t="s">
        <v>593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594</v>
      </c>
      <c r="N300">
        <v>0</v>
      </c>
      <c r="O300">
        <v>0</v>
      </c>
      <c r="Q300">
        <v>0</v>
      </c>
      <c r="R300">
        <v>0</v>
      </c>
      <c r="S300" t="s">
        <v>572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459</v>
      </c>
    </row>
    <row r="301" spans="1:32" hidden="1" x14ac:dyDescent="0.2">
      <c r="A301" t="s">
        <v>573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458</v>
      </c>
    </row>
    <row r="302" spans="1:32" hidden="1" x14ac:dyDescent="0.2">
      <c r="A302" t="s">
        <v>574</v>
      </c>
      <c r="B302" t="s">
        <v>595</v>
      </c>
      <c r="C302" t="s">
        <v>576</v>
      </c>
      <c r="D302" t="s">
        <v>577</v>
      </c>
      <c r="E302">
        <v>1.837459</v>
      </c>
    </row>
    <row r="303" spans="1:32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578</v>
      </c>
      <c r="AC303" t="s">
        <v>495</v>
      </c>
      <c r="AD303">
        <v>4</v>
      </c>
      <c r="AE303" s="31">
        <v>0.35944444444444446</v>
      </c>
      <c r="AF303">
        <v>2023</v>
      </c>
    </row>
    <row r="304" spans="1:32" x14ac:dyDescent="0.2">
      <c r="A304">
        <v>14</v>
      </c>
      <c r="B304" t="s">
        <v>569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596</v>
      </c>
      <c r="N304">
        <v>0</v>
      </c>
      <c r="O304">
        <v>0</v>
      </c>
      <c r="Q304">
        <v>0</v>
      </c>
      <c r="R304">
        <v>0</v>
      </c>
      <c r="S304" t="s">
        <v>572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459</v>
      </c>
    </row>
    <row r="305" spans="1:32" hidden="1" x14ac:dyDescent="0.2">
      <c r="A305" t="s">
        <v>573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458</v>
      </c>
    </row>
    <row r="306" spans="1:32" hidden="1" x14ac:dyDescent="0.2">
      <c r="A306" t="s">
        <v>574</v>
      </c>
      <c r="B306" t="s">
        <v>580</v>
      </c>
      <c r="C306" t="s">
        <v>576</v>
      </c>
      <c r="D306" t="s">
        <v>577</v>
      </c>
      <c r="E306">
        <v>1.836973</v>
      </c>
    </row>
    <row r="307" spans="1:32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578</v>
      </c>
      <c r="AC307" t="s">
        <v>495</v>
      </c>
      <c r="AD307">
        <v>4</v>
      </c>
      <c r="AE307" s="31">
        <v>0.35945601851851849</v>
      </c>
      <c r="AF307">
        <v>2023</v>
      </c>
    </row>
    <row r="308" spans="1:32" hidden="1" x14ac:dyDescent="0.2">
      <c r="A308">
        <v>14</v>
      </c>
      <c r="B308" t="s">
        <v>569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597</v>
      </c>
      <c r="N308">
        <v>0</v>
      </c>
      <c r="O308">
        <v>0</v>
      </c>
      <c r="Q308">
        <v>0</v>
      </c>
      <c r="R308">
        <v>0</v>
      </c>
      <c r="S308" t="s">
        <v>572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 t="s">
        <v>459</v>
      </c>
    </row>
    <row r="309" spans="1:32" hidden="1" x14ac:dyDescent="0.2">
      <c r="A309" t="s">
        <v>573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 t="s">
        <v>458</v>
      </c>
    </row>
    <row r="310" spans="1:32" hidden="1" x14ac:dyDescent="0.2">
      <c r="A310" t="s">
        <v>574</v>
      </c>
      <c r="B310" t="s">
        <v>598</v>
      </c>
      <c r="C310" t="s">
        <v>576</v>
      </c>
      <c r="D310" t="s">
        <v>577</v>
      </c>
      <c r="E310">
        <v>1.8366089999999999</v>
      </c>
    </row>
    <row r="311" spans="1:32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578</v>
      </c>
      <c r="AC311" t="s">
        <v>495</v>
      </c>
      <c r="AD311">
        <v>4</v>
      </c>
      <c r="AE311" s="31">
        <v>0.35946759259259259</v>
      </c>
      <c r="AF311">
        <v>2023</v>
      </c>
    </row>
    <row r="312" spans="1:32" x14ac:dyDescent="0.2">
      <c r="A312">
        <v>14</v>
      </c>
      <c r="B312" t="s">
        <v>569</v>
      </c>
      <c r="C312">
        <v>1</v>
      </c>
      <c r="D312" t="s">
        <v>599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600</v>
      </c>
      <c r="N312">
        <v>0</v>
      </c>
      <c r="O312">
        <v>0</v>
      </c>
      <c r="Q312">
        <v>0</v>
      </c>
      <c r="R312">
        <v>0</v>
      </c>
      <c r="S312" t="s">
        <v>572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 t="s">
        <v>459</v>
      </c>
    </row>
    <row r="313" spans="1:32" hidden="1" x14ac:dyDescent="0.2">
      <c r="A313" t="s">
        <v>573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458</v>
      </c>
    </row>
    <row r="314" spans="1:32" hidden="1" x14ac:dyDescent="0.2">
      <c r="A314" t="s">
        <v>574</v>
      </c>
      <c r="B314" t="s">
        <v>601</v>
      </c>
      <c r="C314" t="s">
        <v>576</v>
      </c>
      <c r="D314" t="s">
        <v>577</v>
      </c>
      <c r="E314">
        <v>1.835815</v>
      </c>
    </row>
    <row r="315" spans="1:32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Q315">
        <v>1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578</v>
      </c>
      <c r="AC315" t="s">
        <v>495</v>
      </c>
      <c r="AD315">
        <v>4</v>
      </c>
      <c r="AE315" s="31">
        <v>0.35947916666666663</v>
      </c>
      <c r="AF315">
        <v>2023</v>
      </c>
    </row>
    <row r="316" spans="1:32" hidden="1" x14ac:dyDescent="0.2">
      <c r="A316">
        <v>14</v>
      </c>
      <c r="B316" t="s">
        <v>569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602</v>
      </c>
      <c r="N316">
        <v>0</v>
      </c>
      <c r="O316">
        <v>0</v>
      </c>
      <c r="Q316">
        <v>0</v>
      </c>
      <c r="R316">
        <v>0</v>
      </c>
      <c r="S316" t="s">
        <v>572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 t="s">
        <v>459</v>
      </c>
    </row>
    <row r="317" spans="1:32" hidden="1" x14ac:dyDescent="0.2">
      <c r="A317" t="s">
        <v>573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 t="s">
        <v>458</v>
      </c>
    </row>
    <row r="318" spans="1:32" hidden="1" x14ac:dyDescent="0.2">
      <c r="A318" t="s">
        <v>574</v>
      </c>
      <c r="B318" t="s">
        <v>603</v>
      </c>
      <c r="C318" t="s">
        <v>576</v>
      </c>
      <c r="D318" t="s">
        <v>577</v>
      </c>
      <c r="E318">
        <v>1.83612</v>
      </c>
    </row>
    <row r="319" spans="1:32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Q319">
        <v>1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578</v>
      </c>
      <c r="AC319" t="s">
        <v>495</v>
      </c>
      <c r="AD319">
        <v>4</v>
      </c>
      <c r="AE319" s="31">
        <v>0.35949074074074078</v>
      </c>
      <c r="AF319">
        <v>2023</v>
      </c>
    </row>
    <row r="320" spans="1:32" x14ac:dyDescent="0.2">
      <c r="A320">
        <v>13</v>
      </c>
      <c r="B320" t="s">
        <v>569</v>
      </c>
      <c r="C320">
        <v>1</v>
      </c>
      <c r="D320" t="s">
        <v>593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604</v>
      </c>
      <c r="N320">
        <v>0</v>
      </c>
      <c r="O320">
        <v>0</v>
      </c>
      <c r="Q320">
        <v>0</v>
      </c>
      <c r="R320">
        <v>0</v>
      </c>
      <c r="S320" t="s">
        <v>572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459</v>
      </c>
    </row>
    <row r="321" spans="1:32" hidden="1" x14ac:dyDescent="0.2">
      <c r="A321" t="s">
        <v>573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 t="s">
        <v>458</v>
      </c>
    </row>
    <row r="322" spans="1:32" hidden="1" x14ac:dyDescent="0.2">
      <c r="A322" t="s">
        <v>574</v>
      </c>
      <c r="B322" t="s">
        <v>595</v>
      </c>
      <c r="C322" t="s">
        <v>576</v>
      </c>
      <c r="D322" t="s">
        <v>577</v>
      </c>
      <c r="E322">
        <v>1.8364929999999999</v>
      </c>
    </row>
    <row r="323" spans="1:32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578</v>
      </c>
      <c r="AC323" t="s">
        <v>495</v>
      </c>
      <c r="AD323">
        <v>4</v>
      </c>
      <c r="AE323" s="31">
        <v>0.35950231481481482</v>
      </c>
      <c r="AF323">
        <v>2023</v>
      </c>
    </row>
    <row r="324" spans="1:32" hidden="1" x14ac:dyDescent="0.2">
      <c r="A324">
        <v>13</v>
      </c>
      <c r="B324" t="s">
        <v>569</v>
      </c>
      <c r="C324">
        <v>0</v>
      </c>
      <c r="D324" t="s">
        <v>570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605</v>
      </c>
      <c r="N324">
        <v>0</v>
      </c>
      <c r="O324">
        <v>0</v>
      </c>
      <c r="Q324">
        <v>0</v>
      </c>
      <c r="R324">
        <v>0</v>
      </c>
      <c r="S324" t="s">
        <v>572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459</v>
      </c>
    </row>
    <row r="325" spans="1:32" hidden="1" x14ac:dyDescent="0.2">
      <c r="A325" t="s">
        <v>573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 t="s">
        <v>458</v>
      </c>
    </row>
    <row r="326" spans="1:32" hidden="1" x14ac:dyDescent="0.2">
      <c r="A326" t="s">
        <v>574</v>
      </c>
      <c r="B326" t="s">
        <v>575</v>
      </c>
      <c r="C326" t="s">
        <v>576</v>
      </c>
      <c r="D326" t="s">
        <v>577</v>
      </c>
      <c r="E326">
        <v>1.8370120000000001</v>
      </c>
    </row>
    <row r="327" spans="1:32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578</v>
      </c>
      <c r="AC327" t="s">
        <v>495</v>
      </c>
      <c r="AD327">
        <v>4</v>
      </c>
      <c r="AE327" s="31">
        <v>0.35951388888888891</v>
      </c>
      <c r="AF327">
        <v>2023</v>
      </c>
    </row>
    <row r="328" spans="1:32" x14ac:dyDescent="0.2">
      <c r="A328">
        <v>14</v>
      </c>
      <c r="B328" t="s">
        <v>569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606</v>
      </c>
      <c r="N328">
        <v>0</v>
      </c>
      <c r="O328">
        <v>0</v>
      </c>
      <c r="Q328">
        <v>0</v>
      </c>
      <c r="R328">
        <v>0</v>
      </c>
      <c r="S328" t="s">
        <v>572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 t="s">
        <v>459</v>
      </c>
    </row>
    <row r="329" spans="1:32" hidden="1" x14ac:dyDescent="0.2">
      <c r="A329" t="s">
        <v>573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s">
        <v>458</v>
      </c>
    </row>
    <row r="330" spans="1:32" hidden="1" x14ac:dyDescent="0.2">
      <c r="A330" t="s">
        <v>574</v>
      </c>
      <c r="B330" t="s">
        <v>607</v>
      </c>
      <c r="C330" t="s">
        <v>576</v>
      </c>
      <c r="D330" t="s">
        <v>577</v>
      </c>
      <c r="E330">
        <v>1.836937</v>
      </c>
    </row>
    <row r="331" spans="1:32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578</v>
      </c>
      <c r="AC331" t="s">
        <v>495</v>
      </c>
      <c r="AD331">
        <v>4</v>
      </c>
      <c r="AE331" s="31">
        <v>0.35952546296296295</v>
      </c>
      <c r="AF331">
        <v>2023</v>
      </c>
    </row>
    <row r="332" spans="1:32" hidden="1" x14ac:dyDescent="0.2">
      <c r="A332">
        <v>14</v>
      </c>
      <c r="B332" t="s">
        <v>569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608</v>
      </c>
      <c r="N332">
        <v>0</v>
      </c>
      <c r="O332">
        <v>0</v>
      </c>
      <c r="Q332">
        <v>0</v>
      </c>
      <c r="R332">
        <v>0</v>
      </c>
      <c r="S332" t="s">
        <v>572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459</v>
      </c>
    </row>
    <row r="333" spans="1:32" hidden="1" x14ac:dyDescent="0.2">
      <c r="A333" t="s">
        <v>573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 t="s">
        <v>458</v>
      </c>
    </row>
    <row r="334" spans="1:32" hidden="1" x14ac:dyDescent="0.2">
      <c r="A334" t="s">
        <v>574</v>
      </c>
      <c r="B334" t="s">
        <v>607</v>
      </c>
      <c r="C334" t="s">
        <v>576</v>
      </c>
      <c r="D334" t="s">
        <v>577</v>
      </c>
      <c r="E334">
        <v>1.836867</v>
      </c>
    </row>
    <row r="335" spans="1:32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578</v>
      </c>
      <c r="AC335" t="s">
        <v>495</v>
      </c>
      <c r="AD335">
        <v>4</v>
      </c>
      <c r="AE335" s="31">
        <v>0.35953703703703704</v>
      </c>
      <c r="AF335">
        <v>2023</v>
      </c>
    </row>
    <row r="336" spans="1:32" x14ac:dyDescent="0.2">
      <c r="A336">
        <v>14</v>
      </c>
      <c r="B336" t="s">
        <v>569</v>
      </c>
      <c r="C336">
        <v>1</v>
      </c>
      <c r="D336" t="s">
        <v>609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610</v>
      </c>
      <c r="N336">
        <v>0</v>
      </c>
      <c r="O336">
        <v>0</v>
      </c>
      <c r="Q336">
        <v>0</v>
      </c>
      <c r="R336">
        <v>0</v>
      </c>
      <c r="S336" t="s">
        <v>572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 t="s">
        <v>459</v>
      </c>
    </row>
    <row r="337" spans="1:32" hidden="1" x14ac:dyDescent="0.2">
      <c r="A337" t="s">
        <v>573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 t="s">
        <v>458</v>
      </c>
    </row>
    <row r="338" spans="1:32" hidden="1" x14ac:dyDescent="0.2">
      <c r="A338" t="s">
        <v>574</v>
      </c>
      <c r="B338" t="s">
        <v>611</v>
      </c>
      <c r="C338" t="s">
        <v>576</v>
      </c>
      <c r="D338" t="s">
        <v>577</v>
      </c>
      <c r="E338">
        <v>1.8362620000000001</v>
      </c>
    </row>
    <row r="339" spans="1:32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578</v>
      </c>
      <c r="AC339" t="s">
        <v>495</v>
      </c>
      <c r="AD339">
        <v>4</v>
      </c>
      <c r="AE339" s="31">
        <v>0.35954861111111108</v>
      </c>
      <c r="AF339">
        <v>2023</v>
      </c>
    </row>
    <row r="340" spans="1:32" hidden="1" x14ac:dyDescent="0.2">
      <c r="A340">
        <v>14</v>
      </c>
      <c r="B340" t="s">
        <v>569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612</v>
      </c>
      <c r="N340">
        <v>0</v>
      </c>
      <c r="O340">
        <v>0</v>
      </c>
      <c r="Q340">
        <v>0</v>
      </c>
      <c r="R340">
        <v>0</v>
      </c>
      <c r="S340" t="s">
        <v>613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459</v>
      </c>
    </row>
    <row r="341" spans="1:32" hidden="1" x14ac:dyDescent="0.2">
      <c r="A341" t="s">
        <v>573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458</v>
      </c>
    </row>
    <row r="342" spans="1:32" hidden="1" x14ac:dyDescent="0.2">
      <c r="A342" t="s">
        <v>574</v>
      </c>
      <c r="B342" t="s">
        <v>607</v>
      </c>
      <c r="C342" t="s">
        <v>576</v>
      </c>
      <c r="D342" t="s">
        <v>577</v>
      </c>
      <c r="E342">
        <v>1.83657</v>
      </c>
    </row>
    <row r="343" spans="1:32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578</v>
      </c>
      <c r="AC343" t="s">
        <v>495</v>
      </c>
      <c r="AD343">
        <v>4</v>
      </c>
      <c r="AE343" s="31">
        <v>0.35956018518518523</v>
      </c>
      <c r="AF343">
        <v>2023</v>
      </c>
    </row>
    <row r="344" spans="1:32" x14ac:dyDescent="0.2">
      <c r="A344">
        <v>14</v>
      </c>
      <c r="B344" t="s">
        <v>614</v>
      </c>
      <c r="C344">
        <v>1</v>
      </c>
      <c r="D344" t="s">
        <v>615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616</v>
      </c>
      <c r="N344">
        <v>0</v>
      </c>
      <c r="O344">
        <v>0</v>
      </c>
      <c r="Q344">
        <v>0</v>
      </c>
      <c r="R344">
        <v>0</v>
      </c>
      <c r="S344" t="s">
        <v>572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459</v>
      </c>
    </row>
    <row r="345" spans="1:32" hidden="1" x14ac:dyDescent="0.2">
      <c r="A345" t="s">
        <v>573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458</v>
      </c>
    </row>
    <row r="346" spans="1:32" hidden="1" x14ac:dyDescent="0.2">
      <c r="A346" t="s">
        <v>574</v>
      </c>
      <c r="B346" t="s">
        <v>617</v>
      </c>
      <c r="C346" t="s">
        <v>576</v>
      </c>
      <c r="D346" t="s">
        <v>577</v>
      </c>
      <c r="E346">
        <v>1.836954</v>
      </c>
    </row>
    <row r="347" spans="1:32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578</v>
      </c>
      <c r="AC347" t="s">
        <v>495</v>
      </c>
      <c r="AD347">
        <v>4</v>
      </c>
      <c r="AE347" s="31">
        <v>0.35957175925925927</v>
      </c>
      <c r="AF347">
        <v>2023</v>
      </c>
    </row>
    <row r="348" spans="1:32" hidden="1" x14ac:dyDescent="0.2">
      <c r="A348">
        <v>14</v>
      </c>
      <c r="B348" t="s">
        <v>614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618</v>
      </c>
      <c r="N348">
        <v>0</v>
      </c>
      <c r="O348">
        <v>0</v>
      </c>
      <c r="Q348">
        <v>0</v>
      </c>
      <c r="R348">
        <v>0</v>
      </c>
      <c r="S348" t="s">
        <v>572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459</v>
      </c>
    </row>
    <row r="349" spans="1:32" hidden="1" x14ac:dyDescent="0.2">
      <c r="A349" t="s">
        <v>573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 t="s">
        <v>458</v>
      </c>
    </row>
    <row r="350" spans="1:32" hidden="1" x14ac:dyDescent="0.2">
      <c r="A350" t="s">
        <v>574</v>
      </c>
      <c r="B350" t="s">
        <v>587</v>
      </c>
      <c r="C350" t="s">
        <v>576</v>
      </c>
      <c r="D350" t="s">
        <v>577</v>
      </c>
      <c r="E350">
        <v>1.836646</v>
      </c>
    </row>
    <row r="351" spans="1:32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578</v>
      </c>
      <c r="AC351" t="s">
        <v>495</v>
      </c>
      <c r="AD351">
        <v>4</v>
      </c>
      <c r="AE351" s="31">
        <v>0.35958333333333337</v>
      </c>
      <c r="AF351">
        <v>2023</v>
      </c>
    </row>
    <row r="352" spans="1:32" x14ac:dyDescent="0.2">
      <c r="A352">
        <v>14</v>
      </c>
      <c r="B352" t="s">
        <v>619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620</v>
      </c>
      <c r="N352">
        <v>0</v>
      </c>
      <c r="O352">
        <v>0</v>
      </c>
      <c r="Q352">
        <v>0</v>
      </c>
      <c r="R352">
        <v>0</v>
      </c>
      <c r="S352" t="s">
        <v>572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 t="s">
        <v>459</v>
      </c>
    </row>
    <row r="353" spans="1:32" hidden="1" x14ac:dyDescent="0.2">
      <c r="A353" t="s">
        <v>573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 t="s">
        <v>458</v>
      </c>
    </row>
    <row r="354" spans="1:32" hidden="1" x14ac:dyDescent="0.2">
      <c r="A354" t="s">
        <v>574</v>
      </c>
      <c r="B354" t="s">
        <v>621</v>
      </c>
      <c r="C354" t="s">
        <v>576</v>
      </c>
      <c r="D354" t="s">
        <v>577</v>
      </c>
      <c r="E354">
        <v>1.8358779999999999</v>
      </c>
    </row>
    <row r="355" spans="1:32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578</v>
      </c>
      <c r="AC355" t="s">
        <v>495</v>
      </c>
      <c r="AD355">
        <v>4</v>
      </c>
      <c r="AE355" s="31">
        <v>0.3595949074074074</v>
      </c>
      <c r="AF355">
        <v>2023</v>
      </c>
    </row>
    <row r="356" spans="1:32" hidden="1" x14ac:dyDescent="0.2">
      <c r="A356">
        <v>14</v>
      </c>
      <c r="B356" t="s">
        <v>619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622</v>
      </c>
      <c r="N356">
        <v>0</v>
      </c>
      <c r="O356">
        <v>0</v>
      </c>
      <c r="Q356">
        <v>0</v>
      </c>
      <c r="R356">
        <v>0</v>
      </c>
      <c r="S356" t="s">
        <v>572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 t="s">
        <v>459</v>
      </c>
    </row>
    <row r="357" spans="1:32" hidden="1" x14ac:dyDescent="0.2">
      <c r="A357" t="s">
        <v>573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 t="s">
        <v>458</v>
      </c>
    </row>
    <row r="358" spans="1:32" hidden="1" x14ac:dyDescent="0.2">
      <c r="A358" t="s">
        <v>574</v>
      </c>
      <c r="B358" t="s">
        <v>598</v>
      </c>
      <c r="C358" t="s">
        <v>576</v>
      </c>
      <c r="D358" t="s">
        <v>577</v>
      </c>
      <c r="E358">
        <v>1.8350329999999999</v>
      </c>
    </row>
    <row r="359" spans="1:32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578</v>
      </c>
      <c r="AC359" t="s">
        <v>495</v>
      </c>
      <c r="AD359">
        <v>4</v>
      </c>
      <c r="AE359" s="31">
        <v>0.3596064814814815</v>
      </c>
      <c r="AF359">
        <v>2023</v>
      </c>
    </row>
    <row r="360" spans="1:32" x14ac:dyDescent="0.2">
      <c r="A360">
        <v>14</v>
      </c>
      <c r="B360" t="s">
        <v>619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623</v>
      </c>
      <c r="N360">
        <v>0</v>
      </c>
      <c r="O360">
        <v>0</v>
      </c>
      <c r="Q360">
        <v>0</v>
      </c>
      <c r="R360">
        <v>0</v>
      </c>
      <c r="S360" t="s">
        <v>572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459</v>
      </c>
    </row>
    <row r="361" spans="1:32" hidden="1" x14ac:dyDescent="0.2">
      <c r="A361" t="s">
        <v>573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 t="s">
        <v>458</v>
      </c>
    </row>
    <row r="362" spans="1:32" hidden="1" x14ac:dyDescent="0.2">
      <c r="A362" t="s">
        <v>574</v>
      </c>
      <c r="B362" t="s">
        <v>624</v>
      </c>
      <c r="C362" t="s">
        <v>576</v>
      </c>
      <c r="D362" t="s">
        <v>577</v>
      </c>
      <c r="E362">
        <v>1.8353409999999999</v>
      </c>
    </row>
    <row r="363" spans="1:32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578</v>
      </c>
      <c r="AC363" t="s">
        <v>495</v>
      </c>
      <c r="AD363">
        <v>4</v>
      </c>
      <c r="AE363" s="31">
        <v>0.35961805555555554</v>
      </c>
      <c r="AF363">
        <v>2023</v>
      </c>
    </row>
    <row r="364" spans="1:32" hidden="1" x14ac:dyDescent="0.2">
      <c r="A364">
        <v>14</v>
      </c>
      <c r="B364" t="s">
        <v>619</v>
      </c>
      <c r="C364">
        <v>0</v>
      </c>
      <c r="D364" t="s">
        <v>615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625</v>
      </c>
      <c r="N364">
        <v>0</v>
      </c>
      <c r="O364">
        <v>0</v>
      </c>
      <c r="Q364">
        <v>0</v>
      </c>
      <c r="R364">
        <v>0</v>
      </c>
      <c r="S364" t="s">
        <v>572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 t="s">
        <v>459</v>
      </c>
    </row>
    <row r="365" spans="1:32" hidden="1" x14ac:dyDescent="0.2">
      <c r="A365" t="s">
        <v>573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458</v>
      </c>
    </row>
    <row r="366" spans="1:32" hidden="1" x14ac:dyDescent="0.2">
      <c r="A366" t="s">
        <v>574</v>
      </c>
      <c r="B366" t="s">
        <v>617</v>
      </c>
      <c r="C366" t="s">
        <v>576</v>
      </c>
      <c r="D366" t="s">
        <v>577</v>
      </c>
      <c r="E366">
        <v>1.836109</v>
      </c>
    </row>
    <row r="367" spans="1:32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Q367">
        <v>1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578</v>
      </c>
      <c r="AC367" t="s">
        <v>495</v>
      </c>
      <c r="AD367">
        <v>4</v>
      </c>
      <c r="AE367" s="31">
        <v>0.35962962962962958</v>
      </c>
      <c r="AF367">
        <v>2023</v>
      </c>
    </row>
    <row r="368" spans="1:32" x14ac:dyDescent="0.2">
      <c r="A368">
        <v>14</v>
      </c>
      <c r="B368" t="s">
        <v>569</v>
      </c>
      <c r="C368">
        <v>1</v>
      </c>
      <c r="D368" t="s">
        <v>590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626</v>
      </c>
      <c r="N368">
        <v>0</v>
      </c>
      <c r="O368">
        <v>0</v>
      </c>
      <c r="Q368">
        <v>0</v>
      </c>
      <c r="R368">
        <v>0</v>
      </c>
      <c r="S368" t="s">
        <v>572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 t="s">
        <v>459</v>
      </c>
    </row>
    <row r="369" spans="1:32" hidden="1" x14ac:dyDescent="0.2">
      <c r="A369" t="s">
        <v>573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458</v>
      </c>
    </row>
    <row r="370" spans="1:32" hidden="1" x14ac:dyDescent="0.2">
      <c r="A370" t="s">
        <v>574</v>
      </c>
      <c r="B370" t="s">
        <v>592</v>
      </c>
      <c r="C370" t="s">
        <v>576</v>
      </c>
      <c r="D370" t="s">
        <v>577</v>
      </c>
      <c r="E370">
        <v>1.837107</v>
      </c>
    </row>
    <row r="371" spans="1:32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Q371">
        <v>1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578</v>
      </c>
      <c r="AC371" t="s">
        <v>495</v>
      </c>
      <c r="AD371">
        <v>4</v>
      </c>
      <c r="AE371" s="31">
        <v>0.35964120370370373</v>
      </c>
      <c r="AF371">
        <v>2023</v>
      </c>
    </row>
    <row r="372" spans="1:32" hidden="1" x14ac:dyDescent="0.2">
      <c r="A372">
        <v>14</v>
      </c>
      <c r="B372" t="s">
        <v>569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627</v>
      </c>
      <c r="N372">
        <v>0</v>
      </c>
      <c r="O372">
        <v>0</v>
      </c>
      <c r="Q372">
        <v>0</v>
      </c>
      <c r="R372">
        <v>0</v>
      </c>
      <c r="S372" t="s">
        <v>572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 t="s">
        <v>459</v>
      </c>
    </row>
    <row r="373" spans="1:32" hidden="1" x14ac:dyDescent="0.2">
      <c r="A373" t="s">
        <v>573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 t="s">
        <v>458</v>
      </c>
    </row>
    <row r="374" spans="1:32" hidden="1" x14ac:dyDescent="0.2">
      <c r="A374" t="s">
        <v>574</v>
      </c>
      <c r="B374" t="s">
        <v>587</v>
      </c>
      <c r="C374" t="s">
        <v>576</v>
      </c>
      <c r="D374" t="s">
        <v>577</v>
      </c>
      <c r="E374">
        <v>1.8371839999999999</v>
      </c>
    </row>
    <row r="375" spans="1:32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Q375">
        <v>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578</v>
      </c>
      <c r="AC375" t="s">
        <v>495</v>
      </c>
      <c r="AD375">
        <v>4</v>
      </c>
      <c r="AE375" s="31">
        <v>0.35965277777777777</v>
      </c>
      <c r="AF375">
        <v>2023</v>
      </c>
    </row>
    <row r="376" spans="1:32" x14ac:dyDescent="0.2">
      <c r="A376">
        <v>13</v>
      </c>
      <c r="B376" t="s">
        <v>569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628</v>
      </c>
      <c r="N376">
        <v>0</v>
      </c>
      <c r="O376">
        <v>0</v>
      </c>
      <c r="Q376">
        <v>0</v>
      </c>
      <c r="R376">
        <v>0</v>
      </c>
      <c r="S376" t="s">
        <v>572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 t="s">
        <v>459</v>
      </c>
    </row>
    <row r="377" spans="1:32" hidden="1" x14ac:dyDescent="0.2">
      <c r="A377" t="s">
        <v>573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 t="s">
        <v>458</v>
      </c>
    </row>
    <row r="378" spans="1:32" hidden="1" x14ac:dyDescent="0.2">
      <c r="A378" t="s">
        <v>574</v>
      </c>
      <c r="B378" t="s">
        <v>587</v>
      </c>
      <c r="C378" t="s">
        <v>576</v>
      </c>
      <c r="D378" t="s">
        <v>577</v>
      </c>
      <c r="E378">
        <v>1.8371839999999999</v>
      </c>
    </row>
    <row r="379" spans="1:32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Q379">
        <v>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578</v>
      </c>
      <c r="AC379" t="s">
        <v>495</v>
      </c>
      <c r="AD379">
        <v>4</v>
      </c>
      <c r="AE379" s="31">
        <v>0.35966435185185186</v>
      </c>
      <c r="AF379">
        <v>2023</v>
      </c>
    </row>
    <row r="380" spans="1:32" hidden="1" x14ac:dyDescent="0.2">
      <c r="A380">
        <v>13</v>
      </c>
      <c r="B380" t="s">
        <v>569</v>
      </c>
      <c r="C380">
        <v>0</v>
      </c>
      <c r="D380" t="s">
        <v>581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629</v>
      </c>
      <c r="N380">
        <v>0</v>
      </c>
      <c r="O380">
        <v>0</v>
      </c>
      <c r="Q380">
        <v>0</v>
      </c>
      <c r="R380">
        <v>0</v>
      </c>
      <c r="S380" t="s">
        <v>572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 t="s">
        <v>459</v>
      </c>
    </row>
    <row r="381" spans="1:32" hidden="1" x14ac:dyDescent="0.2">
      <c r="A381" t="s">
        <v>573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458</v>
      </c>
    </row>
    <row r="382" spans="1:32" hidden="1" x14ac:dyDescent="0.2">
      <c r="A382" t="s">
        <v>574</v>
      </c>
      <c r="B382" t="s">
        <v>583</v>
      </c>
      <c r="C382" t="s">
        <v>576</v>
      </c>
      <c r="D382" t="s">
        <v>577</v>
      </c>
      <c r="E382">
        <v>1.836185</v>
      </c>
    </row>
    <row r="383" spans="1:32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Q383">
        <v>1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578</v>
      </c>
      <c r="AC383" t="s">
        <v>495</v>
      </c>
      <c r="AD383">
        <v>4</v>
      </c>
      <c r="AE383" s="31">
        <v>0.3596759259259259</v>
      </c>
      <c r="AF383">
        <v>2023</v>
      </c>
    </row>
    <row r="384" spans="1:32" hidden="1" x14ac:dyDescent="0.2">
      <c r="A384" t="s">
        <v>573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 t="s">
        <v>458</v>
      </c>
    </row>
    <row r="385" spans="1:32" x14ac:dyDescent="0.2">
      <c r="A385">
        <v>14</v>
      </c>
      <c r="B385" t="s">
        <v>569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630</v>
      </c>
      <c r="N385">
        <v>0</v>
      </c>
      <c r="O385">
        <v>0</v>
      </c>
      <c r="Q385">
        <v>0</v>
      </c>
      <c r="R385">
        <v>0</v>
      </c>
      <c r="S385" t="s">
        <v>613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459</v>
      </c>
    </row>
    <row r="386" spans="1:32" hidden="1" x14ac:dyDescent="0.2">
      <c r="A386" t="s">
        <v>574</v>
      </c>
      <c r="B386" t="s">
        <v>631</v>
      </c>
      <c r="C386" t="s">
        <v>576</v>
      </c>
      <c r="D386" t="s">
        <v>577</v>
      </c>
      <c r="E386">
        <v>1.8357250000000001</v>
      </c>
    </row>
    <row r="387" spans="1:32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578</v>
      </c>
      <c r="AC387" t="s">
        <v>495</v>
      </c>
      <c r="AD387">
        <v>4</v>
      </c>
      <c r="AE387" s="31">
        <v>0.35968749999999999</v>
      </c>
      <c r="AF387">
        <v>2023</v>
      </c>
    </row>
    <row r="388" spans="1:32" hidden="1" x14ac:dyDescent="0.2">
      <c r="A388" t="s">
        <v>573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458</v>
      </c>
    </row>
    <row r="389" spans="1:32" hidden="1" x14ac:dyDescent="0.2">
      <c r="A389">
        <v>14</v>
      </c>
      <c r="B389" t="s">
        <v>569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632</v>
      </c>
      <c r="N389">
        <v>0</v>
      </c>
      <c r="O389">
        <v>0</v>
      </c>
      <c r="Q389">
        <v>0</v>
      </c>
      <c r="R389">
        <v>0</v>
      </c>
      <c r="S389" t="s">
        <v>613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 t="s">
        <v>459</v>
      </c>
    </row>
    <row r="390" spans="1:32" hidden="1" x14ac:dyDescent="0.2">
      <c r="A390" t="s">
        <v>574</v>
      </c>
      <c r="B390" t="s">
        <v>587</v>
      </c>
      <c r="C390" t="s">
        <v>576</v>
      </c>
      <c r="D390" t="s">
        <v>577</v>
      </c>
      <c r="E390">
        <v>1.835955</v>
      </c>
    </row>
    <row r="391" spans="1:32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578</v>
      </c>
      <c r="AC391" t="s">
        <v>495</v>
      </c>
      <c r="AD391">
        <v>4</v>
      </c>
      <c r="AE391" s="31">
        <v>0.35969907407407403</v>
      </c>
      <c r="AF391">
        <v>2023</v>
      </c>
    </row>
    <row r="392" spans="1:32" hidden="1" x14ac:dyDescent="0.2">
      <c r="A392" t="s">
        <v>573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458</v>
      </c>
    </row>
    <row r="393" spans="1:32" x14ac:dyDescent="0.2">
      <c r="A393">
        <v>14</v>
      </c>
      <c r="B393" t="s">
        <v>569</v>
      </c>
      <c r="C393">
        <v>1</v>
      </c>
      <c r="D393" t="s">
        <v>615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633</v>
      </c>
      <c r="N393">
        <v>0</v>
      </c>
      <c r="O393">
        <v>0</v>
      </c>
      <c r="Q393">
        <v>0</v>
      </c>
      <c r="R393">
        <v>0</v>
      </c>
      <c r="S393" t="s">
        <v>572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459</v>
      </c>
    </row>
    <row r="394" spans="1:32" hidden="1" x14ac:dyDescent="0.2">
      <c r="A394" t="s">
        <v>574</v>
      </c>
      <c r="B394" t="s">
        <v>617</v>
      </c>
      <c r="C394" t="s">
        <v>576</v>
      </c>
      <c r="D394" t="s">
        <v>577</v>
      </c>
      <c r="E394">
        <v>1.8368770000000001</v>
      </c>
    </row>
    <row r="395" spans="1:32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Q395">
        <v>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578</v>
      </c>
      <c r="AC395" t="s">
        <v>495</v>
      </c>
      <c r="AD395">
        <v>4</v>
      </c>
      <c r="AE395" s="31">
        <v>0.35971064814814818</v>
      </c>
      <c r="AF395">
        <v>2023</v>
      </c>
    </row>
    <row r="396" spans="1:32" hidden="1" x14ac:dyDescent="0.2">
      <c r="A396" t="s">
        <v>573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s">
        <v>458</v>
      </c>
    </row>
    <row r="397" spans="1:32" hidden="1" x14ac:dyDescent="0.2">
      <c r="A397">
        <v>14</v>
      </c>
      <c r="B397" t="s">
        <v>569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634</v>
      </c>
      <c r="N397">
        <v>0</v>
      </c>
      <c r="O397">
        <v>0</v>
      </c>
      <c r="Q397">
        <v>0</v>
      </c>
      <c r="R397">
        <v>0</v>
      </c>
      <c r="S397" t="s">
        <v>613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459</v>
      </c>
    </row>
    <row r="398" spans="1:32" hidden="1" x14ac:dyDescent="0.2">
      <c r="A398" t="s">
        <v>574</v>
      </c>
      <c r="B398" t="s">
        <v>603</v>
      </c>
      <c r="C398" t="s">
        <v>576</v>
      </c>
      <c r="D398" t="s">
        <v>577</v>
      </c>
      <c r="E398">
        <v>1.8377220000000001</v>
      </c>
    </row>
    <row r="399" spans="1:32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Q399">
        <v>1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578</v>
      </c>
      <c r="AC399" t="s">
        <v>495</v>
      </c>
      <c r="AD399">
        <v>4</v>
      </c>
      <c r="AE399" s="31">
        <v>0.35972222222222222</v>
      </c>
      <c r="AF399">
        <v>2023</v>
      </c>
    </row>
    <row r="400" spans="1:32" hidden="1" x14ac:dyDescent="0.2">
      <c r="A400" t="s">
        <v>573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s">
        <v>458</v>
      </c>
    </row>
    <row r="401" spans="1:32" hidden="1" x14ac:dyDescent="0.2">
      <c r="A401" t="s">
        <v>574</v>
      </c>
      <c r="B401" t="s">
        <v>603</v>
      </c>
      <c r="C401" t="s">
        <v>576</v>
      </c>
      <c r="D401" t="s">
        <v>577</v>
      </c>
      <c r="E401">
        <v>1.837415</v>
      </c>
    </row>
    <row r="402" spans="1:32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Q402">
        <v>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578</v>
      </c>
      <c r="AC402" t="s">
        <v>495</v>
      </c>
      <c r="AD402">
        <v>4</v>
      </c>
      <c r="AE402" s="31">
        <v>0.35973379629629632</v>
      </c>
      <c r="AF402">
        <v>2023</v>
      </c>
    </row>
    <row r="403" spans="1:32" x14ac:dyDescent="0.2">
      <c r="A403">
        <v>14</v>
      </c>
      <c r="B403" t="s">
        <v>569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635</v>
      </c>
      <c r="N403">
        <v>0</v>
      </c>
      <c r="O403">
        <v>0</v>
      </c>
      <c r="Q403">
        <v>0</v>
      </c>
      <c r="R403">
        <v>0</v>
      </c>
      <c r="S403" t="s">
        <v>613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 t="s">
        <v>459</v>
      </c>
    </row>
    <row r="404" spans="1:32" hidden="1" x14ac:dyDescent="0.2">
      <c r="A404" t="s">
        <v>573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458</v>
      </c>
    </row>
    <row r="405" spans="1:32" hidden="1" x14ac:dyDescent="0.2">
      <c r="A405">
        <v>14</v>
      </c>
      <c r="B405" t="s">
        <v>569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636</v>
      </c>
      <c r="N405">
        <v>0</v>
      </c>
      <c r="O405">
        <v>0</v>
      </c>
      <c r="Q405">
        <v>0</v>
      </c>
      <c r="R405">
        <v>0</v>
      </c>
      <c r="S405" t="s">
        <v>572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459</v>
      </c>
    </row>
    <row r="406" spans="1:32" hidden="1" x14ac:dyDescent="0.2">
      <c r="A406" t="s">
        <v>574</v>
      </c>
      <c r="B406" t="s">
        <v>621</v>
      </c>
      <c r="C406" t="s">
        <v>576</v>
      </c>
      <c r="D406" t="s">
        <v>577</v>
      </c>
      <c r="E406">
        <v>1.836954</v>
      </c>
    </row>
    <row r="407" spans="1:32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578</v>
      </c>
      <c r="AC407" t="s">
        <v>495</v>
      </c>
      <c r="AD407">
        <v>4</v>
      </c>
      <c r="AE407" s="31">
        <v>0.35974537037037035</v>
      </c>
      <c r="AF407">
        <v>2023</v>
      </c>
    </row>
    <row r="408" spans="1:32" hidden="1" x14ac:dyDescent="0.2">
      <c r="A408" t="s">
        <v>573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s">
        <v>458</v>
      </c>
    </row>
    <row r="409" spans="1:32" hidden="1" x14ac:dyDescent="0.2">
      <c r="A409" t="s">
        <v>574</v>
      </c>
      <c r="B409" t="s">
        <v>621</v>
      </c>
      <c r="C409" t="s">
        <v>576</v>
      </c>
      <c r="D409" t="s">
        <v>577</v>
      </c>
      <c r="E409">
        <v>1.8365689999999999</v>
      </c>
    </row>
    <row r="410" spans="1:32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578</v>
      </c>
      <c r="AC410" t="s">
        <v>495</v>
      </c>
      <c r="AD410">
        <v>4</v>
      </c>
      <c r="AE410" s="31">
        <v>0.35975694444444445</v>
      </c>
      <c r="AF410">
        <v>2023</v>
      </c>
    </row>
    <row r="411" spans="1:32" x14ac:dyDescent="0.2">
      <c r="A411">
        <v>14</v>
      </c>
      <c r="B411" t="s">
        <v>569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2">
        <v>6</v>
      </c>
      <c r="N411">
        <v>0</v>
      </c>
      <c r="O411">
        <v>0</v>
      </c>
      <c r="Q411">
        <v>0</v>
      </c>
      <c r="R411">
        <v>0</v>
      </c>
      <c r="S411" t="s">
        <v>572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 t="s">
        <v>459</v>
      </c>
    </row>
    <row r="412" spans="1:32" hidden="1" x14ac:dyDescent="0.2">
      <c r="A412" t="s">
        <v>573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 t="s">
        <v>458</v>
      </c>
    </row>
    <row r="413" spans="1:32" hidden="1" x14ac:dyDescent="0.2">
      <c r="A413" t="s">
        <v>574</v>
      </c>
      <c r="B413" t="s">
        <v>598</v>
      </c>
      <c r="C413" t="s">
        <v>576</v>
      </c>
      <c r="D413" t="s">
        <v>577</v>
      </c>
      <c r="E413">
        <v>1.8365689999999999</v>
      </c>
    </row>
    <row r="414" spans="1:32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Q414">
        <v>1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578</v>
      </c>
      <c r="AC414" t="s">
        <v>495</v>
      </c>
      <c r="AD414">
        <v>4</v>
      </c>
      <c r="AE414" s="31">
        <v>0.35976851851851849</v>
      </c>
      <c r="AF414">
        <v>2023</v>
      </c>
    </row>
    <row r="415" spans="1:32" hidden="1" x14ac:dyDescent="0.2">
      <c r="A415">
        <v>14</v>
      </c>
      <c r="B415" t="s">
        <v>569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2">
        <v>60</v>
      </c>
      <c r="N415">
        <v>0</v>
      </c>
      <c r="O415">
        <v>0</v>
      </c>
      <c r="Q415">
        <v>0</v>
      </c>
      <c r="R415">
        <v>0</v>
      </c>
      <c r="S415" t="s">
        <v>572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 t="s">
        <v>459</v>
      </c>
    </row>
    <row r="416" spans="1:32" hidden="1" x14ac:dyDescent="0.2">
      <c r="A416" t="s">
        <v>573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458</v>
      </c>
    </row>
    <row r="417" spans="1:32" hidden="1" x14ac:dyDescent="0.2">
      <c r="A417" t="s">
        <v>574</v>
      </c>
      <c r="B417" t="s">
        <v>621</v>
      </c>
      <c r="C417" t="s">
        <v>576</v>
      </c>
      <c r="D417" t="s">
        <v>577</v>
      </c>
      <c r="E417">
        <v>1.836646</v>
      </c>
    </row>
    <row r="418" spans="1:32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Q418">
        <v>1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578</v>
      </c>
      <c r="AC418" t="s">
        <v>495</v>
      </c>
      <c r="AD418">
        <v>4</v>
      </c>
      <c r="AE418" s="31">
        <v>0.35978009259259264</v>
      </c>
      <c r="AF418">
        <v>2023</v>
      </c>
    </row>
    <row r="419" spans="1:32" x14ac:dyDescent="0.2">
      <c r="A419">
        <v>13</v>
      </c>
      <c r="B419" t="s">
        <v>569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2">
        <v>600</v>
      </c>
      <c r="N419">
        <v>0</v>
      </c>
      <c r="O419">
        <v>0</v>
      </c>
      <c r="Q419">
        <v>0</v>
      </c>
      <c r="R419">
        <v>0</v>
      </c>
      <c r="S419" t="s">
        <v>613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 t="s">
        <v>459</v>
      </c>
    </row>
    <row r="420" spans="1:32" hidden="1" x14ac:dyDescent="0.2">
      <c r="A420" t="s">
        <v>573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458</v>
      </c>
    </row>
    <row r="421" spans="1:32" hidden="1" x14ac:dyDescent="0.2">
      <c r="A421" t="s">
        <v>574</v>
      </c>
      <c r="B421" t="s">
        <v>607</v>
      </c>
      <c r="C421" t="s">
        <v>576</v>
      </c>
      <c r="D421" t="s">
        <v>577</v>
      </c>
      <c r="E421">
        <v>1.8370299999999999</v>
      </c>
    </row>
    <row r="422" spans="1:32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578</v>
      </c>
      <c r="AC422" t="s">
        <v>495</v>
      </c>
      <c r="AD422">
        <v>4</v>
      </c>
      <c r="AE422" s="31">
        <v>0.35979166666666668</v>
      </c>
      <c r="AF422">
        <v>2023</v>
      </c>
    </row>
    <row r="423" spans="1:32" hidden="1" x14ac:dyDescent="0.2">
      <c r="A423">
        <v>13</v>
      </c>
      <c r="B423" t="s">
        <v>569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2">
        <v>6000</v>
      </c>
      <c r="N423">
        <v>0</v>
      </c>
      <c r="O423">
        <v>0</v>
      </c>
      <c r="Q423">
        <v>0</v>
      </c>
      <c r="R423">
        <v>0</v>
      </c>
      <c r="S423" t="s">
        <v>572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 t="s">
        <v>459</v>
      </c>
    </row>
    <row r="424" spans="1:32" hidden="1" x14ac:dyDescent="0.2">
      <c r="A424" t="s">
        <v>573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 t="s">
        <v>458</v>
      </c>
    </row>
    <row r="425" spans="1:32" hidden="1" x14ac:dyDescent="0.2">
      <c r="A425" t="s">
        <v>574</v>
      </c>
      <c r="B425" t="s">
        <v>624</v>
      </c>
      <c r="C425" t="s">
        <v>576</v>
      </c>
      <c r="D425" t="s">
        <v>577</v>
      </c>
      <c r="E425">
        <v>1.8369530000000001</v>
      </c>
    </row>
    <row r="426" spans="1:32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578</v>
      </c>
      <c r="AC426" t="s">
        <v>495</v>
      </c>
      <c r="AD426">
        <v>4</v>
      </c>
      <c r="AE426" s="31">
        <v>0.35980324074074077</v>
      </c>
      <c r="AF426">
        <v>2023</v>
      </c>
    </row>
    <row r="427" spans="1:32" x14ac:dyDescent="0.2">
      <c r="A427">
        <v>14</v>
      </c>
      <c r="B427" t="s">
        <v>569</v>
      </c>
      <c r="C427">
        <v>1</v>
      </c>
      <c r="D427" t="s">
        <v>637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2">
        <v>60000</v>
      </c>
      <c r="N427">
        <v>0</v>
      </c>
      <c r="O427">
        <v>0</v>
      </c>
      <c r="Q427">
        <v>0</v>
      </c>
      <c r="R427">
        <v>0</v>
      </c>
      <c r="S427" t="s">
        <v>572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 t="s">
        <v>459</v>
      </c>
    </row>
    <row r="428" spans="1:32" hidden="1" x14ac:dyDescent="0.2">
      <c r="A428" t="s">
        <v>573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 t="s">
        <v>458</v>
      </c>
    </row>
    <row r="429" spans="1:32" hidden="1" x14ac:dyDescent="0.2">
      <c r="A429" t="s">
        <v>574</v>
      </c>
      <c r="B429" t="s">
        <v>638</v>
      </c>
      <c r="C429" t="s">
        <v>576</v>
      </c>
      <c r="D429" t="s">
        <v>577</v>
      </c>
      <c r="E429">
        <v>1.837337</v>
      </c>
    </row>
    <row r="430" spans="1:32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578</v>
      </c>
      <c r="AC430" t="s">
        <v>495</v>
      </c>
      <c r="AD430">
        <v>4</v>
      </c>
      <c r="AE430" s="31">
        <v>0.35981481481481481</v>
      </c>
      <c r="AF430">
        <v>2023</v>
      </c>
    </row>
    <row r="431" spans="1:32" hidden="1" x14ac:dyDescent="0.2">
      <c r="A431">
        <v>14</v>
      </c>
      <c r="B431" t="s">
        <v>569</v>
      </c>
      <c r="C431">
        <v>0</v>
      </c>
      <c r="D431" t="s">
        <v>590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2">
        <v>600000</v>
      </c>
      <c r="N431">
        <v>0</v>
      </c>
      <c r="O431">
        <v>0</v>
      </c>
      <c r="Q431">
        <v>0</v>
      </c>
      <c r="R431">
        <v>0</v>
      </c>
      <c r="S431" t="s">
        <v>613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 t="s">
        <v>459</v>
      </c>
    </row>
    <row r="432" spans="1:32" hidden="1" x14ac:dyDescent="0.2">
      <c r="A432" t="s">
        <v>573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458</v>
      </c>
    </row>
    <row r="433" spans="1:32" hidden="1" x14ac:dyDescent="0.2">
      <c r="A433" t="s">
        <v>574</v>
      </c>
      <c r="B433" t="s">
        <v>592</v>
      </c>
      <c r="C433" t="s">
        <v>576</v>
      </c>
      <c r="D433" t="s">
        <v>577</v>
      </c>
      <c r="E433">
        <v>1.8372599999999999</v>
      </c>
    </row>
    <row r="434" spans="1:32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578</v>
      </c>
      <c r="AC434" t="s">
        <v>495</v>
      </c>
      <c r="AD434">
        <v>4</v>
      </c>
      <c r="AE434" s="31">
        <v>0.3598263888888889</v>
      </c>
      <c r="AF434">
        <v>2023</v>
      </c>
    </row>
    <row r="435" spans="1:32" x14ac:dyDescent="0.2">
      <c r="A435">
        <v>13</v>
      </c>
      <c r="B435" t="s">
        <v>569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2">
        <v>6000000</v>
      </c>
      <c r="N435">
        <v>0</v>
      </c>
      <c r="O435">
        <v>0</v>
      </c>
      <c r="Q435">
        <v>0</v>
      </c>
      <c r="R435">
        <v>0</v>
      </c>
      <c r="S435" t="s">
        <v>572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 t="s">
        <v>459</v>
      </c>
    </row>
    <row r="436" spans="1:32" hidden="1" x14ac:dyDescent="0.2">
      <c r="A436" t="s">
        <v>573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458</v>
      </c>
    </row>
    <row r="437" spans="1:32" hidden="1" x14ac:dyDescent="0.2">
      <c r="A437" t="s">
        <v>574</v>
      </c>
      <c r="B437" t="s">
        <v>603</v>
      </c>
      <c r="C437" t="s">
        <v>576</v>
      </c>
      <c r="D437" t="s">
        <v>577</v>
      </c>
      <c r="E437">
        <v>1.8378749999999999</v>
      </c>
    </row>
    <row r="438" spans="1:32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578</v>
      </c>
      <c r="AC438" t="s">
        <v>495</v>
      </c>
      <c r="AD438">
        <v>4</v>
      </c>
      <c r="AE438" s="31">
        <v>0.35983796296296294</v>
      </c>
      <c r="AF438">
        <v>2023</v>
      </c>
    </row>
    <row r="439" spans="1:32" hidden="1" x14ac:dyDescent="0.2">
      <c r="A439">
        <v>13</v>
      </c>
      <c r="B439" t="s">
        <v>569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2">
        <v>60000000</v>
      </c>
      <c r="N439">
        <v>0</v>
      </c>
      <c r="O439">
        <v>0</v>
      </c>
      <c r="Q439">
        <v>0</v>
      </c>
      <c r="R439">
        <v>0</v>
      </c>
      <c r="S439" t="s">
        <v>572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 t="s">
        <v>459</v>
      </c>
    </row>
    <row r="440" spans="1:32" hidden="1" x14ac:dyDescent="0.2">
      <c r="A440" t="s">
        <v>573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 t="s">
        <v>458</v>
      </c>
    </row>
    <row r="441" spans="1:32" hidden="1" x14ac:dyDescent="0.2">
      <c r="A441" t="s">
        <v>574</v>
      </c>
      <c r="B441" t="s">
        <v>607</v>
      </c>
      <c r="C441" t="s">
        <v>576</v>
      </c>
      <c r="D441" t="s">
        <v>577</v>
      </c>
      <c r="E441">
        <v>1.838336</v>
      </c>
    </row>
    <row r="442" spans="1:32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578</v>
      </c>
      <c r="AC442" t="s">
        <v>495</v>
      </c>
      <c r="AD442">
        <v>4</v>
      </c>
      <c r="AE442" s="31">
        <v>0.35984953703703698</v>
      </c>
      <c r="AF442">
        <v>2023</v>
      </c>
    </row>
    <row r="443" spans="1:32" x14ac:dyDescent="0.2">
      <c r="A443">
        <v>14</v>
      </c>
      <c r="B443" t="s">
        <v>569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2">
        <v>600000000</v>
      </c>
      <c r="N443">
        <v>0</v>
      </c>
      <c r="O443">
        <v>0</v>
      </c>
      <c r="Q443">
        <v>0</v>
      </c>
      <c r="R443">
        <v>0</v>
      </c>
      <c r="S443" t="s">
        <v>572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 t="s">
        <v>459</v>
      </c>
    </row>
    <row r="444" spans="1:32" hidden="1" x14ac:dyDescent="0.2">
      <c r="A444" t="s">
        <v>573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 t="s">
        <v>458</v>
      </c>
    </row>
    <row r="445" spans="1:32" hidden="1" x14ac:dyDescent="0.2">
      <c r="A445" t="s">
        <v>574</v>
      </c>
      <c r="B445" t="s">
        <v>580</v>
      </c>
      <c r="C445" t="s">
        <v>576</v>
      </c>
      <c r="D445" t="s">
        <v>577</v>
      </c>
      <c r="E445">
        <v>1.8384130000000001</v>
      </c>
    </row>
    <row r="446" spans="1:32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Q446">
        <v>1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578</v>
      </c>
      <c r="AC446" t="s">
        <v>495</v>
      </c>
      <c r="AD446">
        <v>4</v>
      </c>
      <c r="AE446" s="31">
        <v>0.35986111111111113</v>
      </c>
      <c r="AF446">
        <v>2023</v>
      </c>
    </row>
    <row r="447" spans="1:32" hidden="1" x14ac:dyDescent="0.2">
      <c r="A447">
        <v>14</v>
      </c>
      <c r="B447" t="s">
        <v>569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2">
        <v>6000000000</v>
      </c>
      <c r="N447">
        <v>0</v>
      </c>
      <c r="O447">
        <v>0</v>
      </c>
      <c r="Q447">
        <v>0</v>
      </c>
      <c r="R447">
        <v>0</v>
      </c>
      <c r="S447" t="s">
        <v>572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 t="s">
        <v>459</v>
      </c>
    </row>
    <row r="448" spans="1:32" hidden="1" x14ac:dyDescent="0.2">
      <c r="A448" t="s">
        <v>573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 t="s">
        <v>458</v>
      </c>
    </row>
    <row r="449" spans="1:32" hidden="1" x14ac:dyDescent="0.2">
      <c r="A449" t="s">
        <v>574</v>
      </c>
      <c r="B449" t="s">
        <v>598</v>
      </c>
      <c r="C449" t="s">
        <v>576</v>
      </c>
      <c r="D449" t="s">
        <v>577</v>
      </c>
      <c r="E449">
        <v>1.838106</v>
      </c>
    </row>
    <row r="450" spans="1:32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Q450">
        <v>1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578</v>
      </c>
      <c r="AC450" t="s">
        <v>495</v>
      </c>
      <c r="AD450">
        <v>4</v>
      </c>
      <c r="AE450" s="31">
        <v>0.35987268518518517</v>
      </c>
      <c r="AF450">
        <v>2023</v>
      </c>
    </row>
    <row r="451" spans="1:32" x14ac:dyDescent="0.2">
      <c r="A451">
        <v>14</v>
      </c>
      <c r="B451" t="s">
        <v>639</v>
      </c>
      <c r="C451">
        <v>1</v>
      </c>
      <c r="D451" t="s">
        <v>590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640</v>
      </c>
      <c r="N451">
        <v>0</v>
      </c>
      <c r="O451">
        <v>0</v>
      </c>
      <c r="Q451">
        <v>0</v>
      </c>
      <c r="R451">
        <v>0</v>
      </c>
      <c r="S451" t="s">
        <v>572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459</v>
      </c>
    </row>
    <row r="452" spans="1:32" hidden="1" x14ac:dyDescent="0.2">
      <c r="A452" t="s">
        <v>573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458</v>
      </c>
    </row>
    <row r="453" spans="1:32" hidden="1" x14ac:dyDescent="0.2">
      <c r="A453" t="s">
        <v>574</v>
      </c>
      <c r="B453" t="s">
        <v>592</v>
      </c>
      <c r="C453" t="s">
        <v>576</v>
      </c>
      <c r="D453" t="s">
        <v>577</v>
      </c>
      <c r="E453">
        <v>1.8380289999999999</v>
      </c>
    </row>
    <row r="454" spans="1:32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Q454">
        <v>1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578</v>
      </c>
      <c r="AC454" t="s">
        <v>495</v>
      </c>
      <c r="AD454">
        <v>4</v>
      </c>
      <c r="AE454" s="31">
        <v>0.35988425925925926</v>
      </c>
      <c r="AF454">
        <v>2023</v>
      </c>
    </row>
    <row r="455" spans="1:32" hidden="1" x14ac:dyDescent="0.2">
      <c r="A455">
        <v>14</v>
      </c>
      <c r="B455" t="s">
        <v>639</v>
      </c>
      <c r="C455">
        <v>0</v>
      </c>
      <c r="D455" t="s">
        <v>641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642</v>
      </c>
      <c r="N455">
        <v>0</v>
      </c>
      <c r="O455">
        <v>0</v>
      </c>
      <c r="Q455">
        <v>0</v>
      </c>
      <c r="R455">
        <v>0</v>
      </c>
      <c r="S455" t="s">
        <v>572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 t="s">
        <v>459</v>
      </c>
    </row>
    <row r="456" spans="1:32" hidden="1" x14ac:dyDescent="0.2">
      <c r="A456" t="s">
        <v>573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 t="s">
        <v>458</v>
      </c>
    </row>
    <row r="457" spans="1:32" hidden="1" x14ac:dyDescent="0.2">
      <c r="A457" t="s">
        <v>574</v>
      </c>
      <c r="B457" t="s">
        <v>643</v>
      </c>
      <c r="C457" t="s">
        <v>576</v>
      </c>
      <c r="D457" t="s">
        <v>577</v>
      </c>
      <c r="E457">
        <v>1.838336</v>
      </c>
    </row>
    <row r="458" spans="1:32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578</v>
      </c>
      <c r="AC458" t="s">
        <v>495</v>
      </c>
      <c r="AD458">
        <v>4</v>
      </c>
      <c r="AE458" s="31">
        <v>0.3598958333333333</v>
      </c>
      <c r="AF458">
        <v>2023</v>
      </c>
    </row>
    <row r="459" spans="1:32" x14ac:dyDescent="0.2">
      <c r="A459">
        <v>14</v>
      </c>
      <c r="B459" t="s">
        <v>619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644</v>
      </c>
      <c r="N459">
        <v>0</v>
      </c>
      <c r="O459">
        <v>0</v>
      </c>
      <c r="Q459">
        <v>0</v>
      </c>
      <c r="R459">
        <v>0</v>
      </c>
      <c r="S459" t="s">
        <v>572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 t="s">
        <v>459</v>
      </c>
    </row>
    <row r="460" spans="1:32" hidden="1" x14ac:dyDescent="0.2">
      <c r="A460" t="s">
        <v>573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 t="s">
        <v>458</v>
      </c>
    </row>
    <row r="461" spans="1:32" hidden="1" x14ac:dyDescent="0.2">
      <c r="A461" t="s">
        <v>574</v>
      </c>
      <c r="B461" t="s">
        <v>587</v>
      </c>
      <c r="C461" t="s">
        <v>576</v>
      </c>
      <c r="D461" t="s">
        <v>577</v>
      </c>
      <c r="E461">
        <v>1.8380289999999999</v>
      </c>
    </row>
    <row r="462" spans="1:32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Q462">
        <v>1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578</v>
      </c>
      <c r="AC462" t="s">
        <v>495</v>
      </c>
      <c r="AD462">
        <v>4</v>
      </c>
      <c r="AE462" s="31">
        <v>0.3599074074074074</v>
      </c>
      <c r="AF462">
        <v>2023</v>
      </c>
    </row>
    <row r="463" spans="1:32" hidden="1" x14ac:dyDescent="0.2">
      <c r="A463">
        <v>14</v>
      </c>
      <c r="B463" t="s">
        <v>619</v>
      </c>
      <c r="C463">
        <v>0</v>
      </c>
      <c r="D463" t="s">
        <v>590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645</v>
      </c>
      <c r="N463">
        <v>0</v>
      </c>
      <c r="O463">
        <v>0</v>
      </c>
      <c r="Q463">
        <v>0</v>
      </c>
      <c r="R463">
        <v>0</v>
      </c>
      <c r="S463" t="s">
        <v>572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 t="s">
        <v>459</v>
      </c>
    </row>
    <row r="464" spans="1:32" hidden="1" x14ac:dyDescent="0.2">
      <c r="A464" t="s">
        <v>573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458</v>
      </c>
    </row>
    <row r="465" spans="1:32" hidden="1" x14ac:dyDescent="0.2">
      <c r="A465" t="s">
        <v>574</v>
      </c>
      <c r="B465" t="s">
        <v>592</v>
      </c>
      <c r="C465" t="s">
        <v>576</v>
      </c>
      <c r="D465" t="s">
        <v>577</v>
      </c>
      <c r="E465">
        <v>1.838797</v>
      </c>
    </row>
    <row r="466" spans="1:32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578</v>
      </c>
      <c r="AC466" t="s">
        <v>495</v>
      </c>
      <c r="AD466">
        <v>4</v>
      </c>
      <c r="AE466" s="31">
        <v>0.35991898148148144</v>
      </c>
      <c r="AF466">
        <v>2023</v>
      </c>
    </row>
    <row r="467" spans="1:32" x14ac:dyDescent="0.2">
      <c r="A467">
        <v>14</v>
      </c>
      <c r="B467" t="s">
        <v>569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646</v>
      </c>
      <c r="N467">
        <v>0</v>
      </c>
      <c r="O467">
        <v>0</v>
      </c>
      <c r="Q467">
        <v>0</v>
      </c>
      <c r="R467">
        <v>0</v>
      </c>
      <c r="S467" t="s">
        <v>572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459</v>
      </c>
    </row>
    <row r="468" spans="1:32" hidden="1" x14ac:dyDescent="0.2">
      <c r="A468" t="s">
        <v>573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 t="s">
        <v>458</v>
      </c>
    </row>
    <row r="469" spans="1:32" hidden="1" x14ac:dyDescent="0.2">
      <c r="A469" t="s">
        <v>574</v>
      </c>
      <c r="B469" t="s">
        <v>631</v>
      </c>
      <c r="C469" t="s">
        <v>576</v>
      </c>
      <c r="D469" t="s">
        <v>577</v>
      </c>
      <c r="E469">
        <v>1.8389500000000001</v>
      </c>
    </row>
    <row r="470" spans="1:32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Q470">
        <v>1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578</v>
      </c>
      <c r="AC470" t="s">
        <v>495</v>
      </c>
      <c r="AD470">
        <v>4</v>
      </c>
      <c r="AE470" s="31">
        <v>0.35993055555555559</v>
      </c>
      <c r="AF470">
        <v>2023</v>
      </c>
    </row>
    <row r="471" spans="1:32" hidden="1" x14ac:dyDescent="0.2">
      <c r="A471">
        <v>14</v>
      </c>
      <c r="B471" t="s">
        <v>569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647</v>
      </c>
      <c r="N471">
        <v>0</v>
      </c>
      <c r="O471">
        <v>0</v>
      </c>
      <c r="Q471">
        <v>0</v>
      </c>
      <c r="R471">
        <v>0</v>
      </c>
      <c r="S471" t="s">
        <v>613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459</v>
      </c>
    </row>
    <row r="472" spans="1:32" hidden="1" x14ac:dyDescent="0.2">
      <c r="A472" t="s">
        <v>573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 t="s">
        <v>458</v>
      </c>
    </row>
    <row r="473" spans="1:32" hidden="1" x14ac:dyDescent="0.2">
      <c r="A473" t="s">
        <v>574</v>
      </c>
      <c r="B473" t="s">
        <v>621</v>
      </c>
      <c r="C473" t="s">
        <v>576</v>
      </c>
      <c r="D473" t="s">
        <v>577</v>
      </c>
      <c r="E473">
        <v>1.8394109999999999</v>
      </c>
    </row>
    <row r="474" spans="1:32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Q474">
        <v>1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578</v>
      </c>
      <c r="AC474" t="s">
        <v>495</v>
      </c>
      <c r="AD474">
        <v>4</v>
      </c>
      <c r="AE474" s="31">
        <v>0.35994212962962963</v>
      </c>
      <c r="AF474">
        <v>2023</v>
      </c>
    </row>
    <row r="475" spans="1:32" x14ac:dyDescent="0.2">
      <c r="A475">
        <v>13</v>
      </c>
      <c r="B475" t="s">
        <v>569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648</v>
      </c>
      <c r="N475">
        <v>0</v>
      </c>
      <c r="O475">
        <v>0</v>
      </c>
      <c r="Q475">
        <v>0</v>
      </c>
      <c r="R475">
        <v>0</v>
      </c>
      <c r="S475" t="s">
        <v>613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459</v>
      </c>
    </row>
    <row r="476" spans="1:32" hidden="1" x14ac:dyDescent="0.2">
      <c r="A476" t="s">
        <v>573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 t="s">
        <v>458</v>
      </c>
    </row>
    <row r="477" spans="1:32" hidden="1" x14ac:dyDescent="0.2">
      <c r="A477" t="s">
        <v>574</v>
      </c>
      <c r="B477" t="s">
        <v>585</v>
      </c>
      <c r="C477" t="s">
        <v>576</v>
      </c>
      <c r="D477" t="s">
        <v>577</v>
      </c>
      <c r="E477">
        <v>1.8387199999999999</v>
      </c>
    </row>
    <row r="478" spans="1:32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Q478">
        <v>1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">
        <v>578</v>
      </c>
      <c r="AC478" t="s">
        <v>495</v>
      </c>
      <c r="AD478">
        <v>4</v>
      </c>
      <c r="AE478" s="31">
        <v>0.35995370370370372</v>
      </c>
      <c r="AF478">
        <v>2023</v>
      </c>
    </row>
    <row r="479" spans="1:32" hidden="1" x14ac:dyDescent="0.2">
      <c r="A479">
        <v>13</v>
      </c>
      <c r="B479" t="s">
        <v>569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649</v>
      </c>
      <c r="N479">
        <v>0</v>
      </c>
      <c r="O479">
        <v>0</v>
      </c>
      <c r="Q479">
        <v>0</v>
      </c>
      <c r="R479">
        <v>0</v>
      </c>
      <c r="S479" t="s">
        <v>613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459</v>
      </c>
    </row>
    <row r="480" spans="1:32" hidden="1" x14ac:dyDescent="0.2">
      <c r="A480" t="s">
        <v>573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 t="s">
        <v>458</v>
      </c>
    </row>
    <row r="481" spans="1:32" hidden="1" x14ac:dyDescent="0.2">
      <c r="A481" t="s">
        <v>574</v>
      </c>
      <c r="B481" t="s">
        <v>631</v>
      </c>
      <c r="C481" t="s">
        <v>576</v>
      </c>
      <c r="D481" t="s">
        <v>577</v>
      </c>
      <c r="E481">
        <v>1.8382590000000001</v>
      </c>
    </row>
    <row r="482" spans="1:32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Q482">
        <v>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">
        <v>578</v>
      </c>
      <c r="AC482" t="s">
        <v>495</v>
      </c>
      <c r="AD482">
        <v>4</v>
      </c>
      <c r="AE482" s="31">
        <v>0.35996527777777776</v>
      </c>
      <c r="AF482">
        <v>2023</v>
      </c>
    </row>
    <row r="483" spans="1:32" x14ac:dyDescent="0.2">
      <c r="A483">
        <v>14</v>
      </c>
      <c r="B483" t="s">
        <v>619</v>
      </c>
      <c r="C483">
        <v>1</v>
      </c>
      <c r="D483" t="s">
        <v>593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650</v>
      </c>
      <c r="N483">
        <v>0</v>
      </c>
      <c r="O483">
        <v>0</v>
      </c>
      <c r="Q483">
        <v>0</v>
      </c>
      <c r="R483">
        <v>0</v>
      </c>
      <c r="S483" t="s">
        <v>613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 t="s">
        <v>459</v>
      </c>
    </row>
    <row r="484" spans="1:32" hidden="1" x14ac:dyDescent="0.2">
      <c r="A484" t="s">
        <v>573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458</v>
      </c>
    </row>
    <row r="485" spans="1:32" hidden="1" x14ac:dyDescent="0.2">
      <c r="A485" t="s">
        <v>574</v>
      </c>
      <c r="B485" t="s">
        <v>595</v>
      </c>
      <c r="C485" t="s">
        <v>576</v>
      </c>
      <c r="D485" t="s">
        <v>577</v>
      </c>
      <c r="E485">
        <v>1.8381050000000001</v>
      </c>
    </row>
    <row r="486" spans="1:32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">
        <v>578</v>
      </c>
      <c r="AC486" t="s">
        <v>495</v>
      </c>
      <c r="AD486">
        <v>4</v>
      </c>
      <c r="AE486" s="31">
        <v>0.35997685185185185</v>
      </c>
      <c r="AF486">
        <v>2023</v>
      </c>
    </row>
    <row r="487" spans="1:32" hidden="1" x14ac:dyDescent="0.2">
      <c r="A487">
        <v>14</v>
      </c>
      <c r="B487" t="s">
        <v>619</v>
      </c>
      <c r="C487">
        <v>0</v>
      </c>
      <c r="D487" t="s">
        <v>570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651</v>
      </c>
      <c r="N487">
        <v>0</v>
      </c>
      <c r="O487">
        <v>0</v>
      </c>
      <c r="Q487">
        <v>0</v>
      </c>
      <c r="R487">
        <v>0</v>
      </c>
      <c r="S487" t="s">
        <v>613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 t="s">
        <v>459</v>
      </c>
    </row>
    <row r="488" spans="1:32" hidden="1" x14ac:dyDescent="0.2">
      <c r="A488" t="s">
        <v>573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 t="s">
        <v>458</v>
      </c>
    </row>
    <row r="489" spans="1:32" hidden="1" x14ac:dyDescent="0.2">
      <c r="A489" t="s">
        <v>574</v>
      </c>
      <c r="B489" t="s">
        <v>575</v>
      </c>
      <c r="C489" t="s">
        <v>576</v>
      </c>
      <c r="D489" t="s">
        <v>577</v>
      </c>
      <c r="E489">
        <v>1.838643</v>
      </c>
    </row>
    <row r="490" spans="1:32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">
        <v>578</v>
      </c>
      <c r="AC490" t="s">
        <v>495</v>
      </c>
      <c r="AD490">
        <v>4</v>
      </c>
      <c r="AE490" s="31">
        <v>0.35998842592592589</v>
      </c>
      <c r="AF490">
        <v>2023</v>
      </c>
    </row>
    <row r="491" spans="1:32" x14ac:dyDescent="0.2">
      <c r="A491">
        <v>14</v>
      </c>
      <c r="B491" t="s">
        <v>569</v>
      </c>
      <c r="C491">
        <v>1</v>
      </c>
      <c r="D491" t="s">
        <v>570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652</v>
      </c>
      <c r="N491">
        <v>0</v>
      </c>
      <c r="O491">
        <v>0</v>
      </c>
      <c r="Q491">
        <v>0</v>
      </c>
      <c r="R491">
        <v>0</v>
      </c>
      <c r="S491" t="s">
        <v>613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 t="s">
        <v>459</v>
      </c>
    </row>
    <row r="492" spans="1:32" hidden="1" x14ac:dyDescent="0.2">
      <c r="A492" t="s">
        <v>573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458</v>
      </c>
    </row>
    <row r="493" spans="1:32" hidden="1" x14ac:dyDescent="0.2">
      <c r="A493" t="s">
        <v>574</v>
      </c>
      <c r="B493" t="s">
        <v>575</v>
      </c>
      <c r="C493" t="s">
        <v>576</v>
      </c>
      <c r="D493" t="s">
        <v>577</v>
      </c>
      <c r="E493">
        <v>1.839181</v>
      </c>
    </row>
    <row r="494" spans="1:32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">
        <v>578</v>
      </c>
      <c r="AC494" t="s">
        <v>495</v>
      </c>
      <c r="AD494">
        <v>4</v>
      </c>
      <c r="AE494" s="31">
        <v>0.36000000000000004</v>
      </c>
      <c r="AF494">
        <v>2023</v>
      </c>
    </row>
    <row r="495" spans="1:32" hidden="1" x14ac:dyDescent="0.2">
      <c r="A495">
        <v>14</v>
      </c>
      <c r="B495" t="s">
        <v>569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653</v>
      </c>
      <c r="N495">
        <v>0</v>
      </c>
      <c r="O495">
        <v>0</v>
      </c>
      <c r="Q495">
        <v>0</v>
      </c>
      <c r="R495">
        <v>0</v>
      </c>
      <c r="S495" t="s">
        <v>613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 t="s">
        <v>459</v>
      </c>
    </row>
    <row r="496" spans="1:32" hidden="1" x14ac:dyDescent="0.2">
      <c r="A496" t="s">
        <v>573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 t="s">
        <v>458</v>
      </c>
    </row>
    <row r="497" spans="1:32" hidden="1" x14ac:dyDescent="0.2">
      <c r="A497" t="s">
        <v>574</v>
      </c>
      <c r="B497" t="s">
        <v>587</v>
      </c>
      <c r="C497" t="s">
        <v>576</v>
      </c>
      <c r="D497" t="s">
        <v>577</v>
      </c>
      <c r="E497">
        <v>1.8397950000000001</v>
      </c>
    </row>
    <row r="498" spans="1:32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">
        <v>578</v>
      </c>
      <c r="AC498" t="s">
        <v>495</v>
      </c>
      <c r="AD498">
        <v>4</v>
      </c>
      <c r="AE498" s="31">
        <v>0.36001157407407408</v>
      </c>
      <c r="AF498">
        <v>2023</v>
      </c>
    </row>
    <row r="499" spans="1:32" x14ac:dyDescent="0.2">
      <c r="A499">
        <v>14</v>
      </c>
      <c r="B499" t="s">
        <v>569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654</v>
      </c>
      <c r="N499">
        <v>0</v>
      </c>
      <c r="O499">
        <v>0</v>
      </c>
      <c r="Q499">
        <v>0</v>
      </c>
      <c r="R499">
        <v>0</v>
      </c>
      <c r="S499" t="s">
        <v>613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459</v>
      </c>
    </row>
    <row r="500" spans="1:32" hidden="1" x14ac:dyDescent="0.2">
      <c r="A500" t="s">
        <v>573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 t="s">
        <v>458</v>
      </c>
    </row>
    <row r="501" spans="1:32" hidden="1" x14ac:dyDescent="0.2">
      <c r="A501" t="s">
        <v>574</v>
      </c>
      <c r="B501" t="s">
        <v>624</v>
      </c>
      <c r="C501" t="s">
        <v>576</v>
      </c>
      <c r="D501" t="s">
        <v>577</v>
      </c>
      <c r="E501">
        <v>1.840025</v>
      </c>
    </row>
    <row r="502" spans="1:32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">
        <v>578</v>
      </c>
      <c r="AC502" t="s">
        <v>495</v>
      </c>
      <c r="AD502">
        <v>4</v>
      </c>
      <c r="AE502" s="31">
        <v>0.36002314814814818</v>
      </c>
      <c r="AF502">
        <v>2023</v>
      </c>
    </row>
    <row r="503" spans="1:32" hidden="1" x14ac:dyDescent="0.2">
      <c r="A503">
        <v>14</v>
      </c>
      <c r="B503" t="s">
        <v>569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655</v>
      </c>
      <c r="N503">
        <v>0</v>
      </c>
      <c r="O503">
        <v>0</v>
      </c>
      <c r="Q503">
        <v>0</v>
      </c>
      <c r="R503">
        <v>0</v>
      </c>
      <c r="S503" t="s">
        <v>613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 t="s">
        <v>459</v>
      </c>
    </row>
    <row r="504" spans="1:32" hidden="1" x14ac:dyDescent="0.2">
      <c r="A504" t="s">
        <v>573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458</v>
      </c>
    </row>
    <row r="505" spans="1:32" hidden="1" x14ac:dyDescent="0.2">
      <c r="A505" t="s">
        <v>574</v>
      </c>
      <c r="B505" t="s">
        <v>621</v>
      </c>
      <c r="C505" t="s">
        <v>576</v>
      </c>
      <c r="D505" t="s">
        <v>577</v>
      </c>
      <c r="E505">
        <v>1.8392569999999999</v>
      </c>
    </row>
    <row r="506" spans="1:32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578</v>
      </c>
      <c r="AC506" t="s">
        <v>495</v>
      </c>
      <c r="AD506">
        <v>4</v>
      </c>
      <c r="AE506" s="31">
        <v>0.36003472222222221</v>
      </c>
      <c r="AF506">
        <v>2023</v>
      </c>
    </row>
    <row r="507" spans="1:32" x14ac:dyDescent="0.2">
      <c r="A507">
        <v>14</v>
      </c>
      <c r="B507" t="s">
        <v>569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656</v>
      </c>
      <c r="N507">
        <v>0</v>
      </c>
      <c r="O507">
        <v>0</v>
      </c>
      <c r="Q507">
        <v>0</v>
      </c>
      <c r="R507">
        <v>0</v>
      </c>
      <c r="S507" t="s">
        <v>613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 t="s">
        <v>459</v>
      </c>
    </row>
    <row r="508" spans="1:32" hidden="1" x14ac:dyDescent="0.2">
      <c r="A508" t="s">
        <v>573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 t="s">
        <v>458</v>
      </c>
    </row>
    <row r="509" spans="1:32" hidden="1" x14ac:dyDescent="0.2">
      <c r="A509" t="s">
        <v>574</v>
      </c>
      <c r="B509" t="s">
        <v>598</v>
      </c>
      <c r="C509" t="s">
        <v>576</v>
      </c>
      <c r="D509" t="s">
        <v>577</v>
      </c>
      <c r="E509">
        <v>1.8389500000000001</v>
      </c>
    </row>
    <row r="510" spans="1:32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">
        <v>578</v>
      </c>
      <c r="AC510" t="s">
        <v>495</v>
      </c>
      <c r="AD510">
        <v>4</v>
      </c>
      <c r="AE510" s="31">
        <v>0.36004629629629631</v>
      </c>
      <c r="AF510">
        <v>2023</v>
      </c>
    </row>
    <row r="511" spans="1:32" hidden="1" x14ac:dyDescent="0.2">
      <c r="A511">
        <v>14</v>
      </c>
      <c r="B511" t="s">
        <v>569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657</v>
      </c>
      <c r="N511">
        <v>0</v>
      </c>
      <c r="O511">
        <v>0</v>
      </c>
      <c r="Q511">
        <v>0</v>
      </c>
      <c r="R511">
        <v>0</v>
      </c>
      <c r="S511" t="s">
        <v>613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459</v>
      </c>
    </row>
    <row r="512" spans="1:32" hidden="1" x14ac:dyDescent="0.2">
      <c r="A512" t="s">
        <v>573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 t="s">
        <v>458</v>
      </c>
    </row>
    <row r="513" spans="1:32" hidden="1" x14ac:dyDescent="0.2">
      <c r="A513" t="s">
        <v>574</v>
      </c>
      <c r="B513" t="s">
        <v>624</v>
      </c>
      <c r="C513" t="s">
        <v>576</v>
      </c>
      <c r="D513" t="s">
        <v>577</v>
      </c>
      <c r="E513">
        <v>1.839334</v>
      </c>
    </row>
    <row r="514" spans="1:32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">
        <v>578</v>
      </c>
      <c r="AC514" t="s">
        <v>495</v>
      </c>
      <c r="AD514">
        <v>4</v>
      </c>
      <c r="AE514" s="31">
        <v>0.36005787037037035</v>
      </c>
      <c r="AF514">
        <v>2023</v>
      </c>
    </row>
    <row r="515" spans="1:32" x14ac:dyDescent="0.2">
      <c r="A515">
        <v>13</v>
      </c>
      <c r="B515" t="s">
        <v>569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658</v>
      </c>
      <c r="N515">
        <v>0</v>
      </c>
      <c r="O515">
        <v>0</v>
      </c>
      <c r="Q515">
        <v>0</v>
      </c>
      <c r="R515">
        <v>0</v>
      </c>
      <c r="S515" t="s">
        <v>613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459</v>
      </c>
    </row>
    <row r="516" spans="1:32" hidden="1" x14ac:dyDescent="0.2">
      <c r="A516" t="s">
        <v>573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 t="s">
        <v>458</v>
      </c>
    </row>
    <row r="517" spans="1:32" hidden="1" x14ac:dyDescent="0.2">
      <c r="A517" t="s">
        <v>574</v>
      </c>
      <c r="B517" t="s">
        <v>587</v>
      </c>
      <c r="C517" t="s">
        <v>576</v>
      </c>
      <c r="D517" t="s">
        <v>577</v>
      </c>
      <c r="E517">
        <v>1.8396410000000001</v>
      </c>
    </row>
    <row r="518" spans="1:32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">
        <v>578</v>
      </c>
      <c r="AC518" t="s">
        <v>495</v>
      </c>
      <c r="AD518">
        <v>4</v>
      </c>
      <c r="AE518" s="31">
        <v>0.3600694444444445</v>
      </c>
      <c r="AF518">
        <v>2023</v>
      </c>
    </row>
    <row r="519" spans="1:32" hidden="1" x14ac:dyDescent="0.2">
      <c r="A519">
        <v>13</v>
      </c>
      <c r="B519" t="s">
        <v>569</v>
      </c>
      <c r="C519">
        <v>0</v>
      </c>
      <c r="D519" t="s">
        <v>641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659</v>
      </c>
      <c r="N519">
        <v>0</v>
      </c>
      <c r="O519">
        <v>0</v>
      </c>
      <c r="Q519">
        <v>0</v>
      </c>
      <c r="R519">
        <v>0</v>
      </c>
      <c r="S519" t="s">
        <v>572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 t="s">
        <v>459</v>
      </c>
    </row>
    <row r="520" spans="1:32" hidden="1" x14ac:dyDescent="0.2">
      <c r="A520" t="s">
        <v>573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458</v>
      </c>
    </row>
    <row r="521" spans="1:32" hidden="1" x14ac:dyDescent="0.2">
      <c r="A521" t="s">
        <v>574</v>
      </c>
      <c r="B521" t="s">
        <v>643</v>
      </c>
      <c r="C521" t="s">
        <v>576</v>
      </c>
      <c r="D521" t="s">
        <v>577</v>
      </c>
      <c r="E521">
        <v>1.840179</v>
      </c>
    </row>
    <row r="522" spans="1:32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Q522">
        <v>1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">
        <v>578</v>
      </c>
      <c r="AC522" t="s">
        <v>495</v>
      </c>
      <c r="AD522">
        <v>4</v>
      </c>
      <c r="AE522" s="31">
        <v>0.36008101851851854</v>
      </c>
      <c r="AF522">
        <v>2023</v>
      </c>
    </row>
    <row r="523" spans="1:32" x14ac:dyDescent="0.2">
      <c r="A523">
        <v>14</v>
      </c>
      <c r="B523" t="s">
        <v>569</v>
      </c>
      <c r="C523">
        <v>1</v>
      </c>
      <c r="D523" t="s">
        <v>590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660</v>
      </c>
      <c r="N523">
        <v>0</v>
      </c>
      <c r="O523">
        <v>0</v>
      </c>
      <c r="Q523">
        <v>0</v>
      </c>
      <c r="R523">
        <v>0</v>
      </c>
      <c r="S523" t="s">
        <v>613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 t="s">
        <v>459</v>
      </c>
    </row>
    <row r="524" spans="1:32" hidden="1" x14ac:dyDescent="0.2">
      <c r="A524" t="s">
        <v>573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 t="s">
        <v>458</v>
      </c>
    </row>
    <row r="525" spans="1:32" hidden="1" x14ac:dyDescent="0.2">
      <c r="A525" t="s">
        <v>574</v>
      </c>
      <c r="B525" t="s">
        <v>592</v>
      </c>
      <c r="C525" t="s">
        <v>576</v>
      </c>
      <c r="D525" t="s">
        <v>577</v>
      </c>
      <c r="E525">
        <v>1.8400259999999999</v>
      </c>
    </row>
    <row r="526" spans="1:32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">
        <v>578</v>
      </c>
      <c r="AC526" t="s">
        <v>495</v>
      </c>
      <c r="AD526">
        <v>4</v>
      </c>
      <c r="AE526" s="31">
        <v>0.36009259259259258</v>
      </c>
      <c r="AF526">
        <v>2023</v>
      </c>
    </row>
    <row r="527" spans="1:32" hidden="1" x14ac:dyDescent="0.2">
      <c r="A527">
        <v>14</v>
      </c>
      <c r="B527" t="s">
        <v>569</v>
      </c>
      <c r="C527">
        <v>0</v>
      </c>
      <c r="D527" t="s">
        <v>593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661</v>
      </c>
      <c r="N527">
        <v>0</v>
      </c>
      <c r="O527">
        <v>0</v>
      </c>
      <c r="Q527">
        <v>0</v>
      </c>
      <c r="R527">
        <v>0</v>
      </c>
      <c r="S527" t="s">
        <v>613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459</v>
      </c>
    </row>
    <row r="528" spans="1:32" hidden="1" x14ac:dyDescent="0.2">
      <c r="A528" t="s">
        <v>573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458</v>
      </c>
    </row>
    <row r="529" spans="1:32" hidden="1" x14ac:dyDescent="0.2">
      <c r="A529" t="s">
        <v>574</v>
      </c>
      <c r="B529" t="s">
        <v>595</v>
      </c>
      <c r="C529" t="s">
        <v>576</v>
      </c>
      <c r="D529" t="s">
        <v>577</v>
      </c>
      <c r="E529">
        <v>1.8399490000000001</v>
      </c>
    </row>
    <row r="530" spans="1:32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Q530">
        <v>1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">
        <v>578</v>
      </c>
      <c r="AC530" t="s">
        <v>495</v>
      </c>
      <c r="AD530">
        <v>4</v>
      </c>
      <c r="AE530" s="31">
        <v>0.36010416666666667</v>
      </c>
      <c r="AF530">
        <v>2023</v>
      </c>
    </row>
    <row r="531" spans="1:32" x14ac:dyDescent="0.2">
      <c r="A531">
        <v>14</v>
      </c>
      <c r="B531" t="s">
        <v>569</v>
      </c>
      <c r="C531">
        <v>1</v>
      </c>
      <c r="D531" t="s">
        <v>570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662</v>
      </c>
      <c r="N531">
        <v>0</v>
      </c>
      <c r="O531">
        <v>0</v>
      </c>
      <c r="Q531">
        <v>0</v>
      </c>
      <c r="R531">
        <v>0</v>
      </c>
      <c r="S531" t="s">
        <v>613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 t="s">
        <v>459</v>
      </c>
    </row>
    <row r="532" spans="1:32" hidden="1" x14ac:dyDescent="0.2">
      <c r="A532" t="s">
        <v>573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458</v>
      </c>
    </row>
    <row r="533" spans="1:32" hidden="1" x14ac:dyDescent="0.2">
      <c r="A533" t="s">
        <v>574</v>
      </c>
      <c r="B533" t="s">
        <v>575</v>
      </c>
      <c r="C533" t="s">
        <v>576</v>
      </c>
      <c r="D533" t="s">
        <v>577</v>
      </c>
      <c r="E533">
        <v>1.8404100000000001</v>
      </c>
    </row>
    <row r="534" spans="1:32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">
        <v>578</v>
      </c>
      <c r="AC534" t="s">
        <v>495</v>
      </c>
      <c r="AD534">
        <v>4</v>
      </c>
      <c r="AE534" s="31">
        <v>0.36011574074074071</v>
      </c>
      <c r="AF534">
        <v>2023</v>
      </c>
    </row>
    <row r="535" spans="1:32" hidden="1" x14ac:dyDescent="0.2">
      <c r="A535">
        <v>14</v>
      </c>
      <c r="B535" t="s">
        <v>569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663</v>
      </c>
      <c r="N535">
        <v>0</v>
      </c>
      <c r="O535">
        <v>0</v>
      </c>
      <c r="Q535">
        <v>0</v>
      </c>
      <c r="R535">
        <v>0</v>
      </c>
      <c r="S535" t="s">
        <v>613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 t="s">
        <v>459</v>
      </c>
    </row>
    <row r="536" spans="1:32" hidden="1" x14ac:dyDescent="0.2">
      <c r="A536" t="s">
        <v>573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 t="s">
        <v>458</v>
      </c>
    </row>
    <row r="537" spans="1:32" hidden="1" x14ac:dyDescent="0.2">
      <c r="A537" t="s">
        <v>574</v>
      </c>
      <c r="B537" t="s">
        <v>580</v>
      </c>
      <c r="C537" t="s">
        <v>576</v>
      </c>
      <c r="D537" t="s">
        <v>577</v>
      </c>
      <c r="E537">
        <v>1.8400259999999999</v>
      </c>
    </row>
    <row r="538" spans="1:32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">
        <v>578</v>
      </c>
      <c r="AC538" t="s">
        <v>495</v>
      </c>
      <c r="AD538">
        <v>4</v>
      </c>
      <c r="AE538" s="31">
        <v>0.3601273148148148</v>
      </c>
      <c r="AF538">
        <v>2023</v>
      </c>
    </row>
    <row r="539" spans="1:32" x14ac:dyDescent="0.2">
      <c r="A539">
        <v>14</v>
      </c>
      <c r="B539" t="s">
        <v>619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Q539">
        <v>0</v>
      </c>
      <c r="R539">
        <v>0</v>
      </c>
      <c r="S539" t="s">
        <v>613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 t="s">
        <v>459</v>
      </c>
    </row>
    <row r="540" spans="1:32" hidden="1" x14ac:dyDescent="0.2">
      <c r="A540" t="s">
        <v>573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 t="s">
        <v>458</v>
      </c>
    </row>
    <row r="541" spans="1:32" hidden="1" x14ac:dyDescent="0.2">
      <c r="A541" t="s">
        <v>574</v>
      </c>
      <c r="B541" t="s">
        <v>621</v>
      </c>
      <c r="C541" t="s">
        <v>576</v>
      </c>
      <c r="D541" t="s">
        <v>577</v>
      </c>
      <c r="E541">
        <v>1.840333</v>
      </c>
    </row>
    <row r="542" spans="1:32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578</v>
      </c>
      <c r="AC542" t="s">
        <v>495</v>
      </c>
      <c r="AD542">
        <v>4</v>
      </c>
      <c r="AE542" s="31">
        <v>0.36013888888888884</v>
      </c>
      <c r="AF542">
        <v>2023</v>
      </c>
    </row>
    <row r="543" spans="1:32" hidden="1" x14ac:dyDescent="0.2">
      <c r="A543">
        <v>14</v>
      </c>
      <c r="B543" t="s">
        <v>619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Q543">
        <v>0</v>
      </c>
      <c r="R543">
        <v>0</v>
      </c>
      <c r="S543" t="s">
        <v>613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 t="s">
        <v>459</v>
      </c>
    </row>
    <row r="544" spans="1:32" hidden="1" x14ac:dyDescent="0.2">
      <c r="A544" t="s">
        <v>573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 t="s">
        <v>458</v>
      </c>
    </row>
    <row r="545" spans="1:32" hidden="1" x14ac:dyDescent="0.2">
      <c r="A545" t="s">
        <v>574</v>
      </c>
      <c r="B545" t="s">
        <v>603</v>
      </c>
      <c r="C545" t="s">
        <v>576</v>
      </c>
      <c r="D545" t="s">
        <v>577</v>
      </c>
      <c r="E545">
        <v>1.8407169999999999</v>
      </c>
    </row>
    <row r="546" spans="1:32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578</v>
      </c>
      <c r="AC546" t="s">
        <v>495</v>
      </c>
      <c r="AD546">
        <v>4</v>
      </c>
      <c r="AE546" s="31">
        <v>0.36015046296296299</v>
      </c>
      <c r="AF546">
        <v>2023</v>
      </c>
    </row>
    <row r="547" spans="1:32" x14ac:dyDescent="0.2">
      <c r="A547">
        <v>14</v>
      </c>
      <c r="B547" t="s">
        <v>619</v>
      </c>
      <c r="C547">
        <v>1</v>
      </c>
      <c r="D547" t="s">
        <v>637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Q547">
        <v>0</v>
      </c>
      <c r="R547">
        <v>0</v>
      </c>
      <c r="S547" t="s">
        <v>613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 t="s">
        <v>459</v>
      </c>
    </row>
    <row r="548" spans="1:32" hidden="1" x14ac:dyDescent="0.2">
      <c r="A548" t="s">
        <v>573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 t="s">
        <v>458</v>
      </c>
    </row>
    <row r="549" spans="1:32" hidden="1" x14ac:dyDescent="0.2">
      <c r="A549" t="s">
        <v>574</v>
      </c>
      <c r="B549" t="s">
        <v>638</v>
      </c>
      <c r="C549" t="s">
        <v>576</v>
      </c>
      <c r="D549" t="s">
        <v>577</v>
      </c>
      <c r="E549">
        <v>1.8413310000000001</v>
      </c>
    </row>
    <row r="550" spans="1:32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578</v>
      </c>
      <c r="AC550" t="s">
        <v>495</v>
      </c>
      <c r="AD550">
        <v>4</v>
      </c>
      <c r="AE550" s="31">
        <v>0.36016203703703703</v>
      </c>
      <c r="AF550">
        <v>2023</v>
      </c>
    </row>
    <row r="551" spans="1:32" hidden="1" x14ac:dyDescent="0.2">
      <c r="A551">
        <v>14</v>
      </c>
      <c r="B551" t="s">
        <v>619</v>
      </c>
      <c r="C551">
        <v>0</v>
      </c>
      <c r="D551" t="s">
        <v>590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Q551">
        <v>0</v>
      </c>
      <c r="R551">
        <v>0</v>
      </c>
      <c r="S551" t="s">
        <v>613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 t="s">
        <v>459</v>
      </c>
    </row>
    <row r="552" spans="1:32" hidden="1" x14ac:dyDescent="0.2">
      <c r="A552" t="s">
        <v>573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 t="s">
        <v>458</v>
      </c>
    </row>
    <row r="553" spans="1:32" hidden="1" x14ac:dyDescent="0.2">
      <c r="A553" t="s">
        <v>574</v>
      </c>
      <c r="B553" t="s">
        <v>592</v>
      </c>
      <c r="C553" t="s">
        <v>576</v>
      </c>
      <c r="D553" t="s">
        <v>577</v>
      </c>
      <c r="E553">
        <v>1.841178</v>
      </c>
    </row>
    <row r="554" spans="1:32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">
        <v>578</v>
      </c>
      <c r="AC554" t="s">
        <v>495</v>
      </c>
      <c r="AD554">
        <v>4</v>
      </c>
      <c r="AE554" s="31">
        <v>0.36017361111111112</v>
      </c>
      <c r="AF554">
        <v>2023</v>
      </c>
    </row>
    <row r="555" spans="1:32" x14ac:dyDescent="0.2">
      <c r="A555">
        <v>14</v>
      </c>
      <c r="B555" t="s">
        <v>614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Q555">
        <v>0</v>
      </c>
      <c r="R555">
        <v>0</v>
      </c>
      <c r="S555" t="s">
        <v>613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459</v>
      </c>
    </row>
    <row r="556" spans="1:32" hidden="1" x14ac:dyDescent="0.2">
      <c r="A556" t="s">
        <v>573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 t="s">
        <v>458</v>
      </c>
    </row>
    <row r="557" spans="1:32" hidden="1" x14ac:dyDescent="0.2">
      <c r="A557" t="s">
        <v>574</v>
      </c>
      <c r="B557" t="s">
        <v>624</v>
      </c>
      <c r="C557" t="s">
        <v>576</v>
      </c>
      <c r="D557" t="s">
        <v>577</v>
      </c>
      <c r="E557">
        <v>1.8411010000000001</v>
      </c>
    </row>
    <row r="558" spans="1:32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Q558">
        <v>1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">
        <v>578</v>
      </c>
      <c r="AC558" t="s">
        <v>495</v>
      </c>
      <c r="AD558">
        <v>4</v>
      </c>
      <c r="AE558" s="31">
        <v>0.36018518518518516</v>
      </c>
      <c r="AF558">
        <v>2023</v>
      </c>
    </row>
    <row r="559" spans="1:32" hidden="1" x14ac:dyDescent="0.2">
      <c r="A559">
        <v>14</v>
      </c>
      <c r="B559" t="s">
        <v>614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Q559">
        <v>0</v>
      </c>
      <c r="R559">
        <v>0</v>
      </c>
      <c r="S559" t="s">
        <v>664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459</v>
      </c>
    </row>
    <row r="560" spans="1:32" hidden="1" x14ac:dyDescent="0.2">
      <c r="A560" t="s">
        <v>573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458</v>
      </c>
    </row>
    <row r="561" spans="1:32" hidden="1" x14ac:dyDescent="0.2">
      <c r="A561" t="s">
        <v>574</v>
      </c>
      <c r="B561" t="s">
        <v>621</v>
      </c>
      <c r="C561" t="s">
        <v>576</v>
      </c>
      <c r="D561" t="s">
        <v>577</v>
      </c>
      <c r="E561">
        <v>1.8406400000000001</v>
      </c>
    </row>
    <row r="562" spans="1:32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Q562">
        <v>1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">
        <v>578</v>
      </c>
      <c r="AC562" t="s">
        <v>495</v>
      </c>
      <c r="AD562">
        <v>4</v>
      </c>
      <c r="AE562" s="31">
        <v>0.36019675925925926</v>
      </c>
      <c r="AF562">
        <v>2023</v>
      </c>
    </row>
    <row r="563" spans="1:32" x14ac:dyDescent="0.2">
      <c r="A563">
        <v>14</v>
      </c>
      <c r="B563" t="s">
        <v>619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Q563">
        <v>0</v>
      </c>
      <c r="R563">
        <v>0</v>
      </c>
      <c r="S563" t="s">
        <v>613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 t="s">
        <v>459</v>
      </c>
    </row>
    <row r="564" spans="1:32" hidden="1" x14ac:dyDescent="0.2">
      <c r="A564" t="s">
        <v>573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 t="s">
        <v>458</v>
      </c>
    </row>
    <row r="565" spans="1:32" hidden="1" x14ac:dyDescent="0.2">
      <c r="A565" t="s">
        <v>574</v>
      </c>
      <c r="B565" t="s">
        <v>585</v>
      </c>
      <c r="C565" t="s">
        <v>576</v>
      </c>
      <c r="D565" t="s">
        <v>577</v>
      </c>
      <c r="E565">
        <v>1.8404100000000001</v>
      </c>
    </row>
    <row r="566" spans="1:32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Q566">
        <v>1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">
        <v>578</v>
      </c>
      <c r="AC566" t="s">
        <v>495</v>
      </c>
      <c r="AD566">
        <v>4</v>
      </c>
      <c r="AE566" s="31">
        <v>0.3602083333333333</v>
      </c>
      <c r="AF566">
        <v>2023</v>
      </c>
    </row>
    <row r="567" spans="1:32" hidden="1" x14ac:dyDescent="0.2">
      <c r="A567" t="s">
        <v>665</v>
      </c>
    </row>
  </sheetData>
  <autoFilter ref="A79:AG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7">
        <v>3.2258064499999998E-3</v>
      </c>
    </row>
    <row r="8" spans="2:28" x14ac:dyDescent="0.2">
      <c r="O8" t="s">
        <v>705</v>
      </c>
      <c r="P8" t="s">
        <v>701</v>
      </c>
      <c r="R8" t="s">
        <v>695</v>
      </c>
      <c r="T8" t="s">
        <v>696</v>
      </c>
      <c r="V8" t="s">
        <v>697</v>
      </c>
      <c r="X8" t="s">
        <v>698</v>
      </c>
      <c r="Z8" t="s">
        <v>700</v>
      </c>
      <c r="AB8" t="s">
        <v>699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666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667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668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670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342</v>
      </c>
      <c r="I19" t="s">
        <v>669</v>
      </c>
      <c r="J19">
        <v>100</v>
      </c>
    </row>
    <row r="20" spans="2:28" x14ac:dyDescent="0.2">
      <c r="H20" t="s">
        <v>342</v>
      </c>
      <c r="I20" t="s">
        <v>669</v>
      </c>
      <c r="J20">
        <f>J19/G19</f>
        <v>40.816326530612244</v>
      </c>
    </row>
    <row r="22" spans="2:28" x14ac:dyDescent="0.2">
      <c r="T22" t="s">
        <v>704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703</v>
      </c>
      <c r="R23" t="s">
        <v>702</v>
      </c>
      <c r="T23" t="s">
        <v>703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F5AF7-BEBC-464F-8AEE-CFDF7BD7F669}">
  <sheetPr codeName="Sheet15"/>
  <dimension ref="A1:T27"/>
  <sheetViews>
    <sheetView topLeftCell="L5" zoomScale="191" zoomScaleNormal="191" workbookViewId="0">
      <selection activeCell="T11" sqref="T11"/>
    </sheetView>
  </sheetViews>
  <sheetFormatPr baseColWidth="10" defaultRowHeight="16" x14ac:dyDescent="0.2"/>
  <sheetData>
    <row r="1" spans="1:20" x14ac:dyDescent="0.2">
      <c r="B1" t="s">
        <v>1199</v>
      </c>
      <c r="C1" t="s">
        <v>1198</v>
      </c>
      <c r="D1" t="s">
        <v>1197</v>
      </c>
    </row>
    <row r="2" spans="1:20" x14ac:dyDescent="0.2">
      <c r="B2">
        <v>0.5</v>
      </c>
      <c r="C2">
        <v>0</v>
      </c>
      <c r="D2">
        <v>0</v>
      </c>
      <c r="E2">
        <f>((D2*$I$3)-$I$4)*25</f>
        <v>-4.8828125E-2</v>
      </c>
    </row>
    <row r="3" spans="1:20" x14ac:dyDescent="0.2">
      <c r="B3">
        <v>2.5</v>
      </c>
      <c r="C3">
        <v>50</v>
      </c>
      <c r="D3">
        <v>512</v>
      </c>
      <c r="E3">
        <f>((D3*$I$3)-$I$4)*25</f>
        <v>49.951171875</v>
      </c>
      <c r="G3">
        <v>4</v>
      </c>
      <c r="H3">
        <v>1024</v>
      </c>
      <c r="I3">
        <f>G3/H3</f>
        <v>3.90625E-3</v>
      </c>
    </row>
    <row r="4" spans="1:20" x14ac:dyDescent="0.2">
      <c r="B4">
        <v>4.5</v>
      </c>
      <c r="C4">
        <v>100</v>
      </c>
      <c r="D4">
        <v>1024</v>
      </c>
      <c r="E4">
        <f>((D4*$I$3)-$I$4)*25</f>
        <v>99.951171875</v>
      </c>
      <c r="I4">
        <f>I3*0.5</f>
        <v>1.953125E-3</v>
      </c>
    </row>
    <row r="10" spans="1:20" x14ac:dyDescent="0.2">
      <c r="T10" t="s">
        <v>1220</v>
      </c>
    </row>
    <row r="12" spans="1:20" x14ac:dyDescent="0.2">
      <c r="A12" t="s">
        <v>1197</v>
      </c>
      <c r="B12" t="s">
        <v>1048</v>
      </c>
    </row>
    <row r="13" spans="1:20" x14ac:dyDescent="0.2">
      <c r="A13">
        <v>505</v>
      </c>
      <c r="B13">
        <v>63</v>
      </c>
    </row>
    <row r="14" spans="1:20" x14ac:dyDescent="0.2">
      <c r="A14">
        <v>482</v>
      </c>
      <c r="B14">
        <v>59</v>
      </c>
    </row>
    <row r="15" spans="1:20" x14ac:dyDescent="0.2">
      <c r="A15">
        <v>460</v>
      </c>
      <c r="B15">
        <v>56</v>
      </c>
    </row>
    <row r="16" spans="1:20" x14ac:dyDescent="0.2">
      <c r="A16">
        <v>454</v>
      </c>
      <c r="B16">
        <v>55</v>
      </c>
    </row>
    <row r="17" spans="1:2" x14ac:dyDescent="0.2">
      <c r="A17">
        <v>422</v>
      </c>
      <c r="B17">
        <v>52</v>
      </c>
    </row>
    <row r="21" spans="1:2" x14ac:dyDescent="0.2">
      <c r="A21" t="s">
        <v>1237</v>
      </c>
    </row>
    <row r="22" spans="1:2" x14ac:dyDescent="0.2">
      <c r="A22" t="s">
        <v>1197</v>
      </c>
      <c r="B22" t="s">
        <v>1048</v>
      </c>
    </row>
    <row r="23" spans="1:2" x14ac:dyDescent="0.2">
      <c r="A23">
        <v>518</v>
      </c>
      <c r="B23">
        <v>43.5</v>
      </c>
    </row>
    <row r="24" spans="1:2" x14ac:dyDescent="0.2">
      <c r="A24">
        <v>429</v>
      </c>
      <c r="B24">
        <v>33.200000000000003</v>
      </c>
    </row>
    <row r="25" spans="1:2" x14ac:dyDescent="0.2">
      <c r="A25">
        <v>293</v>
      </c>
      <c r="B25">
        <v>19.5</v>
      </c>
    </row>
    <row r="26" spans="1:2" x14ac:dyDescent="0.2">
      <c r="A26">
        <v>267</v>
      </c>
      <c r="B26">
        <v>16.600000000000001</v>
      </c>
    </row>
    <row r="27" spans="1:2" x14ac:dyDescent="0.2">
      <c r="A27">
        <v>183</v>
      </c>
      <c r="B27">
        <v>7.2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78565-0E94-1A4E-919C-323D04170BDC}">
  <sheetPr codeName="Sheet16"/>
  <dimension ref="B2:G40"/>
  <sheetViews>
    <sheetView tabSelected="1" zoomScale="90" zoomScaleNormal="90" workbookViewId="0">
      <selection activeCell="I18" sqref="I18"/>
    </sheetView>
  </sheetViews>
  <sheetFormatPr baseColWidth="10" defaultRowHeight="16" x14ac:dyDescent="0.2"/>
  <sheetData>
    <row r="2" spans="2:7" x14ac:dyDescent="0.2">
      <c r="B2" t="s">
        <v>1244</v>
      </c>
      <c r="G2" t="s">
        <v>1239</v>
      </c>
    </row>
    <row r="4" spans="2:7" x14ac:dyDescent="0.2">
      <c r="B4" s="198" t="s">
        <v>1095</v>
      </c>
      <c r="C4" s="198" t="s">
        <v>758</v>
      </c>
      <c r="D4" s="198" t="s">
        <v>1238</v>
      </c>
      <c r="E4" s="198" t="s">
        <v>1245</v>
      </c>
      <c r="F4" s="198" t="s">
        <v>741</v>
      </c>
      <c r="G4" s="198"/>
    </row>
    <row r="5" spans="2:7" x14ac:dyDescent="0.2">
      <c r="B5" s="209">
        <v>0</v>
      </c>
      <c r="C5" s="209">
        <v>0</v>
      </c>
      <c r="D5" s="198">
        <v>10.56</v>
      </c>
      <c r="E5" s="210">
        <v>0</v>
      </c>
      <c r="F5" s="198">
        <v>40.880000000000003</v>
      </c>
      <c r="G5" s="198"/>
    </row>
    <row r="6" spans="2:7" x14ac:dyDescent="0.2">
      <c r="B6" s="197">
        <v>1</v>
      </c>
      <c r="C6" s="197">
        <v>1</v>
      </c>
      <c r="D6" s="197"/>
      <c r="E6" s="197"/>
      <c r="F6" s="197"/>
      <c r="G6" s="197"/>
    </row>
    <row r="7" spans="2:7" x14ac:dyDescent="0.2">
      <c r="B7" s="197">
        <v>1</v>
      </c>
      <c r="C7" s="197">
        <v>2</v>
      </c>
      <c r="D7" s="197"/>
      <c r="E7" s="197"/>
      <c r="F7" s="197"/>
      <c r="G7" s="197"/>
    </row>
    <row r="8" spans="2:7" x14ac:dyDescent="0.2">
      <c r="B8" s="197">
        <v>1</v>
      </c>
      <c r="C8" s="197">
        <v>3</v>
      </c>
      <c r="D8" s="197"/>
      <c r="E8" s="197"/>
      <c r="F8" s="197"/>
      <c r="G8" s="197"/>
    </row>
    <row r="9" spans="2:7" x14ac:dyDescent="0.2">
      <c r="B9" s="197">
        <v>1</v>
      </c>
      <c r="C9" s="197">
        <v>4</v>
      </c>
      <c r="D9" s="197"/>
      <c r="E9" s="197"/>
      <c r="F9" s="197"/>
      <c r="G9" s="197"/>
    </row>
    <row r="10" spans="2:7" x14ac:dyDescent="0.2">
      <c r="B10" s="197">
        <v>1</v>
      </c>
      <c r="C10" s="197">
        <v>5</v>
      </c>
      <c r="D10" s="197"/>
      <c r="E10" s="197"/>
      <c r="F10" s="197"/>
      <c r="G10" s="197"/>
    </row>
    <row r="11" spans="2:7" x14ac:dyDescent="0.2">
      <c r="B11" s="197">
        <v>1</v>
      </c>
      <c r="C11" s="197">
        <v>6</v>
      </c>
      <c r="D11" s="197"/>
      <c r="E11" s="197"/>
      <c r="F11" s="197"/>
      <c r="G11" s="197"/>
    </row>
    <row r="12" spans="2:7" x14ac:dyDescent="0.2">
      <c r="B12" s="197">
        <v>1</v>
      </c>
      <c r="C12" s="197">
        <v>7</v>
      </c>
      <c r="D12" s="197"/>
      <c r="E12" s="197"/>
      <c r="F12" s="197"/>
      <c r="G12" s="197"/>
    </row>
    <row r="13" spans="2:7" x14ac:dyDescent="0.2">
      <c r="B13" s="197">
        <v>1</v>
      </c>
      <c r="C13" s="197">
        <v>8</v>
      </c>
      <c r="D13" s="197"/>
      <c r="E13" s="197"/>
      <c r="F13" s="197"/>
      <c r="G13" s="197"/>
    </row>
    <row r="14" spans="2:7" x14ac:dyDescent="0.2">
      <c r="B14" s="197">
        <v>1</v>
      </c>
      <c r="C14" s="197">
        <v>9</v>
      </c>
      <c r="D14" s="197"/>
      <c r="E14" s="197"/>
      <c r="F14" s="197"/>
      <c r="G14" s="197"/>
    </row>
    <row r="15" spans="2:7" x14ac:dyDescent="0.2">
      <c r="B15" s="197">
        <v>1</v>
      </c>
      <c r="C15" s="197">
        <v>10</v>
      </c>
      <c r="D15" s="197"/>
      <c r="E15" s="197"/>
      <c r="F15" s="197"/>
      <c r="G15" s="197"/>
    </row>
    <row r="16" spans="2:7" x14ac:dyDescent="0.2">
      <c r="B16" s="197">
        <v>1</v>
      </c>
      <c r="C16" s="197">
        <v>11</v>
      </c>
      <c r="D16" s="197"/>
      <c r="E16" s="197"/>
      <c r="F16" s="197"/>
      <c r="G16" s="197"/>
    </row>
    <row r="17" spans="2:7" x14ac:dyDescent="0.2">
      <c r="B17" s="197">
        <v>1</v>
      </c>
      <c r="C17" s="197">
        <v>12</v>
      </c>
      <c r="D17" s="197"/>
      <c r="E17" s="197"/>
      <c r="F17" s="197"/>
      <c r="G17" s="197"/>
    </row>
    <row r="18" spans="2:7" x14ac:dyDescent="0.2">
      <c r="B18" s="197">
        <v>1</v>
      </c>
      <c r="C18" s="197">
        <v>13</v>
      </c>
      <c r="D18" s="197"/>
      <c r="E18" s="197"/>
      <c r="F18" s="197"/>
      <c r="G18" s="197"/>
    </row>
    <row r="19" spans="2:7" x14ac:dyDescent="0.2">
      <c r="B19" s="197">
        <v>1</v>
      </c>
      <c r="C19" s="197">
        <v>14</v>
      </c>
      <c r="D19" s="197"/>
      <c r="E19" s="197"/>
      <c r="F19" s="197"/>
      <c r="G19" s="197"/>
    </row>
    <row r="20" spans="2:7" x14ac:dyDescent="0.2">
      <c r="B20" s="197">
        <v>1</v>
      </c>
      <c r="C20" s="197">
        <v>15</v>
      </c>
      <c r="D20" s="197"/>
      <c r="E20" s="197"/>
      <c r="F20" s="197"/>
      <c r="G20" s="197"/>
    </row>
    <row r="21" spans="2:7" x14ac:dyDescent="0.2">
      <c r="B21" s="197">
        <v>1</v>
      </c>
      <c r="C21" s="197">
        <v>16</v>
      </c>
      <c r="D21" s="197"/>
      <c r="E21" s="197"/>
      <c r="F21" s="197"/>
      <c r="G21" s="197"/>
    </row>
    <row r="22" spans="2:7" x14ac:dyDescent="0.2">
      <c r="B22" s="197">
        <v>2</v>
      </c>
      <c r="C22" s="197">
        <v>1</v>
      </c>
      <c r="D22" s="197"/>
      <c r="E22" s="197"/>
      <c r="F22" s="197"/>
      <c r="G22" s="197"/>
    </row>
    <row r="23" spans="2:7" x14ac:dyDescent="0.2">
      <c r="B23" s="197">
        <v>2</v>
      </c>
      <c r="C23" s="197">
        <v>2</v>
      </c>
      <c r="D23" s="197"/>
      <c r="E23" s="197"/>
      <c r="F23" s="197"/>
      <c r="G23" s="197"/>
    </row>
    <row r="24" spans="2:7" x14ac:dyDescent="0.2">
      <c r="B24" s="197">
        <v>2</v>
      </c>
      <c r="C24" s="197">
        <v>3</v>
      </c>
      <c r="D24" s="197"/>
      <c r="E24" s="197"/>
      <c r="F24" s="197"/>
      <c r="G24" s="197"/>
    </row>
    <row r="25" spans="2:7" x14ac:dyDescent="0.2">
      <c r="B25" s="197">
        <v>2</v>
      </c>
      <c r="C25" s="197">
        <v>4</v>
      </c>
      <c r="D25" s="197"/>
      <c r="E25" s="197"/>
      <c r="F25" s="197"/>
      <c r="G25" s="197"/>
    </row>
    <row r="26" spans="2:7" x14ac:dyDescent="0.2">
      <c r="B26" s="197">
        <v>2</v>
      </c>
      <c r="C26" s="197">
        <v>5</v>
      </c>
      <c r="D26" s="197"/>
      <c r="E26" s="197"/>
      <c r="F26" s="197"/>
      <c r="G26" s="197"/>
    </row>
    <row r="27" spans="2:7" x14ac:dyDescent="0.2">
      <c r="B27" s="197">
        <v>2</v>
      </c>
      <c r="C27" s="197">
        <v>6</v>
      </c>
      <c r="D27" s="197"/>
      <c r="E27" s="197"/>
      <c r="F27" s="197"/>
      <c r="G27" s="197"/>
    </row>
    <row r="28" spans="2:7" x14ac:dyDescent="0.2">
      <c r="B28" s="197">
        <v>2</v>
      </c>
      <c r="C28" s="197">
        <v>7</v>
      </c>
      <c r="D28" s="197"/>
      <c r="E28" s="197"/>
      <c r="F28" s="197"/>
      <c r="G28" s="197"/>
    </row>
    <row r="29" spans="2:7" x14ac:dyDescent="0.2">
      <c r="B29" s="197">
        <v>2</v>
      </c>
      <c r="C29" s="197">
        <v>8</v>
      </c>
      <c r="D29" s="197"/>
      <c r="E29" s="197"/>
      <c r="F29" s="197"/>
      <c r="G29" s="197"/>
    </row>
    <row r="30" spans="2:7" x14ac:dyDescent="0.2">
      <c r="B30" s="197">
        <v>2</v>
      </c>
      <c r="C30" s="197">
        <v>9</v>
      </c>
      <c r="D30" s="197"/>
      <c r="E30" s="197"/>
      <c r="F30" s="197"/>
      <c r="G30" s="197"/>
    </row>
    <row r="31" spans="2:7" x14ac:dyDescent="0.2">
      <c r="B31" s="197">
        <v>2</v>
      </c>
      <c r="C31" s="197">
        <v>10</v>
      </c>
      <c r="D31" s="197"/>
      <c r="E31" s="197"/>
      <c r="F31" s="197"/>
      <c r="G31" s="197"/>
    </row>
    <row r="32" spans="2:7" x14ac:dyDescent="0.2">
      <c r="B32" s="197">
        <v>2</v>
      </c>
      <c r="C32" s="197">
        <v>11</v>
      </c>
      <c r="D32" s="197"/>
      <c r="E32" s="197"/>
      <c r="F32" s="197"/>
      <c r="G32" s="197"/>
    </row>
    <row r="33" spans="2:7" x14ac:dyDescent="0.2">
      <c r="B33" s="197">
        <v>2</v>
      </c>
      <c r="C33" s="197">
        <v>12</v>
      </c>
      <c r="D33" s="197"/>
      <c r="E33" s="197"/>
      <c r="F33" s="197"/>
      <c r="G33" s="197"/>
    </row>
    <row r="34" spans="2:7" x14ac:dyDescent="0.2">
      <c r="B34" s="197">
        <v>2</v>
      </c>
      <c r="C34" s="197">
        <v>13</v>
      </c>
      <c r="D34" s="197"/>
      <c r="E34" s="197"/>
      <c r="F34" s="197"/>
      <c r="G34" s="197"/>
    </row>
    <row r="35" spans="2:7" x14ac:dyDescent="0.2">
      <c r="B35" s="197">
        <v>2</v>
      </c>
      <c r="C35" s="197">
        <v>14</v>
      </c>
      <c r="D35" s="197"/>
      <c r="E35" s="197"/>
      <c r="F35" s="197"/>
      <c r="G35" s="197"/>
    </row>
    <row r="36" spans="2:7" x14ac:dyDescent="0.2">
      <c r="B36" s="197">
        <v>2</v>
      </c>
      <c r="C36" s="197">
        <v>15</v>
      </c>
      <c r="D36" s="197"/>
      <c r="E36" s="197"/>
      <c r="F36" s="197"/>
      <c r="G36" s="197"/>
    </row>
    <row r="37" spans="2:7" x14ac:dyDescent="0.2">
      <c r="B37" s="197">
        <v>2</v>
      </c>
      <c r="C37" s="197">
        <v>16</v>
      </c>
      <c r="D37" s="197"/>
      <c r="E37" s="197"/>
      <c r="F37" s="197"/>
      <c r="G37" s="197"/>
    </row>
    <row r="38" spans="2:7" x14ac:dyDescent="0.2">
      <c r="B38" s="197">
        <v>3</v>
      </c>
      <c r="C38" s="197">
        <v>1</v>
      </c>
      <c r="D38" s="197"/>
      <c r="E38" s="197"/>
      <c r="F38" s="197"/>
      <c r="G38" s="197"/>
    </row>
    <row r="39" spans="2:7" x14ac:dyDescent="0.2">
      <c r="B39" s="197">
        <v>4</v>
      </c>
      <c r="C39" s="197">
        <v>1</v>
      </c>
      <c r="D39" s="197"/>
      <c r="E39" s="197"/>
      <c r="F39" s="197"/>
      <c r="G39" s="197"/>
    </row>
    <row r="40" spans="2:7" x14ac:dyDescent="0.2">
      <c r="B40" s="197">
        <v>5</v>
      </c>
      <c r="C40" s="197">
        <v>1</v>
      </c>
      <c r="D40" s="197"/>
      <c r="E40" s="197"/>
      <c r="F40" s="197"/>
      <c r="G40" s="19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Excel 4.0 Macros</vt:lpstr>
      </vt:variant>
      <vt:variant>
        <vt:i4>1</vt:i4>
      </vt:variant>
    </vt:vector>
  </HeadingPairs>
  <TitlesOfParts>
    <vt:vector size="17" baseType="lpstr">
      <vt:lpstr>Original</vt:lpstr>
      <vt:lpstr>Previous2023</vt:lpstr>
      <vt:lpstr>early2023</vt:lpstr>
      <vt:lpstr>current2023</vt:lpstr>
      <vt:lpstr>future2023</vt:lpstr>
      <vt:lpstr>Current ICD</vt:lpstr>
      <vt:lpstr>Log Data</vt:lpstr>
      <vt:lpstr>AlarmTable</vt:lpstr>
      <vt:lpstr>TestStruct</vt:lpstr>
      <vt:lpstr>Cal Data</vt:lpstr>
      <vt:lpstr>Calculations</vt:lpstr>
      <vt:lpstr>Sheet2</vt:lpstr>
      <vt:lpstr>FlowCalc</vt:lpstr>
      <vt:lpstr>PressCalc</vt:lpstr>
      <vt:lpstr>PSI</vt:lpstr>
      <vt:lpstr>LogGui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Seminarians</cp:lastModifiedBy>
  <dcterms:created xsi:type="dcterms:W3CDTF">2021-12-16T16:48:53Z</dcterms:created>
  <dcterms:modified xsi:type="dcterms:W3CDTF">2024-11-26T14:53:05Z</dcterms:modified>
</cp:coreProperties>
</file>