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3D115425-2381-314C-AFC8-51A208C53E17}" xr6:coauthVersionLast="47" xr6:coauthVersionMax="47" xr10:uidLastSave="{00000000-0000-0000-0000-000000000000}"/>
  <bookViews>
    <workbookView xWindow="3360" yWindow="640" windowWidth="47840" windowHeight="19020" activeTab="13" xr2:uid="{60223CC9-929C-2C40-9DF4-4D5E66E85102}"/>
  </bookViews>
  <sheets>
    <sheet name="Previous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future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FlowCalc!$A$79:$AF$567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12" l="1"/>
  <c r="P9" i="12"/>
  <c r="P10" i="12"/>
  <c r="P12" i="12"/>
  <c r="P13" i="12"/>
  <c r="P14" i="12"/>
  <c r="P15" i="12"/>
  <c r="P16" i="12"/>
  <c r="P17" i="12"/>
  <c r="P18" i="12"/>
  <c r="P11" i="12"/>
  <c r="O11" i="9" l="1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T2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Q28" i="8"/>
  <c r="R28" i="8" s="1"/>
  <c r="W28" i="8"/>
  <c r="Q29" i="8"/>
  <c r="R29" i="8" s="1"/>
  <c r="W29" i="8"/>
  <c r="Q30" i="8"/>
  <c r="R30" i="8"/>
  <c r="S30" i="8" s="1"/>
  <c r="W30" i="8"/>
  <c r="Q31" i="8"/>
  <c r="R31" i="8"/>
  <c r="V31" i="8" s="1"/>
  <c r="S31" i="8"/>
  <c r="T31" i="8" s="1"/>
  <c r="W31" i="8"/>
  <c r="Q32" i="8"/>
  <c r="R32" i="8"/>
  <c r="V32" i="8" s="1"/>
  <c r="S32" i="8"/>
  <c r="T32" i="8"/>
  <c r="W32" i="8"/>
  <c r="Q33" i="8"/>
  <c r="R33" i="8"/>
  <c r="V33" i="8" s="1"/>
  <c r="S33" i="8"/>
  <c r="T33" i="8"/>
  <c r="W33" i="8"/>
  <c r="Q34" i="8"/>
  <c r="R34" i="8"/>
  <c r="S34" i="8"/>
  <c r="T34" i="8"/>
  <c r="V34" i="8"/>
  <c r="W34" i="8"/>
  <c r="Q35" i="8"/>
  <c r="R35" i="8"/>
  <c r="S35" i="8"/>
  <c r="T35" i="8"/>
  <c r="W35" i="8"/>
  <c r="V35" i="8" s="1"/>
  <c r="Q36" i="8"/>
  <c r="R36" i="8" s="1"/>
  <c r="W36" i="8"/>
  <c r="Q37" i="8"/>
  <c r="R37" i="8" s="1"/>
  <c r="W37" i="8"/>
  <c r="Q38" i="8"/>
  <c r="R38" i="8"/>
  <c r="S38" i="8" s="1"/>
  <c r="W38" i="8"/>
  <c r="Q39" i="8"/>
  <c r="R39" i="8"/>
  <c r="V39" i="8" s="1"/>
  <c r="S39" i="8"/>
  <c r="T39" i="8" s="1"/>
  <c r="W39" i="8"/>
  <c r="Q40" i="8"/>
  <c r="R40" i="8"/>
  <c r="V40" i="8" s="1"/>
  <c r="S40" i="8"/>
  <c r="T40" i="8"/>
  <c r="W40" i="8"/>
  <c r="Q41" i="8"/>
  <c r="R41" i="8"/>
  <c r="V41" i="8" s="1"/>
  <c r="S41" i="8"/>
  <c r="T41" i="8"/>
  <c r="W41" i="8"/>
  <c r="Q42" i="8"/>
  <c r="R42" i="8"/>
  <c r="S42" i="8"/>
  <c r="T42" i="8"/>
  <c r="V42" i="8"/>
  <c r="W42" i="8"/>
  <c r="Q43" i="8"/>
  <c r="R43" i="8"/>
  <c r="S43" i="8"/>
  <c r="T43" i="8"/>
  <c r="W43" i="8"/>
  <c r="V43" i="8" s="1"/>
  <c r="Q44" i="8"/>
  <c r="R44" i="8" s="1"/>
  <c r="W44" i="8"/>
  <c r="Q45" i="8"/>
  <c r="R45" i="8" s="1"/>
  <c r="W45" i="8"/>
  <c r="Q46" i="8"/>
  <c r="R46" i="8"/>
  <c r="S46" i="8" s="1"/>
  <c r="W46" i="8"/>
  <c r="Q47" i="8"/>
  <c r="R47" i="8"/>
  <c r="V47" i="8" s="1"/>
  <c r="S47" i="8"/>
  <c r="T47" i="8" s="1"/>
  <c r="W47" i="8"/>
  <c r="Q48" i="8"/>
  <c r="R48" i="8"/>
  <c r="V48" i="8" s="1"/>
  <c r="S48" i="8"/>
  <c r="T48" i="8"/>
  <c r="W48" i="8"/>
  <c r="Q49" i="8"/>
  <c r="R49" i="8"/>
  <c r="V49" i="8" s="1"/>
  <c r="S49" i="8"/>
  <c r="T49" i="8"/>
  <c r="W49" i="8"/>
  <c r="Q50" i="8"/>
  <c r="R50" i="8"/>
  <c r="S50" i="8"/>
  <c r="T50" i="8"/>
  <c r="V50" i="8"/>
  <c r="W50" i="8"/>
  <c r="Q51" i="8"/>
  <c r="R51" i="8"/>
  <c r="S51" i="8"/>
  <c r="T51" i="8"/>
  <c r="W51" i="8"/>
  <c r="V51" i="8" s="1"/>
  <c r="Q52" i="8"/>
  <c r="R52" i="8" s="1"/>
  <c r="W52" i="8"/>
  <c r="Q53" i="8"/>
  <c r="R53" i="8" s="1"/>
  <c r="W53" i="8"/>
  <c r="Q54" i="8"/>
  <c r="R54" i="8"/>
  <c r="S54" i="8" s="1"/>
  <c r="W54" i="8"/>
  <c r="Q55" i="8"/>
  <c r="R55" i="8"/>
  <c r="V55" i="8" s="1"/>
  <c r="S55" i="8"/>
  <c r="T55" i="8" s="1"/>
  <c r="W55" i="8"/>
  <c r="Q56" i="8"/>
  <c r="R56" i="8"/>
  <c r="V56" i="8" s="1"/>
  <c r="S56" i="8"/>
  <c r="T56" i="8"/>
  <c r="W56" i="8"/>
  <c r="Q57" i="8"/>
  <c r="R57" i="8"/>
  <c r="V57" i="8" s="1"/>
  <c r="S57" i="8"/>
  <c r="T57" i="8"/>
  <c r="W57" i="8"/>
  <c r="Q58" i="8"/>
  <c r="R58" i="8"/>
  <c r="S58" i="8"/>
  <c r="T58" i="8"/>
  <c r="V58" i="8"/>
  <c r="W58" i="8"/>
  <c r="Q59" i="8"/>
  <c r="R59" i="8"/>
  <c r="S59" i="8"/>
  <c r="T59" i="8"/>
  <c r="W59" i="8"/>
  <c r="V59" i="8" s="1"/>
  <c r="Q60" i="8"/>
  <c r="R60" i="8" s="1"/>
  <c r="W60" i="8"/>
  <c r="Q61" i="8"/>
  <c r="R61" i="8" s="1"/>
  <c r="W61" i="8"/>
  <c r="Q62" i="8"/>
  <c r="R62" i="8"/>
  <c r="S62" i="8" s="1"/>
  <c r="W62" i="8"/>
  <c r="Q27" i="8"/>
  <c r="R27" i="8" s="1"/>
  <c r="W27" i="8"/>
  <c r="W26" i="8"/>
  <c r="Q26" i="8"/>
  <c r="R26" i="8" s="1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N26" i="8"/>
  <c r="N3" i="8"/>
  <c r="W3" i="8" s="1"/>
  <c r="N4" i="8"/>
  <c r="W4" i="8" s="1"/>
  <c r="N5" i="8"/>
  <c r="W5" i="8" s="1"/>
  <c r="N6" i="8"/>
  <c r="W6" i="8" s="1"/>
  <c r="N7" i="8"/>
  <c r="W7" i="8" s="1"/>
  <c r="N8" i="8"/>
  <c r="W8" i="8" s="1"/>
  <c r="N9" i="8"/>
  <c r="W9" i="8" s="1"/>
  <c r="N10" i="8"/>
  <c r="W10" i="8" s="1"/>
  <c r="N11" i="8"/>
  <c r="W11" i="8" s="1"/>
  <c r="N12" i="8"/>
  <c r="W12" i="8" s="1"/>
  <c r="N13" i="8"/>
  <c r="W13" i="8" s="1"/>
  <c r="N14" i="8"/>
  <c r="W14" i="8" s="1"/>
  <c r="N15" i="8"/>
  <c r="W15" i="8" s="1"/>
  <c r="N16" i="8"/>
  <c r="W16" i="8" s="1"/>
  <c r="N17" i="8"/>
  <c r="W17" i="8" s="1"/>
  <c r="N18" i="8"/>
  <c r="W18" i="8" s="1"/>
  <c r="N19" i="8"/>
  <c r="W19" i="8" s="1"/>
  <c r="N20" i="8"/>
  <c r="W20" i="8" s="1"/>
  <c r="N21" i="8"/>
  <c r="W21" i="8" s="1"/>
  <c r="N22" i="8"/>
  <c r="W22" i="8" s="1"/>
  <c r="N23" i="8"/>
  <c r="W23" i="8" s="1"/>
  <c r="N24" i="8"/>
  <c r="W24" i="8" s="1"/>
  <c r="N25" i="8"/>
  <c r="W25" i="8" s="1"/>
  <c r="N2" i="8"/>
  <c r="W2" i="8" s="1"/>
  <c r="L3" i="8"/>
  <c r="Q3" i="8" s="1"/>
  <c r="R3" i="8" s="1"/>
  <c r="S3" i="8" s="1"/>
  <c r="L4" i="8"/>
  <c r="Q4" i="8" s="1"/>
  <c r="R4" i="8" s="1"/>
  <c r="S4" i="8" s="1"/>
  <c r="L5" i="8"/>
  <c r="L6" i="8"/>
  <c r="L7" i="8"/>
  <c r="L8" i="8"/>
  <c r="L9" i="8"/>
  <c r="L10" i="8"/>
  <c r="L11" i="8"/>
  <c r="L12" i="8"/>
  <c r="Q12" i="8" s="1"/>
  <c r="R12" i="8" s="1"/>
  <c r="S12" i="8" s="1"/>
  <c r="L13" i="8"/>
  <c r="L14" i="8"/>
  <c r="L15" i="8"/>
  <c r="L16" i="8"/>
  <c r="L17" i="8"/>
  <c r="Q17" i="8" s="1"/>
  <c r="R17" i="8" s="1"/>
  <c r="S17" i="8" s="1"/>
  <c r="L18" i="8"/>
  <c r="L19" i="8"/>
  <c r="Q19" i="8" s="1"/>
  <c r="R19" i="8" s="1"/>
  <c r="S19" i="8" s="1"/>
  <c r="L20" i="8"/>
  <c r="Q20" i="8" s="1"/>
  <c r="R20" i="8" s="1"/>
  <c r="S20" i="8" s="1"/>
  <c r="L21" i="8"/>
  <c r="L22" i="8"/>
  <c r="Q22" i="8" s="1"/>
  <c r="R22" i="8" s="1"/>
  <c r="S22" i="8" s="1"/>
  <c r="L23" i="8"/>
  <c r="L24" i="8"/>
  <c r="Q24" i="8" s="1"/>
  <c r="R24" i="8" s="1"/>
  <c r="S24" i="8" s="1"/>
  <c r="L25" i="8"/>
  <c r="Q25" i="8" s="1"/>
  <c r="R25" i="8" s="1"/>
  <c r="S25" i="8" s="1"/>
  <c r="L2" i="8"/>
  <c r="W79" i="7"/>
  <c r="O30" i="9" l="1"/>
  <c r="O33" i="9"/>
  <c r="O32" i="9"/>
  <c r="O31" i="9"/>
  <c r="B19" i="9"/>
  <c r="T30" i="8"/>
  <c r="T62" i="8"/>
  <c r="T54" i="8"/>
  <c r="S61" i="8"/>
  <c r="V61" i="8"/>
  <c r="S53" i="8"/>
  <c r="V53" i="8"/>
  <c r="S45" i="8"/>
  <c r="V45" i="8"/>
  <c r="V37" i="8"/>
  <c r="S37" i="8"/>
  <c r="V29" i="8"/>
  <c r="S29" i="8"/>
  <c r="T38" i="8"/>
  <c r="T46" i="8"/>
  <c r="S60" i="8"/>
  <c r="V60" i="8"/>
  <c r="V52" i="8"/>
  <c r="S52" i="8"/>
  <c r="V44" i="8"/>
  <c r="S44" i="8"/>
  <c r="S36" i="8"/>
  <c r="V36" i="8"/>
  <c r="V28" i="8"/>
  <c r="S28" i="8"/>
  <c r="V46" i="8"/>
  <c r="V38" i="8"/>
  <c r="V30" i="8"/>
  <c r="V62" i="8"/>
  <c r="V54" i="8"/>
  <c r="S27" i="8"/>
  <c r="V27" i="8"/>
  <c r="S26" i="8"/>
  <c r="U26" i="8" s="1"/>
  <c r="V26" i="8"/>
  <c r="Q18" i="8"/>
  <c r="R18" i="8" s="1"/>
  <c r="S18" i="8" s="1"/>
  <c r="Q8" i="8"/>
  <c r="R8" i="8" s="1"/>
  <c r="S8" i="8" s="1"/>
  <c r="Q11" i="8"/>
  <c r="R11" i="8" s="1"/>
  <c r="S11" i="8" s="1"/>
  <c r="Q13" i="8"/>
  <c r="R13" i="8" s="1"/>
  <c r="S13" i="8" s="1"/>
  <c r="Q16" i="8"/>
  <c r="R16" i="8" s="1"/>
  <c r="S16" i="8" s="1"/>
  <c r="Q5" i="8"/>
  <c r="R5" i="8" s="1"/>
  <c r="S5" i="8" s="1"/>
  <c r="Q2" i="8"/>
  <c r="R2" i="8" s="1"/>
  <c r="S2" i="8" s="1"/>
  <c r="U2" i="8" s="1"/>
  <c r="U3" i="8" s="1"/>
  <c r="U4" i="8" s="1"/>
  <c r="U5" i="8" s="1"/>
  <c r="Q23" i="8"/>
  <c r="R23" i="8" s="1"/>
  <c r="S23" i="8" s="1"/>
  <c r="Q14" i="8"/>
  <c r="R14" i="8" s="1"/>
  <c r="S14" i="8" s="1"/>
  <c r="Q7" i="8"/>
  <c r="R7" i="8" s="1"/>
  <c r="S7" i="8" s="1"/>
  <c r="Q10" i="8"/>
  <c r="R10" i="8" s="1"/>
  <c r="S10" i="8" s="1"/>
  <c r="Q21" i="8"/>
  <c r="R21" i="8" s="1"/>
  <c r="S21" i="8" s="1"/>
  <c r="Q9" i="8"/>
  <c r="R9" i="8" s="1"/>
  <c r="S9" i="8" s="1"/>
  <c r="Q6" i="8"/>
  <c r="R6" i="8" s="1"/>
  <c r="S6" i="8" s="1"/>
  <c r="Q15" i="8"/>
  <c r="R15" i="8" s="1"/>
  <c r="S15" i="8" s="1"/>
  <c r="V20" i="8"/>
  <c r="V12" i="8"/>
  <c r="V19" i="8"/>
  <c r="V11" i="8"/>
  <c r="V24" i="8"/>
  <c r="V18" i="8"/>
  <c r="V8" i="8"/>
  <c r="V22" i="8"/>
  <c r="V17" i="8"/>
  <c r="V4" i="8"/>
  <c r="V25" i="8"/>
  <c r="V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37" i="8" l="1"/>
  <c r="T52" i="8"/>
  <c r="T53" i="8"/>
  <c r="T44" i="8"/>
  <c r="T28" i="8"/>
  <c r="T29" i="8"/>
  <c r="T36" i="8"/>
  <c r="T45" i="8"/>
  <c r="T60" i="8"/>
  <c r="T61" i="8"/>
  <c r="T27" i="8"/>
  <c r="U27" i="8"/>
  <c r="U28" i="8" s="1"/>
  <c r="U29" i="8" s="1"/>
  <c r="U30" i="8" s="1"/>
  <c r="U31" i="8" s="1"/>
  <c r="U32" i="8" s="1"/>
  <c r="U33" i="8" s="1"/>
  <c r="U34" i="8" s="1"/>
  <c r="U35" i="8" s="1"/>
  <c r="U36" i="8" s="1"/>
  <c r="U37" i="8" s="1"/>
  <c r="U38" i="8" s="1"/>
  <c r="U39" i="8" s="1"/>
  <c r="U40" i="8" s="1"/>
  <c r="U41" i="8" s="1"/>
  <c r="U42" i="8" s="1"/>
  <c r="U43" i="8" s="1"/>
  <c r="U44" i="8" s="1"/>
  <c r="U45" i="8" s="1"/>
  <c r="U46" i="8" s="1"/>
  <c r="U47" i="8" s="1"/>
  <c r="U48" i="8" s="1"/>
  <c r="U49" i="8" s="1"/>
  <c r="U50" i="8" s="1"/>
  <c r="U51" i="8" s="1"/>
  <c r="U52" i="8" s="1"/>
  <c r="U53" i="8" s="1"/>
  <c r="U54" i="8" s="1"/>
  <c r="U55" i="8" s="1"/>
  <c r="U56" i="8" s="1"/>
  <c r="U57" i="8" s="1"/>
  <c r="U58" i="8" s="1"/>
  <c r="U59" i="8" s="1"/>
  <c r="U60" i="8" s="1"/>
  <c r="U61" i="8" s="1"/>
  <c r="U62" i="8" s="1"/>
  <c r="T26" i="8"/>
  <c r="V16" i="8"/>
  <c r="V13" i="8"/>
  <c r="V2" i="8"/>
  <c r="V5" i="8"/>
  <c r="V23" i="8"/>
  <c r="V14" i="8"/>
  <c r="V7" i="8"/>
  <c r="V21" i="8"/>
  <c r="V6" i="8"/>
  <c r="U6" i="8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U24" i="8" s="1"/>
  <c r="U25" i="8" s="1"/>
  <c r="V10" i="8"/>
  <c r="V9" i="8"/>
  <c r="V15" i="8"/>
</calcChain>
</file>

<file path=xl/sharedStrings.xml><?xml version="1.0" encoding="utf-8"?>
<sst xmlns="http://schemas.openxmlformats.org/spreadsheetml/2006/main" count="8377" uniqueCount="1136">
  <si>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</si>
  <si>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</si>
  <si>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</si>
  <si>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</si>
  <si>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</si>
  <si>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</si>
  <si>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</si>
  <si>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</si>
  <si>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</si>
  <si>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</si>
  <si>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</si>
  <si>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</si>
  <si>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</si>
  <si>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</si>
  <si>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</si>
  <si>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</si>
  <si>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</si>
  <si>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</si>
  <si>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</si>
  <si>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</si>
  <si>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</si>
  <si>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</si>
  <si>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</si>
  <si>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</si>
  <si>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</si>
  <si>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</si>
  <si>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</si>
  <si>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</si>
  <si>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</si>
  <si>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</si>
  <si>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</si>
  <si>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</si>
  <si>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</si>
  <si>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</si>
  <si>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</si>
  <si>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</si>
  <si>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</si>
  <si>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</si>
  <si>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</si>
  <si>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</si>
  <si>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</si>
  <si>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</si>
  <si>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</si>
  <si>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</si>
  <si>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</si>
  <si>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</si>
  <si>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</si>
  <si>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</si>
  <si>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</si>
  <si>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</si>
  <si>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</si>
  <si>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</si>
  <si>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</si>
  <si>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</si>
  <si>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</si>
  <si>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</si>
  <si>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</si>
  <si>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</si>
  <si>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</si>
  <si>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</si>
  <si>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</si>
  <si>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</si>
  <si>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</si>
  <si>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</si>
  <si>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</si>
  <si>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</si>
  <si>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</si>
  <si>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</si>
  <si>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</si>
  <si>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</si>
  <si>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</si>
  <si>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</si>
  <si>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</si>
  <si>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</si>
  <si>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</si>
  <si>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</si>
  <si>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</si>
  <si>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</si>
  <si>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</si>
  <si>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</si>
  <si>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</si>
  <si>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</si>
  <si>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</si>
  <si>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</si>
  <si>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</si>
  <si>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</si>
  <si>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</si>
  <si>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</si>
  <si>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</si>
  <si>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</si>
  <si>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</si>
  <si>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</si>
  <si>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</si>
  <si>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</si>
  <si>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</si>
  <si>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</si>
  <si>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</si>
  <si>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</si>
  <si>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</si>
  <si>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</si>
  <si>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</si>
  <si>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</si>
  <si>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</si>
  <si>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</si>
  <si>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</si>
  <si>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</si>
  <si>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</si>
  <si>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</si>
  <si>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</si>
  <si>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</si>
  <si>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</si>
  <si>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</si>
  <si>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</si>
  <si>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</si>
  <si>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</si>
  <si>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</si>
  <si>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</si>
  <si>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</si>
  <si>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</si>
  <si>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</si>
  <si>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</si>
  <si>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</si>
  <si>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</si>
  <si>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</si>
  <si>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</si>
  <si>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</si>
  <si>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</si>
  <si>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</si>
  <si>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</si>
  <si>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</si>
  <si>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</si>
  <si>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</si>
  <si>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</si>
  <si>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</si>
  <si>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</si>
  <si>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</si>
  <si>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</si>
  <si>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</si>
  <si>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</si>
  <si>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</si>
  <si>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</si>
  <si>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</si>
  <si>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</si>
  <si>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</si>
  <si>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</si>
  <si>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</si>
  <si>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</si>
  <si>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</si>
  <si>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</si>
  <si>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</si>
  <si>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</si>
  <si>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</si>
  <si>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</si>
  <si>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</si>
  <si>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</si>
  <si>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</si>
  <si>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</si>
  <si>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</si>
  <si>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</si>
  <si>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</si>
  <si>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</si>
  <si>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</si>
  <si>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</si>
  <si>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</si>
  <si>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</si>
  <si>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</si>
  <si>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</si>
  <si>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</si>
  <si>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</si>
  <si>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</si>
  <si>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</si>
  <si>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</si>
  <si>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</si>
  <si>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</si>
  <si>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</si>
  <si>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</si>
  <si>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</si>
  <si>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</si>
  <si>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</si>
  <si>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</si>
  <si>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</si>
  <si>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</si>
  <si>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</si>
  <si>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</si>
  <si>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</si>
  <si>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</si>
  <si>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</si>
  <si>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</si>
  <si>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</si>
  <si>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</si>
  <si>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</si>
  <si>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</si>
  <si>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</si>
  <si>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</si>
  <si>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</si>
  <si>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</si>
  <si>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</si>
  <si>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</si>
  <si>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</si>
  <si>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</si>
  <si>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</si>
  <si>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</si>
  <si>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</si>
  <si>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</si>
  <si>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</si>
  <si>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</si>
  <si>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</si>
  <si>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</si>
  <si>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</si>
  <si>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</si>
  <si>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</si>
  <si>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</si>
  <si>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</si>
  <si>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</si>
  <si>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</si>
  <si>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</si>
  <si>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</si>
  <si>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</si>
  <si>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</si>
  <si>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</si>
  <si>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</si>
  <si>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</si>
  <si>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</si>
  <si>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</si>
  <si>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</si>
  <si>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</si>
  <si>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</si>
  <si>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</si>
  <si>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</si>
  <si>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</si>
  <si>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</si>
  <si>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</si>
  <si>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Water Level in Tank is Critically Low</t>
  </si>
  <si>
    <t>House Water Pressure Low</t>
  </si>
  <si>
    <t>House Water Pressure &gt; 40 PSI</t>
  </si>
  <si>
    <t>Household Water Pressure Critically Low</t>
  </si>
  <si>
    <t>Warn</t>
  </si>
  <si>
    <t>Water Well Pumps Failed to Start</t>
  </si>
  <si>
    <t>Info</t>
  </si>
  <si>
    <t>Tank Overfill Condition</t>
  </si>
  <si>
    <t>Tank Overfill Detected</t>
  </si>
  <si>
    <t>Pump Temp &lt; 35 of &gt;110</t>
  </si>
  <si>
    <t>Septic System Alert</t>
  </si>
  <si>
    <t>Septic System Malfunction</t>
  </si>
  <si>
    <t>Irrigation Pump Run Away</t>
  </si>
  <si>
    <t>Irrigation Flow &gt; 2 GPM</t>
  </si>
  <si>
    <t>Irrigation Pump Running with No Flow</t>
  </si>
  <si>
    <t>Well 3 Pump Run Away</t>
  </si>
  <si>
    <t>Tank Flow &gt; 2 GPM</t>
  </si>
  <si>
    <t>Well 3 Pump Running with No Flow</t>
  </si>
  <si>
    <t>Septic alert zero &gt; 25 seconds</t>
  </si>
  <si>
    <t>I2C Faults Detected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</si>
  <si>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</si>
  <si>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</si>
  <si>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</si>
  <si>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</si>
  <si>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</si>
  <si>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</si>
  <si>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</si>
  <si>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</si>
  <si>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</si>
  <si>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</si>
  <si>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</si>
  <si>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</si>
  <si>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</si>
  <si>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</si>
  <si>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</si>
  <si>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</si>
  <si>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</si>
  <si>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</si>
  <si>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</si>
  <si>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</si>
  <si>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</si>
  <si>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</si>
  <si>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</si>
  <si>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</si>
  <si>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</si>
  <si>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</si>
  <si>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</si>
  <si>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</si>
  <si>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</si>
  <si>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</si>
  <si>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</si>
  <si>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</si>
  <si>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</si>
  <si>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</si>
  <si>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</si>
  <si>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</si>
  <si>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</si>
  <si>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</si>
  <si>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</si>
  <si>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</si>
  <si>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</si>
  <si>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</si>
  <si>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</si>
  <si>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</si>
  <si>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</si>
  <si>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</si>
  <si>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</si>
  <si>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</si>
  <si>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</si>
  <si>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</si>
  <si>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</si>
  <si>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</si>
  <si>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</si>
  <si>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</si>
  <si>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</si>
  <si>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</si>
  <si>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</si>
  <si>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</si>
  <si>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</si>
  <si>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</si>
  <si>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</si>
  <si>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</si>
  <si>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</si>
  <si>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</si>
  <si>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</si>
  <si>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</si>
  <si>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</si>
  <si>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</si>
  <si>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</si>
  <si>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</si>
  <si>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</si>
  <si>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</si>
  <si>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</si>
  <si>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</si>
  <si>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</si>
  <si>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</si>
  <si>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</si>
  <si>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</si>
  <si>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</si>
  <si>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</si>
  <si>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</si>
  <si>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</si>
  <si>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</si>
  <si>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</si>
  <si>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</si>
  <si>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</si>
  <si>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</si>
  <si>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</si>
  <si>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</si>
  <si>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</si>
  <si>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</si>
  <si>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</si>
  <si>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</si>
  <si>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</si>
  <si>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</si>
  <si>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</si>
  <si>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</si>
  <si>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</si>
  <si>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</si>
  <si>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</si>
  <si>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</si>
  <si>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</si>
  <si>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</si>
  <si>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</si>
  <si>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</si>
  <si>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</si>
  <si>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</si>
  <si>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</si>
  <si>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</si>
  <si>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</si>
  <si>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</si>
  <si>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</si>
  <si>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</si>
  <si>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</si>
  <si>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</si>
  <si>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</si>
  <si>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</si>
  <si>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</si>
  <si>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</si>
  <si>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</si>
  <si>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</si>
  <si>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</si>
  <si>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</si>
  <si>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</si>
  <si>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</si>
  <si>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</si>
  <si>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</si>
  <si>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</si>
  <si>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</si>
  <si>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</si>
  <si>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</si>
  <si>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</si>
  <si>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</si>
  <si>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</si>
  <si>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</si>
  <si>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</si>
  <si>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</si>
  <si>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</si>
  <si>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</si>
  <si>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</si>
  <si>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</si>
  <si>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</si>
  <si>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</si>
  <si>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</si>
  <si>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</si>
  <si>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</si>
  <si>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</si>
  <si>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</si>
  <si>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</si>
  <si>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</si>
  <si>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</si>
  <si>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</si>
  <si>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</si>
  <si>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</si>
  <si>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</si>
  <si>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</si>
  <si>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</si>
  <si>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</si>
  <si>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</si>
  <si>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</si>
  <si>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</si>
  <si>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</si>
  <si>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</si>
  <si>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</si>
  <si>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</si>
  <si>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</si>
  <si>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</si>
  <si>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</si>
  <si>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</si>
  <si>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</si>
  <si>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</si>
  <si>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</si>
  <si>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</si>
  <si>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</si>
  <si>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</si>
  <si>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</si>
  <si>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</si>
  <si>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</si>
  <si>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</si>
  <si>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</si>
  <si>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</si>
  <si>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</si>
  <si>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</si>
  <si>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</si>
  <si>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</si>
  <si>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</si>
  <si>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</si>
  <si>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</si>
  <si>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</si>
  <si>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</si>
  <si>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</si>
  <si>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</si>
  <si>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</si>
  <si>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</si>
  <si>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</si>
  <si>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</si>
  <si>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</si>
  <si>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</si>
  <si>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</si>
  <si>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</si>
  <si>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</si>
  <si>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</si>
  <si>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</si>
  <si>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</si>
  <si>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</si>
  <si>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</si>
  <si>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</si>
  <si>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</si>
  <si>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</si>
  <si>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</si>
  <si>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</si>
  <si>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</si>
  <si>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</si>
  <si>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</si>
  <si>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</si>
  <si>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</si>
  <si>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</si>
  <si>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</si>
  <si>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</si>
  <si>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</si>
  <si>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</si>
  <si>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</si>
  <si>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</si>
  <si>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</si>
  <si>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</si>
  <si>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</si>
  <si>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</si>
  <si>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</si>
  <si>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</si>
  <si>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</si>
  <si>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</si>
  <si>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</si>
  <si>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</si>
  <si>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</si>
  <si>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</si>
  <si>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</si>
  <si>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</si>
  <si>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</si>
  <si>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</si>
  <si>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</si>
  <si>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</si>
  <si>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</si>
  <si>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</si>
  <si>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</si>
  <si>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</si>
  <si>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</si>
  <si>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</si>
  <si>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</si>
  <si>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</si>
  <si>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</si>
  <si>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</si>
  <si>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</si>
  <si>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</si>
  <si>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</si>
  <si>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</si>
  <si>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</si>
  <si>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</si>
  <si>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</si>
  <si>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</si>
  <si>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</si>
  <si>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</si>
  <si>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</si>
  <si>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</si>
  <si>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</si>
  <si>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</si>
  <si>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</si>
  <si>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</si>
  <si>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</si>
  <si>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</si>
  <si>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</si>
  <si>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</si>
  <si>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</si>
  <si>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</si>
  <si>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</si>
  <si>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</si>
  <si>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</si>
  <si>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</si>
  <si>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</si>
  <si>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</si>
  <si>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</si>
  <si>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</si>
  <si>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</si>
  <si>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</si>
  <si>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</si>
  <si>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</si>
  <si>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</si>
  <si>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</si>
  <si>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</si>
  <si>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</si>
  <si>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</si>
  <si>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</si>
  <si>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</si>
  <si>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</si>
  <si>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</si>
  <si>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</si>
  <si>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</si>
  <si>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</si>
  <si>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</si>
  <si>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</si>
  <si>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</si>
  <si>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</si>
  <si>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</si>
  <si>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</si>
  <si>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</si>
  <si>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</si>
  <si>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</si>
  <si>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</si>
  <si>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</si>
  <si>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</si>
  <si>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</si>
  <si>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</si>
  <si>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</si>
  <si>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</si>
  <si>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</si>
  <si>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</si>
  <si>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</si>
  <si>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</si>
  <si>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</si>
  <si>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</si>
  <si>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</si>
  <si>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</si>
  <si>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</si>
  <si>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</si>
  <si>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</si>
  <si>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</si>
  <si>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</si>
  <si>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</si>
  <si>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</si>
  <si>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</si>
  <si>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</si>
  <si>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</si>
  <si>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</si>
  <si>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</si>
  <si>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</si>
  <si>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</si>
  <si>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</si>
  <si>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</si>
  <si>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</si>
  <si>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</si>
  <si>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</si>
  <si>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</si>
  <si>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</si>
  <si>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</si>
  <si>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</si>
  <si>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</si>
  <si>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</si>
  <si>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</si>
  <si>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</si>
  <si>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</si>
  <si>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</si>
  <si>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</si>
  <si>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</si>
  <si>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</si>
  <si>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</si>
  <si>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</si>
  <si>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</si>
  <si>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</si>
  <si>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</si>
  <si>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</si>
  <si>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</si>
  <si>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</si>
  <si>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</si>
  <si>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</si>
  <si>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</si>
  <si>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</si>
  <si>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</si>
  <si>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</si>
  <si>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</si>
  <si>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</si>
  <si>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</si>
  <si>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</si>
  <si>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</si>
  <si>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</si>
  <si>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</si>
  <si>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</si>
  <si>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</si>
  <si>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</si>
  <si>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</si>
  <si>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</si>
  <si>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</si>
  <si>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</si>
  <si>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</si>
  <si>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</si>
  <si>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</si>
  <si>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</si>
  <si>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</si>
  <si>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</si>
  <si>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</si>
  <si>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</si>
  <si>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</si>
  <si>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</si>
  <si>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</si>
  <si>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</si>
  <si>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</si>
  <si>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</si>
  <si>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</si>
  <si>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</si>
  <si>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</si>
  <si>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</si>
  <si>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</si>
  <si>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</si>
  <si>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</si>
  <si>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</si>
  <si>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</si>
  <si>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</si>
  <si>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</si>
  <si>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</si>
  <si>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</si>
  <si>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</si>
  <si>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</si>
  <si>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</si>
  <si>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</si>
  <si>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</si>
  <si>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</si>
  <si>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</si>
  <si>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</si>
  <si>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</si>
  <si>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</si>
  <si>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</si>
  <si>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</si>
  <si>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</si>
  <si>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</si>
  <si>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</si>
  <si>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</si>
  <si>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</si>
  <si>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</si>
  <si>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</si>
  <si>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</si>
  <si>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</si>
  <si>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</si>
  <si>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</si>
  <si>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</si>
  <si>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</si>
  <si>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</si>
  <si>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</si>
  <si>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</si>
  <si>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</si>
  <si>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</si>
  <si>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</si>
  <si>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</si>
  <si>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</si>
  <si>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</si>
  <si>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</si>
  <si>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</si>
  <si>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</si>
  <si>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</si>
  <si>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</si>
  <si>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</si>
  <si>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</si>
  <si>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</si>
  <si>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</si>
  <si>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</si>
  <si>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</si>
  <si>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</si>
  <si>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</si>
  <si>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</si>
  <si>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</si>
  <si>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</si>
  <si>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</si>
  <si>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</si>
  <si>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</si>
  <si>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</si>
  <si>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</si>
  <si>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</si>
  <si>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</si>
  <si>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</si>
  <si>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</si>
  <si>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</si>
  <si>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</si>
  <si>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</si>
  <si>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</si>
  <si>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</si>
  <si>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</si>
  <si>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</si>
  <si>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</si>
  <si>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</si>
  <si>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</si>
  <si>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</si>
  <si>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</si>
  <si>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</si>
  <si>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</si>
  <si>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</si>
  <si>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</si>
  <si>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</si>
  <si>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</si>
  <si>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</si>
  <si>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</si>
  <si>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</si>
  <si>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</si>
  <si>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</si>
  <si>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</si>
  <si>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</si>
  <si>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</si>
  <si>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</si>
  <si>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</si>
  <si>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</si>
  <si>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</si>
  <si>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</si>
  <si>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</si>
  <si>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</si>
  <si>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</si>
  <si>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</si>
  <si>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</si>
  <si>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</si>
  <si>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</si>
  <si>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</si>
  <si>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</si>
  <si>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</si>
  <si>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</si>
  <si>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</si>
  <si>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</si>
  <si>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</si>
  <si>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</si>
  <si>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</si>
  <si>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</si>
  <si>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</si>
  <si>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</si>
  <si>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</si>
  <si>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</si>
  <si>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</si>
  <si>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</si>
  <si>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</si>
  <si>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</si>
  <si>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</si>
  <si>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</si>
  <si>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</si>
  <si>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</si>
  <si>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</si>
  <si>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</si>
  <si>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</si>
  <si>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</si>
  <si>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</si>
  <si>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</si>
  <si>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</si>
  <si>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Irrigation Zone Exceeded 400 Gallons</t>
  </si>
  <si>
    <t>Alarm ID</t>
  </si>
  <si>
    <t>Description</t>
  </si>
  <si>
    <t>Internal Name</t>
  </si>
  <si>
    <t>Operator</t>
  </si>
  <si>
    <t>or</t>
  </si>
  <si>
    <t>Trigger 1</t>
  </si>
  <si>
    <t>Trigger 2</t>
  </si>
  <si>
    <t>Reset Condition</t>
  </si>
  <si>
    <t>WellSensorData.House_tank_pressure_switch_on == OFF</t>
  </si>
  <si>
    <t>TankSensorData.float_state_4 == OFF</t>
  </si>
  <si>
    <t>"Low Water Alert" ,</t>
  </si>
  <si>
    <t>"House Water Pressure Low",</t>
  </si>
  <si>
    <t>"Septic System Alert",</t>
  </si>
  <si>
    <t>"Well 3 Pump Run Away",</t>
  </si>
  <si>
    <t>"Irrigation Pump Run Away",</t>
  </si>
  <si>
    <t>"Tank Overfill Condition".</t>
  </si>
  <si>
    <t>"I2C Faults Detected",</t>
  </si>
  <si>
    <t>"Zone Use Excessive"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</si>
  <si>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</si>
  <si>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</si>
  <si>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</si>
  <si>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</si>
  <si>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</si>
  <si>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</si>
  <si>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</si>
  <si>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</si>
  <si>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</si>
  <si>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</si>
  <si>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</si>
  <si>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</si>
  <si>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</si>
  <si>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</si>
  <si>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</si>
  <si>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</si>
  <si>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</si>
  <si>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</si>
  <si>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</si>
  <si>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</si>
  <si>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</si>
  <si>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</si>
  <si>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</si>
  <si>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</si>
  <si>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</si>
  <si>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</si>
  <si>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</si>
  <si>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</si>
  <si>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</si>
  <si>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</si>
  <si>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</si>
  <si>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</si>
  <si>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</si>
  <si>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</si>
  <si>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</si>
  <si>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</si>
  <si>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</si>
  <si>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</si>
  <si>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</si>
  <si>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</si>
  <si>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</si>
  <si>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</si>
  <si>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</si>
  <si>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</si>
  <si>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</si>
  <si>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</si>
  <si>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</si>
  <si>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</si>
  <si>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</si>
  <si>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</si>
  <si>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</si>
  <si>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</si>
  <si>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</si>
  <si>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</si>
  <si>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</si>
  <si>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</si>
  <si>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</si>
  <si>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</si>
  <si>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</si>
  <si>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</si>
  <si>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</si>
  <si>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</si>
  <si>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</si>
  <si>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</si>
  <si>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</si>
  <si>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</si>
  <si>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</si>
  <si>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</si>
  <si>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</si>
  <si>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</si>
  <si>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</si>
  <si>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</si>
  <si>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</si>
  <si>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</si>
  <si>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</si>
  <si>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</si>
  <si>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</si>
  <si>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</si>
  <si>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</si>
  <si>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</si>
  <si>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</si>
  <si>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</si>
  <si>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</si>
  <si>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</si>
  <si>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</si>
  <si>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</si>
  <si>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</si>
  <si>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</si>
  <si>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</si>
  <si>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</si>
  <si>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</si>
  <si>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</si>
  <si>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</si>
  <si>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</si>
  <si>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</si>
  <si>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</si>
  <si>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</si>
  <si>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</si>
  <si>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</si>
  <si>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</si>
  <si>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</si>
  <si>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</si>
  <si>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</si>
  <si>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</si>
  <si>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</si>
  <si>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</si>
  <si>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</si>
  <si>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</si>
  <si>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</si>
  <si>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</si>
  <si>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</si>
  <si>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</si>
  <si>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</si>
  <si>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</si>
  <si>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</si>
  <si>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</si>
  <si>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</si>
  <si>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</si>
  <si>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</si>
  <si>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</si>
  <si>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</si>
  <si>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</si>
  <si>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</si>
  <si>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</si>
  <si>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</si>
  <si>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</si>
  <si>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</si>
  <si>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</si>
  <si>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</si>
  <si>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</si>
  <si>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</si>
  <si>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</si>
  <si>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</si>
  <si>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</si>
  <si>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</si>
  <si>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</si>
  <si>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</si>
  <si>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</si>
  <si>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</si>
  <si>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</si>
  <si>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</si>
  <si>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</si>
  <si>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</si>
  <si>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</si>
  <si>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</si>
  <si>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</si>
  <si>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</si>
  <si>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</si>
  <si>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</si>
  <si>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</si>
  <si>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</si>
  <si>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</si>
  <si>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</si>
  <si>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</si>
  <si>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</si>
  <si>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</si>
  <si>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</si>
  <si>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</si>
  <si>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</si>
  <si>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</si>
  <si>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</si>
  <si>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</si>
  <si>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</si>
  <si>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</si>
  <si>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</si>
  <si>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</si>
  <si>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</si>
  <si>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</si>
  <si>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</si>
  <si>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</si>
  <si>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</si>
  <si>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</si>
  <si>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</si>
  <si>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</si>
  <si>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</si>
  <si>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</si>
  <si>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</si>
  <si>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</si>
  <si>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</si>
  <si>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</si>
  <si>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</si>
  <si>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</si>
  <si>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</si>
  <si>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</si>
  <si>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</si>
  <si>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</si>
  <si>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</si>
  <si>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</si>
  <si>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</si>
  <si>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</si>
  <si>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</si>
  <si>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</si>
  <si>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</si>
  <si>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</si>
  <si>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</si>
  <si>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</si>
  <si>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</si>
  <si>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</si>
  <si>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</si>
  <si>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</si>
  <si>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</si>
  <si>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</si>
  <si>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</si>
  <si>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</si>
  <si>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</si>
  <si>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</si>
  <si>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</si>
  <si>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</si>
  <si>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</si>
  <si>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</si>
  <si>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</si>
  <si>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</si>
  <si>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</si>
  <si>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</si>
  <si>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</si>
  <si>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</si>
  <si>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</si>
  <si>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</si>
  <si>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</si>
  <si>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</si>
  <si>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</si>
  <si>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</si>
  <si>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</si>
  <si>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</si>
  <si>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</si>
  <si>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</si>
  <si>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</si>
  <si>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</si>
  <si>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</si>
  <si>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</si>
  <si>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</si>
  <si>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</si>
  <si>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</si>
  <si>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</si>
  <si>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</si>
  <si>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</si>
  <si>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</si>
  <si>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</si>
  <si>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</si>
  <si>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</si>
  <si>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</si>
  <si>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</si>
  <si>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</si>
  <si>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</si>
  <si>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</si>
  <si>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</si>
  <si>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 xml:space="preserve">wellMon_.well.well_pump_1_on == OFF </t>
  </si>
  <si>
    <t>TIMEOUT_RESET_VALUE</t>
  </si>
  <si>
    <t xml:space="preserve">Alarm Type - Critical, Warn, Info   </t>
  </si>
  <si>
    <t>Tank Water Level Critically Low</t>
  </si>
  <si>
    <t>Irrigation Pump Temp Low</t>
  </si>
  <si>
    <t>Internal Variable</t>
  </si>
  <si>
    <t>irrig_pump_temp</t>
  </si>
  <si>
    <t>house_water_press</t>
  </si>
  <si>
    <t>septic_system</t>
  </si>
  <si>
    <t>irrig_pump_flow</t>
  </si>
  <si>
    <t>well3_pump_flow</t>
  </si>
  <si>
    <t>tank_overfill</t>
  </si>
  <si>
    <t>tank_low</t>
  </si>
  <si>
    <t>Value</t>
  </si>
  <si>
    <t>CONDITION_EQUAL</t>
  </si>
  <si>
    <t>CONDITION_LESS_THAN</t>
  </si>
  <si>
    <t>ON</t>
  </si>
  <si>
    <t>Irrigation Pump Temperature Exceeding Low Limit</t>
  </si>
  <si>
    <t>TRIGGER_DELAY</t>
  </si>
  <si>
    <t>TIMER_INCREMENT</t>
  </si>
  <si>
    <t>FLowSensorData.irrigationFlowPerMin</t>
  </si>
  <si>
    <t>Well Pump 1 Not Starting</t>
  </si>
  <si>
    <t>Well Pump 2 Not Starting</t>
  </si>
  <si>
    <t>"Well Pump 1 Not Starting",</t>
  </si>
  <si>
    <t>"Well Pump 2 Not Starting",</t>
  </si>
  <si>
    <t>well_pump1_nostart</t>
  </si>
  <si>
    <t>well_pump2_nostart</t>
  </si>
  <si>
    <t xml:space="preserve">wellMon_.well.well_pump_2_on == OFF </t>
  </si>
  <si>
    <t>tankMon_.tank.</t>
  </si>
  <si>
    <t>tankMon_.tank.float2</t>
  </si>
  <si>
    <t>irrigationMon_.irrigation.PumpTemp</t>
  </si>
  <si>
    <t xml:space="preserve">wellMon_.well. </t>
  </si>
  <si>
    <t>irrigationMon_.irrigation.</t>
  </si>
  <si>
    <t>House Supply Temp Low</t>
  </si>
  <si>
    <t>"House Supply Temp Low"</t>
  </si>
  <si>
    <t>"Irrigation Pump Temp Low",</t>
  </si>
  <si>
    <t>house_supply_temp</t>
  </si>
  <si>
    <t>Irrigation Water Pressure Low</t>
  </si>
  <si>
    <t>irrigation_water_press</t>
  </si>
  <si>
    <t xml:space="preserve">irrigationMon_.house </t>
  </si>
  <si>
    <t xml:space="preserve">houseMon_.house </t>
  </si>
  <si>
    <t>tankMon_.tank.tank_gallons</t>
  </si>
  <si>
    <t>CONDITION_GREATER_THAN</t>
  </si>
  <si>
    <t>Tank Gallons Over 2275</t>
  </si>
  <si>
    <t>Well Pump 3 Not Starting</t>
  </si>
  <si>
    <t>"Well Pump 3 Not Starting",</t>
  </si>
  <si>
    <t>well_pump3_nostart</t>
  </si>
  <si>
    <t>wellMon_.well.well_pump_3_on == ON</t>
  </si>
  <si>
    <t>tankMon_.tank.tank_gallons_per_minute</t>
  </si>
  <si>
    <t>wellMon_.well.well_pump_3_on == OFF</t>
  </si>
  <si>
    <t>Water Well #3 Pump ON but Flow is Less Than 2 Gal per Minute</t>
  </si>
  <si>
    <t>Well Pump 1 Runtime Exceeded</t>
  </si>
  <si>
    <t>Well Pump 1 Cycles Excessive</t>
  </si>
  <si>
    <t>"Well Pump 1 Runtime Excessive",</t>
  </si>
  <si>
    <t>"Well Pump 1 Cycles Excessive",</t>
  </si>
  <si>
    <t>well_pump_1_runtime</t>
  </si>
  <si>
    <t>well_pump_1_cycles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</si>
  <si>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</si>
  <si>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</si>
  <si>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</si>
  <si>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</si>
  <si>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"Well Pump 2 Runtime Excessive",</t>
  </si>
  <si>
    <t>"Well Pump 2 Cycles Excessive",</t>
  </si>
  <si>
    <t>"Well Pump 3 Runtime Excessive",</t>
  </si>
  <si>
    <t>"Well Pump 3 Cycles Excessive",</t>
  </si>
  <si>
    <t>well_pump_2_runtime</t>
  </si>
  <si>
    <t>well_pump_2_cycles</t>
  </si>
  <si>
    <t>monitor_.monitor.pump_run_time_2</t>
  </si>
  <si>
    <t>Well Pump 2 Runtime Exceeded</t>
  </si>
  <si>
    <t>Well Pump 2 Cycles Excessive</t>
  </si>
  <si>
    <t>Well Pump 3 Runtime Exceeded</t>
  </si>
  <si>
    <t>Well Pump 3 Cycles Excessive</t>
  </si>
  <si>
    <t>Irrigation Pump Runtime Exceeded</t>
  </si>
  <si>
    <t>Irrigation Pump Cycles Excessive</t>
  </si>
  <si>
    <t>"Irrigation Pump Runtime Excessive",</t>
  </si>
  <si>
    <t>"Irrigation Pump Cycles Excessive",</t>
  </si>
  <si>
    <t>well_pump_3_runtime</t>
  </si>
  <si>
    <t>well_pump_3_cycles</t>
  </si>
  <si>
    <t>monitor_.monitor.pump_run_time_3</t>
  </si>
  <si>
    <t>monitor_.monitor.pump_run_time_4</t>
  </si>
  <si>
    <t>irrigation_pump_runtime</t>
  </si>
  <si>
    <t>irrigation_pump_cycles</t>
  </si>
  <si>
    <t xml:space="preserve">houseMon_.house.houseSupplyTemp </t>
  </si>
  <si>
    <t>wellMon_.well.House_tank_pressure_switch_on</t>
  </si>
  <si>
    <t>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</si>
</sst>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20" fillId="5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0" fillId="0" borderId="18" xfId="0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318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/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/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443</v>
      </c>
      <c r="D99" s="20" t="s">
        <v>318</v>
      </c>
      <c r="J99" s="20" t="s">
        <v>314</v>
      </c>
      <c r="N99" s="26" t="s">
        <v>438</v>
      </c>
    </row>
    <row r="100" spans="1:15" x14ac:dyDescent="0.2">
      <c r="A100" t="s">
        <v>358</v>
      </c>
      <c r="D100" s="25" t="s">
        <v>398</v>
      </c>
      <c r="E100" s="25" t="s">
        <v>451</v>
      </c>
      <c r="J100" s="25" t="s">
        <v>457</v>
      </c>
      <c r="K100" s="25" t="s">
        <v>408</v>
      </c>
      <c r="M100" t="s">
        <v>430</v>
      </c>
    </row>
    <row r="101" spans="1:15" x14ac:dyDescent="0.2">
      <c r="A101" t="s">
        <v>208</v>
      </c>
      <c r="B101" t="s">
        <v>340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A102" t="s">
        <v>208</v>
      </c>
      <c r="B102" t="s">
        <v>341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A103" t="s">
        <v>208</v>
      </c>
      <c r="B103" t="s">
        <v>342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A104" t="s">
        <v>208</v>
      </c>
      <c r="B104" t="s">
        <v>343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208</v>
      </c>
      <c r="B105" t="s">
        <v>310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311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331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332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333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346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347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348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304</v>
      </c>
      <c r="C113" t="s">
        <v>206</v>
      </c>
      <c r="D113" s="3" t="s">
        <v>58</v>
      </c>
      <c r="E113" s="6" t="s">
        <v>459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349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350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351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352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344</v>
      </c>
      <c r="C118" t="s">
        <v>206</v>
      </c>
      <c r="D118" s="3" t="s">
        <v>63</v>
      </c>
      <c r="E118" s="6" t="s">
        <v>359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345</v>
      </c>
      <c r="C119" t="s">
        <v>206</v>
      </c>
      <c r="D119" s="3" t="s">
        <v>64</v>
      </c>
      <c r="E119" s="6" t="s">
        <v>360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353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303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339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/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318</v>
      </c>
      <c r="J99" s="20" t="s">
        <v>314</v>
      </c>
      <c r="N99" s="26" t="s">
        <v>438</v>
      </c>
    </row>
    <row r="100" spans="1:15" x14ac:dyDescent="0.2">
      <c r="D100" s="25" t="s">
        <v>726</v>
      </c>
      <c r="E100" s="25" t="s">
        <v>731</v>
      </c>
      <c r="J100" s="25" t="s">
        <v>457</v>
      </c>
      <c r="K100" s="25" t="s">
        <v>408</v>
      </c>
      <c r="M100" t="s">
        <v>430</v>
      </c>
    </row>
    <row r="101" spans="1:15" x14ac:dyDescent="0.2">
      <c r="D101" s="25" t="s">
        <v>361</v>
      </c>
      <c r="E101" s="25" t="s">
        <v>732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D102" s="25" t="s">
        <v>724</v>
      </c>
      <c r="E102" s="25" t="s">
        <v>733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D103" s="25" t="s">
        <v>725</v>
      </c>
      <c r="E103" s="25" t="s">
        <v>734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B104" s="26" t="s">
        <v>443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358</v>
      </c>
      <c r="D105" s="3" t="s">
        <v>47</v>
      </c>
      <c r="E105" s="6" t="s">
        <v>108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340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341</v>
      </c>
      <c r="C107" t="s">
        <v>206</v>
      </c>
      <c r="D107" s="3" t="s">
        <v>49</v>
      </c>
      <c r="E107" s="6" t="s">
        <v>727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342</v>
      </c>
      <c r="C108" t="s">
        <v>206</v>
      </c>
      <c r="D108" s="3" t="s">
        <v>50</v>
      </c>
      <c r="E108" s="6" t="s">
        <v>730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728</v>
      </c>
      <c r="C109" t="s">
        <v>206</v>
      </c>
      <c r="D109" s="3" t="s">
        <v>51</v>
      </c>
      <c r="E109" s="6" t="s">
        <v>720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729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723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721</v>
      </c>
      <c r="C112" t="s">
        <v>206</v>
      </c>
      <c r="D112" s="3" t="s">
        <v>54</v>
      </c>
      <c r="E112" s="6" t="s">
        <v>459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722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304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303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339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/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808</v>
      </c>
      <c r="H1">
        <v>0</v>
      </c>
      <c r="I1" t="s">
        <v>726</v>
      </c>
      <c r="L1" t="s">
        <v>731</v>
      </c>
    </row>
    <row r="2" spans="1:12" x14ac:dyDescent="0.2">
      <c r="A2" t="s">
        <v>805</v>
      </c>
      <c r="B2" t="s">
        <v>811</v>
      </c>
      <c r="C2" t="s">
        <v>340</v>
      </c>
      <c r="D2" t="s">
        <v>806</v>
      </c>
      <c r="H2">
        <v>1</v>
      </c>
      <c r="I2" t="s">
        <v>361</v>
      </c>
      <c r="L2" t="s">
        <v>732</v>
      </c>
    </row>
    <row r="3" spans="1:12" x14ac:dyDescent="0.2">
      <c r="A3" t="s">
        <v>805</v>
      </c>
      <c r="B3" t="s">
        <v>811</v>
      </c>
      <c r="C3" t="s">
        <v>341</v>
      </c>
      <c r="D3" t="s">
        <v>806</v>
      </c>
      <c r="H3">
        <v>2</v>
      </c>
      <c r="I3" t="s">
        <v>724</v>
      </c>
      <c r="L3" t="s">
        <v>733</v>
      </c>
    </row>
    <row r="4" spans="1:12" x14ac:dyDescent="0.2">
      <c r="A4" t="s">
        <v>805</v>
      </c>
      <c r="B4" t="s">
        <v>811</v>
      </c>
      <c r="C4" t="s">
        <v>342</v>
      </c>
      <c r="D4" t="s">
        <v>806</v>
      </c>
      <c r="H4">
        <v>3</v>
      </c>
      <c r="I4" t="s">
        <v>725</v>
      </c>
      <c r="L4" t="s">
        <v>734</v>
      </c>
    </row>
    <row r="5" spans="1:12" x14ac:dyDescent="0.2">
      <c r="A5" t="s">
        <v>805</v>
      </c>
      <c r="B5" t="s">
        <v>811</v>
      </c>
      <c r="C5" t="s">
        <v>728</v>
      </c>
      <c r="D5" t="s">
        <v>806</v>
      </c>
      <c r="H5">
        <v>4</v>
      </c>
      <c r="I5" t="s">
        <v>362</v>
      </c>
      <c r="L5" t="s">
        <v>450</v>
      </c>
    </row>
    <row r="6" spans="1:12" x14ac:dyDescent="0.2">
      <c r="A6" t="s">
        <v>805</v>
      </c>
      <c r="B6" t="s">
        <v>811</v>
      </c>
      <c r="C6" t="s">
        <v>729</v>
      </c>
      <c r="D6" t="s">
        <v>806</v>
      </c>
      <c r="H6">
        <v>5</v>
      </c>
      <c r="I6" t="s">
        <v>400</v>
      </c>
      <c r="L6" t="s">
        <v>406</v>
      </c>
    </row>
    <row r="7" spans="1:12" x14ac:dyDescent="0.2">
      <c r="A7" t="s">
        <v>805</v>
      </c>
      <c r="B7" t="s">
        <v>811</v>
      </c>
      <c r="C7" t="s">
        <v>723</v>
      </c>
      <c r="D7" t="s">
        <v>806</v>
      </c>
      <c r="H7">
        <v>6</v>
      </c>
      <c r="I7" t="s">
        <v>399</v>
      </c>
      <c r="L7" t="s">
        <v>407</v>
      </c>
    </row>
    <row r="8" spans="1:12" x14ac:dyDescent="0.2">
      <c r="A8" t="s">
        <v>805</v>
      </c>
      <c r="B8" t="s">
        <v>811</v>
      </c>
      <c r="C8" t="s">
        <v>721</v>
      </c>
      <c r="D8" t="s">
        <v>806</v>
      </c>
      <c r="H8">
        <v>7</v>
      </c>
      <c r="I8" t="s">
        <v>458</v>
      </c>
      <c r="L8" t="s">
        <v>408</v>
      </c>
    </row>
    <row r="9" spans="1:12" x14ac:dyDescent="0.2">
      <c r="A9" t="s">
        <v>805</v>
      </c>
      <c r="B9" t="s">
        <v>811</v>
      </c>
      <c r="C9" t="s">
        <v>722</v>
      </c>
      <c r="D9" t="s">
        <v>806</v>
      </c>
      <c r="H9">
        <v>8</v>
      </c>
      <c r="I9" t="s">
        <v>402</v>
      </c>
      <c r="L9" t="s">
        <v>409</v>
      </c>
    </row>
    <row r="10" spans="1:12" x14ac:dyDescent="0.2">
      <c r="A10" t="s">
        <v>805</v>
      </c>
      <c r="B10" t="s">
        <v>811</v>
      </c>
      <c r="C10" t="s">
        <v>304</v>
      </c>
      <c r="D10" t="s">
        <v>806</v>
      </c>
      <c r="H10">
        <v>9</v>
      </c>
      <c r="I10" t="s">
        <v>401</v>
      </c>
      <c r="L10" t="s">
        <v>410</v>
      </c>
    </row>
    <row r="11" spans="1:12" x14ac:dyDescent="0.2">
      <c r="A11" t="s">
        <v>805</v>
      </c>
      <c r="B11" t="s">
        <v>811</v>
      </c>
      <c r="C11" t="s">
        <v>303</v>
      </c>
      <c r="D11" t="s">
        <v>812</v>
      </c>
      <c r="H11">
        <v>10</v>
      </c>
      <c r="I11" t="s">
        <v>742</v>
      </c>
      <c r="L11" t="s">
        <v>743</v>
      </c>
    </row>
    <row r="12" spans="1:12" x14ac:dyDescent="0.2">
      <c r="C12" s="26" t="s">
        <v>441</v>
      </c>
    </row>
    <row r="13" spans="1:12" x14ac:dyDescent="0.2">
      <c r="A13" t="s">
        <v>805</v>
      </c>
      <c r="B13" t="s">
        <v>807</v>
      </c>
      <c r="C13" t="s">
        <v>340</v>
      </c>
      <c r="D13" t="s">
        <v>806</v>
      </c>
    </row>
    <row r="14" spans="1:12" x14ac:dyDescent="0.2">
      <c r="A14" t="s">
        <v>805</v>
      </c>
      <c r="B14" t="s">
        <v>807</v>
      </c>
      <c r="C14" t="s">
        <v>341</v>
      </c>
      <c r="D14" t="s">
        <v>806</v>
      </c>
    </row>
    <row r="15" spans="1:12" x14ac:dyDescent="0.2">
      <c r="A15" t="s">
        <v>805</v>
      </c>
      <c r="B15" t="s">
        <v>807</v>
      </c>
      <c r="C15" t="s">
        <v>342</v>
      </c>
      <c r="D15" t="s">
        <v>806</v>
      </c>
    </row>
    <row r="16" spans="1:1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16" x14ac:dyDescent="0.2">
      <c r="A33" t="s">
        <v>805</v>
      </c>
      <c r="B33" t="s">
        <v>809</v>
      </c>
      <c r="C33" t="s">
        <v>303</v>
      </c>
      <c r="D33" t="s">
        <v>812</v>
      </c>
    </row>
    <row r="35" spans="1:16" ht="19" x14ac:dyDescent="0.25">
      <c r="E35" s="41" t="s">
        <v>318</v>
      </c>
    </row>
    <row r="36" spans="1:16" x14ac:dyDescent="0.2">
      <c r="E36" s="42" t="s">
        <v>726</v>
      </c>
      <c r="F36" s="42" t="s">
        <v>731</v>
      </c>
    </row>
    <row r="37" spans="1:16" ht="19" x14ac:dyDescent="0.25">
      <c r="E37" s="43" t="s">
        <v>361</v>
      </c>
      <c r="F37" s="43" t="s">
        <v>732</v>
      </c>
      <c r="K37" s="19" t="s">
        <v>312</v>
      </c>
      <c r="O37" t="s">
        <v>436</v>
      </c>
    </row>
    <row r="38" spans="1:16" x14ac:dyDescent="0.2">
      <c r="E38" s="43" t="s">
        <v>724</v>
      </c>
      <c r="F38" s="43" t="s">
        <v>733</v>
      </c>
      <c r="K38" s="25" t="s">
        <v>400</v>
      </c>
      <c r="L38" s="25" t="s">
        <v>406</v>
      </c>
      <c r="N38" t="s">
        <v>411</v>
      </c>
    </row>
    <row r="39" spans="1:16" x14ac:dyDescent="0.2">
      <c r="E39" s="43" t="s">
        <v>725</v>
      </c>
      <c r="F39" s="43" t="s">
        <v>734</v>
      </c>
      <c r="K39" s="3" t="s">
        <v>86</v>
      </c>
      <c r="L39" s="6" t="s">
        <v>384</v>
      </c>
      <c r="N39" t="s">
        <v>87</v>
      </c>
      <c r="O39" t="s">
        <v>387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300</v>
      </c>
      <c r="P40" t="s">
        <v>206</v>
      </c>
    </row>
    <row r="41" spans="1:16" x14ac:dyDescent="0.2">
      <c r="B41" t="s">
        <v>358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301</v>
      </c>
      <c r="P41" t="s">
        <v>206</v>
      </c>
    </row>
    <row r="42" spans="1:16" x14ac:dyDescent="0.2">
      <c r="B42" t="s">
        <v>208</v>
      </c>
      <c r="C42" t="s">
        <v>340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302</v>
      </c>
      <c r="P42" t="s">
        <v>206</v>
      </c>
    </row>
    <row r="43" spans="1:16" x14ac:dyDescent="0.2">
      <c r="B43" t="s">
        <v>208</v>
      </c>
      <c r="C43" t="s">
        <v>341</v>
      </c>
      <c r="D43" t="s">
        <v>206</v>
      </c>
      <c r="E43" s="44" t="s">
        <v>49</v>
      </c>
      <c r="F43" s="47" t="s">
        <v>727</v>
      </c>
      <c r="K43" s="3" t="s">
        <v>69</v>
      </c>
      <c r="L43" s="6" t="s">
        <v>386</v>
      </c>
      <c r="N43" t="s">
        <v>87</v>
      </c>
      <c r="O43" t="s">
        <v>388</v>
      </c>
      <c r="P43" t="s">
        <v>206</v>
      </c>
    </row>
    <row r="44" spans="1:16" x14ac:dyDescent="0.2">
      <c r="B44" t="s">
        <v>208</v>
      </c>
      <c r="C44" t="s">
        <v>342</v>
      </c>
      <c r="D44" t="s">
        <v>206</v>
      </c>
      <c r="E44" s="44" t="s">
        <v>50</v>
      </c>
      <c r="F44" s="47" t="s">
        <v>730</v>
      </c>
      <c r="K44" s="3" t="s">
        <v>70</v>
      </c>
      <c r="L44" s="6" t="s">
        <v>705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728</v>
      </c>
      <c r="D45" t="s">
        <v>206</v>
      </c>
      <c r="E45" s="44" t="s">
        <v>51</v>
      </c>
      <c r="F45" s="47" t="s">
        <v>720</v>
      </c>
      <c r="K45" s="3" t="s">
        <v>71</v>
      </c>
      <c r="L45" s="6" t="s">
        <v>706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729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707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723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708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721</v>
      </c>
      <c r="D48" t="s">
        <v>206</v>
      </c>
      <c r="E48" s="44" t="s">
        <v>54</v>
      </c>
      <c r="F48" s="47" t="s">
        <v>459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722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304</v>
      </c>
      <c r="P49" t="s">
        <v>206</v>
      </c>
    </row>
    <row r="50" spans="2:16" x14ac:dyDescent="0.2">
      <c r="B50" t="s">
        <v>208</v>
      </c>
      <c r="C50" t="s">
        <v>304</v>
      </c>
      <c r="D50" t="s">
        <v>206</v>
      </c>
      <c r="E50" s="44" t="s">
        <v>1</v>
      </c>
      <c r="F50" s="47"/>
      <c r="K50" s="3" t="s">
        <v>76</v>
      </c>
      <c r="L50" s="6" t="s">
        <v>385</v>
      </c>
      <c r="N50" t="s">
        <v>87</v>
      </c>
      <c r="O50" t="s">
        <v>389</v>
      </c>
      <c r="P50" t="s">
        <v>206</v>
      </c>
    </row>
    <row r="51" spans="2:16" x14ac:dyDescent="0.2">
      <c r="B51" t="s">
        <v>208</v>
      </c>
      <c r="C51" t="s">
        <v>303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305</v>
      </c>
      <c r="P51" t="s">
        <v>206</v>
      </c>
    </row>
    <row r="52" spans="2:16" x14ac:dyDescent="0.2">
      <c r="C52" t="s">
        <v>339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306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307</v>
      </c>
      <c r="P53" t="s">
        <v>206</v>
      </c>
    </row>
    <row r="54" spans="2:16" x14ac:dyDescent="0.2">
      <c r="E54" s="45" t="s">
        <v>208</v>
      </c>
      <c r="F54" s="47" t="s">
        <v>428</v>
      </c>
      <c r="K54" s="3" t="s">
        <v>80</v>
      </c>
      <c r="L54" s="6" t="s">
        <v>34</v>
      </c>
      <c r="N54" t="s">
        <v>87</v>
      </c>
      <c r="O54" t="s">
        <v>308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339</v>
      </c>
    </row>
    <row r="62" spans="2:16" ht="35" customHeight="1" x14ac:dyDescent="0.2">
      <c r="E62"/>
      <c r="K62" s="8" t="s">
        <v>87</v>
      </c>
      <c r="L62" s="3" t="s">
        <v>425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442</v>
      </c>
      <c r="E65" s="49" t="s">
        <v>317</v>
      </c>
    </row>
    <row r="66" spans="2:16" x14ac:dyDescent="0.2">
      <c r="B66" t="s">
        <v>319</v>
      </c>
      <c r="E66" s="43" t="s">
        <v>362</v>
      </c>
      <c r="F66" s="38" t="s">
        <v>450</v>
      </c>
    </row>
    <row r="67" spans="2:16" ht="19" x14ac:dyDescent="0.25">
      <c r="B67" t="s">
        <v>208</v>
      </c>
      <c r="C67" t="s">
        <v>453</v>
      </c>
      <c r="D67" t="s">
        <v>206</v>
      </c>
      <c r="E67" s="50" t="s">
        <v>189</v>
      </c>
      <c r="F67" s="39" t="s">
        <v>373</v>
      </c>
      <c r="K67" s="20" t="s">
        <v>313</v>
      </c>
      <c r="O67" t="s">
        <v>437</v>
      </c>
    </row>
    <row r="68" spans="2:16" x14ac:dyDescent="0.2">
      <c r="B68" t="s">
        <v>208</v>
      </c>
      <c r="C68" t="s">
        <v>454</v>
      </c>
      <c r="D68" t="s">
        <v>206</v>
      </c>
      <c r="E68" s="50" t="s">
        <v>47</v>
      </c>
      <c r="F68" s="39" t="s">
        <v>374</v>
      </c>
      <c r="K68" s="25" t="s">
        <v>399</v>
      </c>
      <c r="L68" s="25" t="s">
        <v>407</v>
      </c>
      <c r="N68" t="s">
        <v>429</v>
      </c>
    </row>
    <row r="69" spans="2:16" x14ac:dyDescent="0.2">
      <c r="B69" t="s">
        <v>208</v>
      </c>
      <c r="C69" t="s">
        <v>455</v>
      </c>
      <c r="D69" t="s">
        <v>206</v>
      </c>
      <c r="E69" s="50" t="s">
        <v>48</v>
      </c>
      <c r="F69" s="39" t="s">
        <v>375</v>
      </c>
      <c r="K69" s="3" t="s">
        <v>86</v>
      </c>
      <c r="L69" s="6" t="s">
        <v>390</v>
      </c>
      <c r="N69" t="s">
        <v>87</v>
      </c>
      <c r="O69" t="s">
        <v>412</v>
      </c>
      <c r="P69" t="s">
        <v>206</v>
      </c>
    </row>
    <row r="70" spans="2:16" x14ac:dyDescent="0.2">
      <c r="B70" t="s">
        <v>208</v>
      </c>
      <c r="C70" t="s">
        <v>456</v>
      </c>
      <c r="D70" t="s">
        <v>206</v>
      </c>
      <c r="E70" s="50" t="s">
        <v>49</v>
      </c>
      <c r="F70" s="39" t="s">
        <v>376</v>
      </c>
      <c r="K70" s="3" t="s">
        <v>88</v>
      </c>
      <c r="L70" s="6" t="s">
        <v>391</v>
      </c>
      <c r="N70" t="s">
        <v>87</v>
      </c>
      <c r="O70" t="s">
        <v>413</v>
      </c>
      <c r="P70" t="s">
        <v>206</v>
      </c>
    </row>
    <row r="71" spans="2:16" x14ac:dyDescent="0.2">
      <c r="B71" t="s">
        <v>208</v>
      </c>
      <c r="C71" t="s">
        <v>309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392</v>
      </c>
      <c r="N71" t="s">
        <v>87</v>
      </c>
      <c r="O71" t="s">
        <v>414</v>
      </c>
      <c r="P71" t="s">
        <v>206</v>
      </c>
    </row>
    <row r="72" spans="2:16" x14ac:dyDescent="0.2">
      <c r="B72" t="s">
        <v>208</v>
      </c>
      <c r="C72" t="s">
        <v>452</v>
      </c>
      <c r="D72" t="s">
        <v>206</v>
      </c>
      <c r="E72" s="50" t="s">
        <v>51</v>
      </c>
      <c r="F72" s="39" t="s">
        <v>378</v>
      </c>
      <c r="K72" s="3" t="s">
        <v>68</v>
      </c>
      <c r="L72" s="6" t="s">
        <v>393</v>
      </c>
      <c r="N72" t="s">
        <v>87</v>
      </c>
      <c r="O72" t="s">
        <v>415</v>
      </c>
      <c r="P72" t="s">
        <v>206</v>
      </c>
    </row>
    <row r="73" spans="2:16" x14ac:dyDescent="0.2">
      <c r="B73" t="s">
        <v>208</v>
      </c>
      <c r="C73" t="s">
        <v>417</v>
      </c>
      <c r="D73" t="s">
        <v>206</v>
      </c>
      <c r="E73" s="50" t="s">
        <v>52</v>
      </c>
      <c r="F73" s="39" t="s">
        <v>379</v>
      </c>
      <c r="K73" s="3" t="s">
        <v>69</v>
      </c>
      <c r="L73" s="6" t="s">
        <v>394</v>
      </c>
      <c r="N73" t="s">
        <v>87</v>
      </c>
      <c r="O73" t="s">
        <v>309</v>
      </c>
      <c r="P73" t="s">
        <v>206</v>
      </c>
    </row>
    <row r="74" spans="2:16" x14ac:dyDescent="0.2">
      <c r="B74" t="s">
        <v>208</v>
      </c>
      <c r="C74" t="s">
        <v>310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395</v>
      </c>
      <c r="N74" t="s">
        <v>87</v>
      </c>
      <c r="O74" t="s">
        <v>416</v>
      </c>
      <c r="P74" t="s">
        <v>206</v>
      </c>
    </row>
    <row r="75" spans="2:16" x14ac:dyDescent="0.2">
      <c r="B75" t="s">
        <v>208</v>
      </c>
      <c r="C75" t="s">
        <v>311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396</v>
      </c>
      <c r="N75" t="s">
        <v>87</v>
      </c>
      <c r="O75" t="s">
        <v>417</v>
      </c>
      <c r="P75" t="s">
        <v>206</v>
      </c>
    </row>
    <row r="76" spans="2:16" x14ac:dyDescent="0.2">
      <c r="B76" t="s">
        <v>208</v>
      </c>
      <c r="C76" t="s">
        <v>331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328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304</v>
      </c>
      <c r="D79" t="s">
        <v>206</v>
      </c>
      <c r="E79" s="50" t="s">
        <v>58</v>
      </c>
      <c r="F79" s="39" t="s">
        <v>459</v>
      </c>
      <c r="K79" s="3" t="s">
        <v>75</v>
      </c>
      <c r="L79" s="6" t="s">
        <v>397</v>
      </c>
      <c r="N79" t="s">
        <v>87</v>
      </c>
      <c r="O79" t="s">
        <v>371</v>
      </c>
      <c r="P79" t="s">
        <v>206</v>
      </c>
    </row>
    <row r="80" spans="2:16" x14ac:dyDescent="0.2">
      <c r="B80" t="s">
        <v>208</v>
      </c>
      <c r="C80" t="s">
        <v>332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333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304</v>
      </c>
      <c r="P81" t="s">
        <v>206</v>
      </c>
    </row>
    <row r="82" spans="2:16" x14ac:dyDescent="0.2">
      <c r="B82" t="s">
        <v>208</v>
      </c>
      <c r="C82" t="s">
        <v>346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347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348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349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350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338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339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426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314</v>
      </c>
      <c r="O99" s="26" t="s">
        <v>438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457</v>
      </c>
      <c r="L100" s="25" t="s">
        <v>408</v>
      </c>
      <c r="N100" t="s">
        <v>430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444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445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446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447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685</v>
      </c>
      <c r="N105" t="s">
        <v>87</v>
      </c>
      <c r="O105" t="s">
        <v>687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686</v>
      </c>
      <c r="N106" t="s">
        <v>87</v>
      </c>
      <c r="O106" t="s">
        <v>688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448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427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315</v>
      </c>
      <c r="O132" t="s">
        <v>439</v>
      </c>
    </row>
    <row r="133" spans="5:16" x14ac:dyDescent="0.2">
      <c r="E133"/>
      <c r="K133" s="25" t="s">
        <v>402</v>
      </c>
      <c r="L133" s="25" t="s">
        <v>409</v>
      </c>
      <c r="N133" t="s">
        <v>431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280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281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282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283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284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285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286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287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288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289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290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291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292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293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294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295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296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297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298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299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434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372</v>
      </c>
      <c r="O164" t="s">
        <v>440</v>
      </c>
    </row>
    <row r="165" spans="11:16" x14ac:dyDescent="0.2">
      <c r="K165" s="25" t="s">
        <v>401</v>
      </c>
      <c r="L165" s="25" t="s">
        <v>410</v>
      </c>
      <c r="N165" t="s">
        <v>432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435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/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808</v>
      </c>
      <c r="R1">
        <v>0</v>
      </c>
      <c r="S1" t="s">
        <v>726</v>
      </c>
      <c r="V1" t="s">
        <v>731</v>
      </c>
    </row>
    <row r="2" spans="1:22" x14ac:dyDescent="0.2">
      <c r="A2" t="s">
        <v>805</v>
      </c>
      <c r="B2" t="s">
        <v>811</v>
      </c>
      <c r="C2" t="s">
        <v>340</v>
      </c>
      <c r="D2" t="s">
        <v>806</v>
      </c>
      <c r="R2">
        <v>1</v>
      </c>
      <c r="S2" t="s">
        <v>361</v>
      </c>
      <c r="V2" t="s">
        <v>732</v>
      </c>
    </row>
    <row r="3" spans="1:22" x14ac:dyDescent="0.2">
      <c r="A3" t="s">
        <v>805</v>
      </c>
      <c r="B3" t="s">
        <v>811</v>
      </c>
      <c r="C3" t="s">
        <v>341</v>
      </c>
      <c r="D3" t="s">
        <v>806</v>
      </c>
      <c r="R3">
        <v>2</v>
      </c>
      <c r="S3" t="s">
        <v>724</v>
      </c>
      <c r="V3" t="s">
        <v>733</v>
      </c>
    </row>
    <row r="4" spans="1:22" x14ac:dyDescent="0.2">
      <c r="A4" t="s">
        <v>805</v>
      </c>
      <c r="B4" t="s">
        <v>811</v>
      </c>
      <c r="C4" t="s">
        <v>342</v>
      </c>
      <c r="D4" t="s">
        <v>806</v>
      </c>
      <c r="R4">
        <v>3</v>
      </c>
      <c r="S4" t="s">
        <v>725</v>
      </c>
      <c r="V4" t="s">
        <v>734</v>
      </c>
    </row>
    <row r="5" spans="1:22" x14ac:dyDescent="0.2">
      <c r="A5" t="s">
        <v>805</v>
      </c>
      <c r="B5" t="s">
        <v>811</v>
      </c>
      <c r="C5" t="s">
        <v>728</v>
      </c>
      <c r="D5" t="s">
        <v>806</v>
      </c>
      <c r="R5">
        <v>4</v>
      </c>
      <c r="S5" t="s">
        <v>362</v>
      </c>
      <c r="V5" t="s">
        <v>450</v>
      </c>
    </row>
    <row r="6" spans="1:22" x14ac:dyDescent="0.2">
      <c r="A6" t="s">
        <v>805</v>
      </c>
      <c r="B6" t="s">
        <v>811</v>
      </c>
      <c r="C6" t="s">
        <v>729</v>
      </c>
      <c r="D6" t="s">
        <v>806</v>
      </c>
      <c r="R6">
        <v>5</v>
      </c>
      <c r="S6" t="s">
        <v>400</v>
      </c>
      <c r="V6" t="s">
        <v>406</v>
      </c>
    </row>
    <row r="7" spans="1:22" x14ac:dyDescent="0.2">
      <c r="A7" t="s">
        <v>805</v>
      </c>
      <c r="B7" t="s">
        <v>811</v>
      </c>
      <c r="C7" t="s">
        <v>723</v>
      </c>
      <c r="D7" t="s">
        <v>806</v>
      </c>
      <c r="R7">
        <v>6</v>
      </c>
      <c r="S7" t="s">
        <v>399</v>
      </c>
      <c r="V7" t="s">
        <v>407</v>
      </c>
    </row>
    <row r="8" spans="1:22" x14ac:dyDescent="0.2">
      <c r="A8" t="s">
        <v>805</v>
      </c>
      <c r="B8" t="s">
        <v>811</v>
      </c>
      <c r="C8" t="s">
        <v>721</v>
      </c>
      <c r="D8" t="s">
        <v>806</v>
      </c>
      <c r="R8">
        <v>7</v>
      </c>
      <c r="S8" t="s">
        <v>458</v>
      </c>
      <c r="V8" t="s">
        <v>408</v>
      </c>
    </row>
    <row r="9" spans="1:22" x14ac:dyDescent="0.2">
      <c r="A9" t="s">
        <v>805</v>
      </c>
      <c r="B9" t="s">
        <v>811</v>
      </c>
      <c r="C9" t="s">
        <v>722</v>
      </c>
      <c r="D9" t="s">
        <v>806</v>
      </c>
      <c r="R9">
        <v>8</v>
      </c>
      <c r="S9" t="s">
        <v>402</v>
      </c>
      <c r="V9" t="s">
        <v>409</v>
      </c>
    </row>
    <row r="10" spans="1:22" x14ac:dyDescent="0.2">
      <c r="A10" t="s">
        <v>805</v>
      </c>
      <c r="B10" t="s">
        <v>811</v>
      </c>
      <c r="C10" t="s">
        <v>304</v>
      </c>
      <c r="D10" t="s">
        <v>806</v>
      </c>
      <c r="R10">
        <v>9</v>
      </c>
      <c r="S10" t="s">
        <v>401</v>
      </c>
      <c r="V10" t="s">
        <v>410</v>
      </c>
    </row>
    <row r="11" spans="1:22" x14ac:dyDescent="0.2">
      <c r="A11" t="s">
        <v>805</v>
      </c>
      <c r="B11" t="s">
        <v>811</v>
      </c>
      <c r="C11" t="s">
        <v>303</v>
      </c>
      <c r="D11" t="s">
        <v>812</v>
      </c>
      <c r="R11">
        <v>10</v>
      </c>
      <c r="S11" t="s">
        <v>742</v>
      </c>
      <c r="V11" t="s">
        <v>743</v>
      </c>
    </row>
    <row r="12" spans="1:22" x14ac:dyDescent="0.2">
      <c r="C12" s="26" t="s">
        <v>441</v>
      </c>
    </row>
    <row r="13" spans="1:22" x14ac:dyDescent="0.2">
      <c r="A13" t="s">
        <v>805</v>
      </c>
      <c r="B13" t="s">
        <v>807</v>
      </c>
      <c r="C13" t="s">
        <v>340</v>
      </c>
      <c r="D13" t="s">
        <v>806</v>
      </c>
    </row>
    <row r="14" spans="1:22" x14ac:dyDescent="0.2">
      <c r="A14" t="s">
        <v>805</v>
      </c>
      <c r="B14" t="s">
        <v>807</v>
      </c>
      <c r="C14" t="s">
        <v>341</v>
      </c>
      <c r="D14" t="s">
        <v>806</v>
      </c>
    </row>
    <row r="15" spans="1:22" x14ac:dyDescent="0.2">
      <c r="A15" t="s">
        <v>805</v>
      </c>
      <c r="B15" t="s">
        <v>807</v>
      </c>
      <c r="C15" t="s">
        <v>342</v>
      </c>
      <c r="D15" t="s">
        <v>806</v>
      </c>
    </row>
    <row r="16" spans="1:2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26" x14ac:dyDescent="0.2">
      <c r="A33" t="s">
        <v>805</v>
      </c>
      <c r="B33" t="s">
        <v>809</v>
      </c>
      <c r="C33" t="s">
        <v>303</v>
      </c>
      <c r="D33" t="s">
        <v>812</v>
      </c>
    </row>
    <row r="35" spans="1:26" ht="17" thickBot="1" x14ac:dyDescent="0.25">
      <c r="I35"/>
      <c r="J35"/>
    </row>
    <row r="36" spans="1:26" ht="17" thickBot="1" x14ac:dyDescent="0.25">
      <c r="E36" s="73"/>
      <c r="F36" s="86" t="s">
        <v>820</v>
      </c>
      <c r="G36" s="86"/>
      <c r="H36" s="86"/>
      <c r="I36" s="86"/>
      <c r="J36" s="74"/>
      <c r="K36" s="87" t="s">
        <v>823</v>
      </c>
      <c r="L36" s="75"/>
      <c r="M36" s="75"/>
      <c r="N36" s="87" t="s">
        <v>824</v>
      </c>
      <c r="O36" s="87"/>
      <c r="P36" s="76"/>
    </row>
    <row r="37" spans="1:26" x14ac:dyDescent="0.2">
      <c r="E37" s="77"/>
      <c r="F37" s="8" t="s">
        <v>726</v>
      </c>
      <c r="G37" s="8"/>
      <c r="H37" s="8"/>
      <c r="I37" s="8" t="s">
        <v>822</v>
      </c>
      <c r="J37" s="8"/>
      <c r="K37" s="25" t="s">
        <v>832</v>
      </c>
      <c r="L37" s="75"/>
      <c r="M37" s="25"/>
      <c r="N37" s="25" t="s">
        <v>825</v>
      </c>
      <c r="O37" s="25"/>
      <c r="P37" s="78"/>
    </row>
    <row r="38" spans="1:26" ht="19" x14ac:dyDescent="0.25">
      <c r="E38" s="77"/>
      <c r="F38" s="8" t="s">
        <v>361</v>
      </c>
      <c r="G38" s="8"/>
      <c r="H38" s="8"/>
      <c r="I38" s="8" t="s">
        <v>828</v>
      </c>
      <c r="J38" s="8"/>
      <c r="K38" s="25" t="s">
        <v>833</v>
      </c>
      <c r="L38" s="25"/>
      <c r="M38" s="25"/>
      <c r="N38" s="25" t="s">
        <v>829</v>
      </c>
      <c r="O38" s="25"/>
      <c r="P38" s="78"/>
      <c r="U38" s="19" t="s">
        <v>312</v>
      </c>
      <c r="Y38" t="s">
        <v>436</v>
      </c>
    </row>
    <row r="39" spans="1:26" x14ac:dyDescent="0.2">
      <c r="E39" s="77"/>
      <c r="F39" s="8" t="s">
        <v>724</v>
      </c>
      <c r="G39" s="8"/>
      <c r="H39" s="8"/>
      <c r="I39" s="8" t="s">
        <v>826</v>
      </c>
      <c r="J39" s="8"/>
      <c r="K39" s="25" t="s">
        <v>834</v>
      </c>
      <c r="L39" s="25"/>
      <c r="M39" s="25"/>
      <c r="N39" s="25" t="s">
        <v>830</v>
      </c>
      <c r="O39" s="25"/>
      <c r="P39" s="78"/>
      <c r="U39" s="25" t="s">
        <v>400</v>
      </c>
      <c r="V39" s="25" t="s">
        <v>406</v>
      </c>
      <c r="X39" t="s">
        <v>411</v>
      </c>
    </row>
    <row r="40" spans="1:26" x14ac:dyDescent="0.2">
      <c r="E40" s="77"/>
      <c r="F40" s="8" t="s">
        <v>725</v>
      </c>
      <c r="G40" s="8"/>
      <c r="H40" s="8"/>
      <c r="I40" s="8" t="s">
        <v>827</v>
      </c>
      <c r="J40" s="8"/>
      <c r="K40" s="25" t="s">
        <v>835</v>
      </c>
      <c r="L40" s="25"/>
      <c r="M40" s="25"/>
      <c r="N40" s="25" t="s">
        <v>831</v>
      </c>
      <c r="O40" s="25"/>
      <c r="P40" s="78"/>
      <c r="U40" s="3" t="s">
        <v>86</v>
      </c>
      <c r="V40" s="6" t="s">
        <v>384</v>
      </c>
      <c r="X40" t="s">
        <v>87</v>
      </c>
      <c r="Y40" t="s">
        <v>387</v>
      </c>
      <c r="Z40" t="s">
        <v>206</v>
      </c>
    </row>
    <row r="41" spans="1:26" x14ac:dyDescent="0.2">
      <c r="E41" s="88"/>
      <c r="F41" s="88" t="s">
        <v>815</v>
      </c>
      <c r="G41" s="88" t="s">
        <v>816</v>
      </c>
      <c r="H41" s="88" t="s">
        <v>817</v>
      </c>
      <c r="I41" s="88" t="s">
        <v>818</v>
      </c>
      <c r="J41" s="88"/>
      <c r="K41" s="88" t="s">
        <v>819</v>
      </c>
      <c r="L41" s="88" t="s">
        <v>838</v>
      </c>
      <c r="M41" s="88" t="s">
        <v>839</v>
      </c>
      <c r="N41" s="88"/>
      <c r="O41" s="88"/>
      <c r="P41" s="88"/>
      <c r="U41" s="3"/>
      <c r="V41" s="6"/>
    </row>
    <row r="42" spans="1:26" x14ac:dyDescent="0.2">
      <c r="E42" s="79" t="s">
        <v>0</v>
      </c>
      <c r="F42" s="70">
        <v>0</v>
      </c>
      <c r="G42" s="70" t="s">
        <v>208</v>
      </c>
      <c r="H42" s="70" t="s">
        <v>814</v>
      </c>
      <c r="I42" s="70" t="s">
        <v>340</v>
      </c>
      <c r="J42" s="70" t="s">
        <v>813</v>
      </c>
      <c r="K42" s="71" t="s">
        <v>109</v>
      </c>
      <c r="L42" s="71">
        <v>0</v>
      </c>
      <c r="M42" s="71">
        <v>5000</v>
      </c>
      <c r="N42" s="71"/>
      <c r="O42" s="71"/>
      <c r="P42" s="80"/>
      <c r="U42" s="3" t="s">
        <v>88</v>
      </c>
      <c r="V42" s="6" t="s">
        <v>20</v>
      </c>
      <c r="X42" t="s">
        <v>87</v>
      </c>
      <c r="Y42" t="s">
        <v>300</v>
      </c>
      <c r="Z42" t="s">
        <v>206</v>
      </c>
    </row>
    <row r="43" spans="1:26" x14ac:dyDescent="0.2">
      <c r="B43" t="s">
        <v>358</v>
      </c>
      <c r="E43" s="79" t="s">
        <v>204</v>
      </c>
      <c r="F43" s="70">
        <v>1</v>
      </c>
      <c r="G43" s="70" t="s">
        <v>208</v>
      </c>
      <c r="H43" s="70" t="s">
        <v>814</v>
      </c>
      <c r="I43" s="70" t="s">
        <v>341</v>
      </c>
      <c r="J43" s="70" t="s">
        <v>813</v>
      </c>
      <c r="K43" s="71" t="s">
        <v>108</v>
      </c>
      <c r="L43" s="71">
        <v>0</v>
      </c>
      <c r="M43" s="71">
        <v>10000</v>
      </c>
      <c r="N43" s="71"/>
      <c r="O43" s="71"/>
      <c r="P43" s="80"/>
      <c r="U43" s="3" t="s">
        <v>67</v>
      </c>
      <c r="V43" s="6" t="s">
        <v>21</v>
      </c>
      <c r="X43" t="s">
        <v>87</v>
      </c>
      <c r="Y43" t="s">
        <v>301</v>
      </c>
      <c r="Z43" t="s">
        <v>206</v>
      </c>
    </row>
    <row r="44" spans="1:26" x14ac:dyDescent="0.2">
      <c r="B44" t="s">
        <v>208</v>
      </c>
      <c r="C44" t="s">
        <v>340</v>
      </c>
      <c r="D44" t="s">
        <v>206</v>
      </c>
      <c r="E44" s="79" t="s">
        <v>204</v>
      </c>
      <c r="F44" s="70">
        <v>2</v>
      </c>
      <c r="G44" s="70" t="s">
        <v>208</v>
      </c>
      <c r="H44" s="70" t="s">
        <v>814</v>
      </c>
      <c r="I44" s="70" t="s">
        <v>342</v>
      </c>
      <c r="J44" s="70" t="s">
        <v>813</v>
      </c>
      <c r="K44" s="71" t="s">
        <v>110</v>
      </c>
      <c r="L44" s="71">
        <v>0</v>
      </c>
      <c r="M44" s="71">
        <v>1</v>
      </c>
      <c r="N44" s="71"/>
      <c r="O44" s="71"/>
      <c r="P44" s="80"/>
      <c r="U44" s="3" t="s">
        <v>68</v>
      </c>
      <c r="V44" s="6" t="s">
        <v>22</v>
      </c>
      <c r="X44" t="s">
        <v>87</v>
      </c>
      <c r="Y44" t="s">
        <v>302</v>
      </c>
      <c r="Z44" t="s">
        <v>206</v>
      </c>
    </row>
    <row r="45" spans="1:26" x14ac:dyDescent="0.2">
      <c r="B45" t="s">
        <v>208</v>
      </c>
      <c r="C45" t="s">
        <v>341</v>
      </c>
      <c r="D45" t="s">
        <v>206</v>
      </c>
      <c r="E45" s="79" t="s">
        <v>204</v>
      </c>
      <c r="F45" s="70">
        <v>3</v>
      </c>
      <c r="G45" s="70" t="s">
        <v>208</v>
      </c>
      <c r="H45" s="70" t="s">
        <v>814</v>
      </c>
      <c r="I45" s="70" t="s">
        <v>728</v>
      </c>
      <c r="J45" s="70" t="s">
        <v>813</v>
      </c>
      <c r="K45" s="71" t="s">
        <v>841</v>
      </c>
      <c r="L45" s="71">
        <v>0</v>
      </c>
      <c r="M45" s="71">
        <v>1023</v>
      </c>
      <c r="N45" s="71"/>
      <c r="O45" s="71"/>
      <c r="P45" s="80"/>
      <c r="U45" s="3" t="s">
        <v>69</v>
      </c>
      <c r="V45" s="6" t="s">
        <v>386</v>
      </c>
      <c r="X45" t="s">
        <v>87</v>
      </c>
      <c r="Y45" t="s">
        <v>388</v>
      </c>
      <c r="Z45" t="s">
        <v>206</v>
      </c>
    </row>
    <row r="46" spans="1:26" x14ac:dyDescent="0.2">
      <c r="B46" t="s">
        <v>208</v>
      </c>
      <c r="C46" t="s">
        <v>342</v>
      </c>
      <c r="D46" t="s">
        <v>206</v>
      </c>
      <c r="E46" s="79" t="s">
        <v>204</v>
      </c>
      <c r="F46" s="70">
        <v>4</v>
      </c>
      <c r="G46" s="70" t="s">
        <v>208</v>
      </c>
      <c r="H46" s="70" t="s">
        <v>814</v>
      </c>
      <c r="I46" s="70" t="s">
        <v>729</v>
      </c>
      <c r="J46" s="70" t="s">
        <v>813</v>
      </c>
      <c r="K46" s="71" t="s">
        <v>840</v>
      </c>
      <c r="L46" s="71">
        <v>0</v>
      </c>
      <c r="M46" s="71">
        <v>3</v>
      </c>
      <c r="N46" s="71"/>
      <c r="O46" s="71"/>
      <c r="P46" s="80"/>
      <c r="U46" s="3" t="s">
        <v>70</v>
      </c>
      <c r="V46" s="6" t="s">
        <v>705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728</v>
      </c>
      <c r="D47" t="s">
        <v>206</v>
      </c>
      <c r="E47" s="79" t="s">
        <v>204</v>
      </c>
      <c r="F47" s="70">
        <v>5</v>
      </c>
      <c r="G47" s="70" t="s">
        <v>208</v>
      </c>
      <c r="H47" s="70" t="s">
        <v>814</v>
      </c>
      <c r="I47" s="70" t="s">
        <v>723</v>
      </c>
      <c r="J47" s="70" t="s">
        <v>813</v>
      </c>
      <c r="K47" s="71" t="s">
        <v>720</v>
      </c>
      <c r="L47" s="71">
        <v>-32</v>
      </c>
      <c r="M47" s="71">
        <v>150</v>
      </c>
      <c r="N47" s="71"/>
      <c r="O47" s="71"/>
      <c r="P47" s="80"/>
      <c r="U47" s="3" t="s">
        <v>71</v>
      </c>
      <c r="V47" s="6" t="s">
        <v>706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729</v>
      </c>
      <c r="D48" t="s">
        <v>206</v>
      </c>
      <c r="E48" s="79" t="s">
        <v>204</v>
      </c>
      <c r="F48" s="70">
        <v>6</v>
      </c>
      <c r="G48" s="70" t="s">
        <v>208</v>
      </c>
      <c r="H48" s="70" t="s">
        <v>814</v>
      </c>
      <c r="I48" s="70" t="s">
        <v>721</v>
      </c>
      <c r="J48" s="70" t="s">
        <v>813</v>
      </c>
      <c r="K48" s="71" t="s">
        <v>120</v>
      </c>
      <c r="L48" s="71"/>
      <c r="M48" s="71"/>
      <c r="N48" s="71"/>
      <c r="O48" s="71"/>
      <c r="P48" s="80"/>
      <c r="U48" s="3" t="s">
        <v>72</v>
      </c>
      <c r="V48" s="6" t="s">
        <v>707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723</v>
      </c>
      <c r="D49" t="s">
        <v>206</v>
      </c>
      <c r="E49" s="79" t="s">
        <v>204</v>
      </c>
      <c r="F49" s="70">
        <v>7</v>
      </c>
      <c r="G49" s="70" t="s">
        <v>208</v>
      </c>
      <c r="H49" s="70" t="s">
        <v>814</v>
      </c>
      <c r="I49" s="70" t="s">
        <v>722</v>
      </c>
      <c r="J49" s="70" t="s">
        <v>813</v>
      </c>
      <c r="K49" s="71" t="s">
        <v>121</v>
      </c>
      <c r="L49" s="71"/>
      <c r="M49" s="71"/>
      <c r="N49" s="71"/>
      <c r="O49" s="71"/>
      <c r="P49" s="80"/>
      <c r="U49" s="3" t="s">
        <v>73</v>
      </c>
      <c r="V49" s="6" t="s">
        <v>708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721</v>
      </c>
      <c r="D50" t="s">
        <v>206</v>
      </c>
      <c r="E50" s="79" t="s">
        <v>204</v>
      </c>
      <c r="F50" s="70">
        <v>8</v>
      </c>
      <c r="G50" s="70" t="s">
        <v>208</v>
      </c>
      <c r="H50" s="70" t="s">
        <v>814</v>
      </c>
      <c r="I50" s="70" t="s">
        <v>304</v>
      </c>
      <c r="J50" s="70" t="s">
        <v>813</v>
      </c>
      <c r="K50" s="71" t="s">
        <v>459</v>
      </c>
      <c r="L50" s="71">
        <v>0</v>
      </c>
      <c r="M50" s="71">
        <v>28800</v>
      </c>
      <c r="N50" s="71"/>
      <c r="O50" s="71"/>
      <c r="P50" s="80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722</v>
      </c>
      <c r="D51" t="s">
        <v>206</v>
      </c>
      <c r="E51" s="79" t="s">
        <v>204</v>
      </c>
      <c r="F51" s="70">
        <v>9</v>
      </c>
      <c r="G51" s="70" t="s">
        <v>208</v>
      </c>
      <c r="H51" s="70" t="s">
        <v>814</v>
      </c>
      <c r="I51" s="70" t="s">
        <v>303</v>
      </c>
      <c r="J51" s="70" t="s">
        <v>813</v>
      </c>
      <c r="K51" s="71" t="s">
        <v>18</v>
      </c>
      <c r="L51" s="71"/>
      <c r="M51" s="71"/>
      <c r="N51" s="71"/>
      <c r="O51" s="71"/>
      <c r="P51" s="80"/>
      <c r="U51" s="3" t="s">
        <v>75</v>
      </c>
      <c r="V51" s="6" t="s">
        <v>29</v>
      </c>
      <c r="X51" t="s">
        <v>87</v>
      </c>
      <c r="Y51" t="s">
        <v>304</v>
      </c>
      <c r="Z51" t="s">
        <v>206</v>
      </c>
    </row>
    <row r="52" spans="2:26" x14ac:dyDescent="0.2">
      <c r="B52" t="s">
        <v>208</v>
      </c>
      <c r="C52" t="s">
        <v>304</v>
      </c>
      <c r="D52" t="s">
        <v>206</v>
      </c>
      <c r="E52" s="79" t="s">
        <v>204</v>
      </c>
      <c r="F52" s="70"/>
      <c r="G52" s="70"/>
      <c r="H52" s="70"/>
      <c r="I52" s="72"/>
      <c r="J52" s="72"/>
      <c r="K52" s="71"/>
      <c r="L52" s="71"/>
      <c r="M52" s="71"/>
      <c r="N52" s="71"/>
      <c r="O52" s="71"/>
      <c r="P52" s="80"/>
      <c r="U52" s="3" t="s">
        <v>76</v>
      </c>
      <c r="V52" s="6" t="s">
        <v>385</v>
      </c>
      <c r="X52" t="s">
        <v>87</v>
      </c>
      <c r="Y52" t="s">
        <v>389</v>
      </c>
      <c r="Z52" t="s">
        <v>206</v>
      </c>
    </row>
    <row r="53" spans="2:26" x14ac:dyDescent="0.2">
      <c r="B53" t="s">
        <v>208</v>
      </c>
      <c r="C53" t="s">
        <v>303</v>
      </c>
      <c r="D53" t="s">
        <v>206</v>
      </c>
      <c r="E53" s="79" t="s">
        <v>204</v>
      </c>
      <c r="F53" s="70"/>
      <c r="G53" s="70"/>
      <c r="H53" s="70"/>
      <c r="I53" s="72"/>
      <c r="J53" s="72"/>
      <c r="K53" s="71"/>
      <c r="L53" s="71"/>
      <c r="M53" s="71"/>
      <c r="N53" s="71"/>
      <c r="O53" s="71"/>
      <c r="P53" s="80"/>
      <c r="U53" s="3" t="s">
        <v>77</v>
      </c>
      <c r="V53" s="6" t="s">
        <v>31</v>
      </c>
      <c r="X53" t="s">
        <v>87</v>
      </c>
      <c r="Y53" t="s">
        <v>305</v>
      </c>
      <c r="Z53" t="s">
        <v>206</v>
      </c>
    </row>
    <row r="54" spans="2:26" x14ac:dyDescent="0.2">
      <c r="C54" t="s">
        <v>339</v>
      </c>
      <c r="E54" s="79" t="s">
        <v>1</v>
      </c>
      <c r="F54" s="70"/>
      <c r="G54" s="70"/>
      <c r="H54" s="70"/>
      <c r="I54" s="72"/>
      <c r="J54" s="72"/>
      <c r="K54" s="71"/>
      <c r="L54" s="71"/>
      <c r="M54" s="71"/>
      <c r="N54" s="71"/>
      <c r="O54" s="71"/>
      <c r="P54" s="80"/>
      <c r="U54" s="3" t="s">
        <v>78</v>
      </c>
      <c r="V54" s="6" t="s">
        <v>32</v>
      </c>
      <c r="X54" t="s">
        <v>87</v>
      </c>
      <c r="Y54" t="s">
        <v>306</v>
      </c>
      <c r="Z54" t="s">
        <v>206</v>
      </c>
    </row>
    <row r="55" spans="2:26" ht="119" x14ac:dyDescent="0.2">
      <c r="E55" s="77"/>
      <c r="F55" s="8"/>
      <c r="G55" s="8"/>
      <c r="H55" s="8"/>
      <c r="I55" s="89" t="s">
        <v>837</v>
      </c>
      <c r="J55" s="44"/>
      <c r="K55" s="89" t="s">
        <v>836</v>
      </c>
      <c r="L55" s="64"/>
      <c r="M55" s="64"/>
      <c r="N55" s="64"/>
      <c r="O55" s="64"/>
      <c r="P55" s="6"/>
      <c r="U55" s="3" t="s">
        <v>79</v>
      </c>
      <c r="V55" s="6" t="s">
        <v>33</v>
      </c>
      <c r="X55" t="s">
        <v>87</v>
      </c>
      <c r="Y55" t="s">
        <v>307</v>
      </c>
      <c r="Z55" t="s">
        <v>206</v>
      </c>
    </row>
    <row r="56" spans="2:26" x14ac:dyDescent="0.2">
      <c r="E56" s="77"/>
      <c r="F56" s="8"/>
      <c r="G56" s="8"/>
      <c r="H56" s="8"/>
      <c r="I56" s="45"/>
      <c r="J56" s="45"/>
      <c r="K56" s="47"/>
      <c r="L56" s="64"/>
      <c r="M56" s="64"/>
      <c r="N56" s="64"/>
      <c r="O56" s="64"/>
      <c r="P56" s="6"/>
      <c r="U56" s="3" t="s">
        <v>80</v>
      </c>
      <c r="V56" s="6" t="s">
        <v>34</v>
      </c>
      <c r="X56" t="s">
        <v>87</v>
      </c>
      <c r="Y56" t="s">
        <v>308</v>
      </c>
      <c r="Z56" t="s">
        <v>206</v>
      </c>
    </row>
    <row r="57" spans="2:26" ht="17" thickBot="1" x14ac:dyDescent="0.25">
      <c r="E57" s="81"/>
      <c r="F57" s="82"/>
      <c r="G57" s="82"/>
      <c r="H57" s="82"/>
      <c r="I57" s="83"/>
      <c r="J57" s="83"/>
      <c r="K57" s="84"/>
      <c r="L57" s="85"/>
      <c r="M57" s="85"/>
      <c r="N57" s="85"/>
      <c r="O57" s="85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339</v>
      </c>
    </row>
    <row r="64" spans="2:26" ht="35" customHeight="1" x14ac:dyDescent="0.2">
      <c r="I64"/>
      <c r="J64"/>
      <c r="U64" s="8" t="s">
        <v>87</v>
      </c>
      <c r="V64" s="3" t="s">
        <v>425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442</v>
      </c>
      <c r="I67" s="49" t="s">
        <v>317</v>
      </c>
      <c r="J67" s="65"/>
    </row>
    <row r="68" spans="2:26" x14ac:dyDescent="0.2">
      <c r="B68" t="s">
        <v>319</v>
      </c>
      <c r="I68" s="43" t="s">
        <v>362</v>
      </c>
      <c r="J68" s="66"/>
      <c r="K68" s="38" t="s">
        <v>450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453</v>
      </c>
      <c r="D69" t="s">
        <v>206</v>
      </c>
      <c r="I69" s="50" t="s">
        <v>189</v>
      </c>
      <c r="J69" s="67"/>
      <c r="K69" s="39" t="s">
        <v>373</v>
      </c>
      <c r="L69" s="64"/>
      <c r="M69" s="64"/>
      <c r="N69" s="64"/>
      <c r="O69" s="64"/>
      <c r="P69" s="64"/>
      <c r="U69" s="20" t="s">
        <v>313</v>
      </c>
      <c r="Y69" t="s">
        <v>437</v>
      </c>
    </row>
    <row r="70" spans="2:26" x14ac:dyDescent="0.2">
      <c r="B70" t="s">
        <v>208</v>
      </c>
      <c r="C70" t="s">
        <v>454</v>
      </c>
      <c r="D70" t="s">
        <v>206</v>
      </c>
      <c r="I70" s="50" t="s">
        <v>47</v>
      </c>
      <c r="J70" s="67"/>
      <c r="K70" s="39" t="s">
        <v>374</v>
      </c>
      <c r="L70" s="64"/>
      <c r="M70" s="64"/>
      <c r="N70" s="64"/>
      <c r="O70" s="64"/>
      <c r="P70" s="64"/>
      <c r="U70" s="25" t="s">
        <v>399</v>
      </c>
      <c r="V70" s="25" t="s">
        <v>407</v>
      </c>
      <c r="X70" t="s">
        <v>429</v>
      </c>
    </row>
    <row r="71" spans="2:26" x14ac:dyDescent="0.2">
      <c r="B71" t="s">
        <v>208</v>
      </c>
      <c r="C71" t="s">
        <v>455</v>
      </c>
      <c r="D71" t="s">
        <v>206</v>
      </c>
      <c r="I71" s="50" t="s">
        <v>48</v>
      </c>
      <c r="J71" s="67"/>
      <c r="K71" s="39" t="s">
        <v>375</v>
      </c>
      <c r="L71" s="64"/>
      <c r="M71" s="64"/>
      <c r="N71" s="64"/>
      <c r="O71" s="64"/>
      <c r="P71" s="64"/>
      <c r="U71" s="3" t="s">
        <v>86</v>
      </c>
      <c r="V71" s="6" t="s">
        <v>390</v>
      </c>
      <c r="X71" t="s">
        <v>87</v>
      </c>
      <c r="Y71" t="s">
        <v>412</v>
      </c>
      <c r="Z71" t="s">
        <v>206</v>
      </c>
    </row>
    <row r="72" spans="2:26" x14ac:dyDescent="0.2">
      <c r="B72" t="s">
        <v>208</v>
      </c>
      <c r="C72" t="s">
        <v>456</v>
      </c>
      <c r="D72" t="s">
        <v>206</v>
      </c>
      <c r="I72" s="50" t="s">
        <v>49</v>
      </c>
      <c r="J72" s="67"/>
      <c r="K72" s="39" t="s">
        <v>376</v>
      </c>
      <c r="L72" s="64"/>
      <c r="M72" s="64"/>
      <c r="N72" s="64"/>
      <c r="O72" s="64"/>
      <c r="P72" s="64"/>
      <c r="U72" s="3" t="s">
        <v>88</v>
      </c>
      <c r="V72" s="6" t="s">
        <v>391</v>
      </c>
      <c r="X72" t="s">
        <v>87</v>
      </c>
      <c r="Y72" t="s">
        <v>413</v>
      </c>
      <c r="Z72" t="s">
        <v>206</v>
      </c>
    </row>
    <row r="73" spans="2:26" x14ac:dyDescent="0.2">
      <c r="B73" t="s">
        <v>208</v>
      </c>
      <c r="C73" t="s">
        <v>309</v>
      </c>
      <c r="D73" t="s">
        <v>206</v>
      </c>
      <c r="I73" s="50" t="s">
        <v>50</v>
      </c>
      <c r="J73" s="67"/>
      <c r="K73" s="39" t="s">
        <v>44</v>
      </c>
      <c r="L73" s="64"/>
      <c r="M73" s="64"/>
      <c r="N73" s="64"/>
      <c r="O73" s="64"/>
      <c r="P73" s="64"/>
      <c r="U73" s="3" t="s">
        <v>67</v>
      </c>
      <c r="V73" s="6" t="s">
        <v>392</v>
      </c>
      <c r="X73" t="s">
        <v>87</v>
      </c>
      <c r="Y73" t="s">
        <v>414</v>
      </c>
      <c r="Z73" t="s">
        <v>206</v>
      </c>
    </row>
    <row r="74" spans="2:26" x14ac:dyDescent="0.2">
      <c r="B74" t="s">
        <v>208</v>
      </c>
      <c r="C74" t="s">
        <v>452</v>
      </c>
      <c r="D74" t="s">
        <v>206</v>
      </c>
      <c r="I74" s="50" t="s">
        <v>51</v>
      </c>
      <c r="J74" s="67"/>
      <c r="K74" s="39" t="s">
        <v>378</v>
      </c>
      <c r="L74" s="64"/>
      <c r="M74" s="64"/>
      <c r="N74" s="64"/>
      <c r="O74" s="64"/>
      <c r="P74" s="64"/>
      <c r="U74" s="3" t="s">
        <v>68</v>
      </c>
      <c r="V74" s="6" t="s">
        <v>393</v>
      </c>
      <c r="X74" t="s">
        <v>87</v>
      </c>
      <c r="Y74" t="s">
        <v>415</v>
      </c>
      <c r="Z74" t="s">
        <v>206</v>
      </c>
    </row>
    <row r="75" spans="2:26" x14ac:dyDescent="0.2">
      <c r="B75" t="s">
        <v>208</v>
      </c>
      <c r="C75" t="s">
        <v>417</v>
      </c>
      <c r="D75" t="s">
        <v>206</v>
      </c>
      <c r="I75" s="50" t="s">
        <v>52</v>
      </c>
      <c r="J75" s="67"/>
      <c r="K75" s="39" t="s">
        <v>379</v>
      </c>
      <c r="L75" s="64"/>
      <c r="M75" s="64"/>
      <c r="N75" s="64"/>
      <c r="O75" s="64"/>
      <c r="P75" s="64"/>
      <c r="U75" s="3" t="s">
        <v>69</v>
      </c>
      <c r="V75" s="6" t="s">
        <v>394</v>
      </c>
      <c r="X75" t="s">
        <v>87</v>
      </c>
      <c r="Y75" t="s">
        <v>309</v>
      </c>
      <c r="Z75" t="s">
        <v>206</v>
      </c>
    </row>
    <row r="76" spans="2:26" x14ac:dyDescent="0.2">
      <c r="B76" t="s">
        <v>208</v>
      </c>
      <c r="C76" t="s">
        <v>310</v>
      </c>
      <c r="D76" t="s">
        <v>206</v>
      </c>
      <c r="I76" s="50" t="s">
        <v>53</v>
      </c>
      <c r="J76" s="67"/>
      <c r="K76" s="39" t="s">
        <v>13</v>
      </c>
      <c r="L76" s="64"/>
      <c r="M76" s="64"/>
      <c r="N76" s="64"/>
      <c r="O76" s="64"/>
      <c r="P76" s="64"/>
      <c r="U76" s="3" t="s">
        <v>70</v>
      </c>
      <c r="V76" s="6" t="s">
        <v>395</v>
      </c>
      <c r="X76" t="s">
        <v>87</v>
      </c>
      <c r="Y76" t="s">
        <v>416</v>
      </c>
      <c r="Z76" t="s">
        <v>206</v>
      </c>
    </row>
    <row r="77" spans="2:26" x14ac:dyDescent="0.2">
      <c r="B77" t="s">
        <v>208</v>
      </c>
      <c r="C77" t="s">
        <v>311</v>
      </c>
      <c r="D77" t="s">
        <v>206</v>
      </c>
      <c r="I77" s="50" t="s">
        <v>54</v>
      </c>
      <c r="J77" s="67"/>
      <c r="K77" s="39" t="s">
        <v>13</v>
      </c>
      <c r="L77" s="64"/>
      <c r="M77" s="64"/>
      <c r="N77" s="64"/>
      <c r="O77" s="64"/>
      <c r="P77" s="64"/>
      <c r="U77" s="3" t="s">
        <v>71</v>
      </c>
      <c r="V77" s="6" t="s">
        <v>396</v>
      </c>
      <c r="X77" t="s">
        <v>87</v>
      </c>
      <c r="Y77" t="s">
        <v>417</v>
      </c>
      <c r="Z77" t="s">
        <v>206</v>
      </c>
    </row>
    <row r="78" spans="2:26" x14ac:dyDescent="0.2">
      <c r="B78" t="s">
        <v>208</v>
      </c>
      <c r="C78" t="s">
        <v>331</v>
      </c>
      <c r="D78" t="s">
        <v>206</v>
      </c>
      <c r="I78" s="50" t="s">
        <v>55</v>
      </c>
      <c r="J78" s="67"/>
      <c r="K78" s="39" t="s">
        <v>13</v>
      </c>
      <c r="L78" s="64"/>
      <c r="M78" s="64"/>
      <c r="N78" s="64"/>
      <c r="O78" s="64"/>
      <c r="P78" s="64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328</v>
      </c>
      <c r="D79" t="s">
        <v>206</v>
      </c>
      <c r="I79" s="50" t="s">
        <v>56</v>
      </c>
      <c r="J79" s="67"/>
      <c r="K79" s="39" t="s">
        <v>7</v>
      </c>
      <c r="L79" s="64"/>
      <c r="M79" s="64"/>
      <c r="N79" s="64"/>
      <c r="O79" s="64"/>
      <c r="P79" s="64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7"/>
      <c r="K80" s="39" t="s">
        <v>13</v>
      </c>
      <c r="L80" s="64"/>
      <c r="M80" s="64"/>
      <c r="N80" s="64"/>
      <c r="O80" s="64"/>
      <c r="P80" s="64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304</v>
      </c>
      <c r="D81" t="s">
        <v>206</v>
      </c>
      <c r="I81" s="50" t="s">
        <v>58</v>
      </c>
      <c r="J81" s="67"/>
      <c r="K81" s="39" t="s">
        <v>459</v>
      </c>
      <c r="L81" s="64"/>
      <c r="M81" s="64"/>
      <c r="N81" s="64"/>
      <c r="O81" s="64"/>
      <c r="P81" s="64"/>
      <c r="U81" s="3" t="s">
        <v>75</v>
      </c>
      <c r="V81" s="6" t="s">
        <v>397</v>
      </c>
      <c r="X81" t="s">
        <v>87</v>
      </c>
      <c r="Y81" t="s">
        <v>371</v>
      </c>
      <c r="Z81" t="s">
        <v>206</v>
      </c>
    </row>
    <row r="82" spans="2:26" x14ac:dyDescent="0.2">
      <c r="B82" t="s">
        <v>208</v>
      </c>
      <c r="C82" t="s">
        <v>332</v>
      </c>
      <c r="D82" t="s">
        <v>206</v>
      </c>
      <c r="I82" s="50" t="s">
        <v>59</v>
      </c>
      <c r="J82" s="67"/>
      <c r="K82" s="39" t="s">
        <v>13</v>
      </c>
      <c r="L82" s="64"/>
      <c r="M82" s="64"/>
      <c r="N82" s="64"/>
      <c r="O82" s="64"/>
      <c r="P82" s="64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333</v>
      </c>
      <c r="D83" t="s">
        <v>206</v>
      </c>
      <c r="I83" s="50" t="s">
        <v>60</v>
      </c>
      <c r="J83" s="67"/>
      <c r="K83" s="39" t="s">
        <v>13</v>
      </c>
      <c r="L83" s="64"/>
      <c r="M83" s="64"/>
      <c r="N83" s="64"/>
      <c r="O83" s="64"/>
      <c r="P83" s="64"/>
      <c r="U83" s="3" t="s">
        <v>77</v>
      </c>
      <c r="V83" s="6" t="s">
        <v>29</v>
      </c>
      <c r="X83" t="s">
        <v>87</v>
      </c>
      <c r="Y83" t="s">
        <v>304</v>
      </c>
      <c r="Z83" t="s">
        <v>206</v>
      </c>
    </row>
    <row r="84" spans="2:26" x14ac:dyDescent="0.2">
      <c r="B84" t="s">
        <v>208</v>
      </c>
      <c r="C84" t="s">
        <v>346</v>
      </c>
      <c r="D84" t="s">
        <v>206</v>
      </c>
      <c r="I84" s="50" t="s">
        <v>61</v>
      </c>
      <c r="J84" s="67"/>
      <c r="K84" s="39" t="s">
        <v>13</v>
      </c>
      <c r="L84" s="64"/>
      <c r="M84" s="64"/>
      <c r="N84" s="64"/>
      <c r="O84" s="64"/>
      <c r="P84" s="64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347</v>
      </c>
      <c r="D85" t="s">
        <v>206</v>
      </c>
      <c r="I85" s="50" t="s">
        <v>62</v>
      </c>
      <c r="J85" s="67"/>
      <c r="K85" s="39" t="s">
        <v>13</v>
      </c>
      <c r="L85" s="64"/>
      <c r="M85" s="64"/>
      <c r="N85" s="64"/>
      <c r="O85" s="64"/>
      <c r="P85" s="64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348</v>
      </c>
      <c r="D86" t="s">
        <v>206</v>
      </c>
      <c r="I86" s="50" t="s">
        <v>63</v>
      </c>
      <c r="J86" s="67"/>
      <c r="K86" s="39" t="s">
        <v>13</v>
      </c>
      <c r="L86" s="64"/>
      <c r="M86" s="64"/>
      <c r="N86" s="64"/>
      <c r="O86" s="64"/>
      <c r="P86" s="64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349</v>
      </c>
      <c r="D87" t="s">
        <v>206</v>
      </c>
      <c r="I87" s="50" t="s">
        <v>64</v>
      </c>
      <c r="J87" s="67"/>
      <c r="K87" s="39" t="s">
        <v>13</v>
      </c>
      <c r="L87" s="64"/>
      <c r="M87" s="64"/>
      <c r="N87" s="64"/>
      <c r="O87" s="64"/>
      <c r="P87" s="64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350</v>
      </c>
      <c r="D88" t="s">
        <v>206</v>
      </c>
      <c r="I88" s="50" t="s">
        <v>65</v>
      </c>
      <c r="J88" s="67"/>
      <c r="K88" s="39" t="s">
        <v>13</v>
      </c>
      <c r="L88" s="64"/>
      <c r="M88" s="64"/>
      <c r="N88" s="64"/>
      <c r="O88" s="64"/>
      <c r="P88" s="64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338</v>
      </c>
      <c r="D89" t="s">
        <v>206</v>
      </c>
      <c r="I89" s="50" t="s">
        <v>66</v>
      </c>
      <c r="J89" s="67"/>
      <c r="K89" s="39" t="s">
        <v>18</v>
      </c>
      <c r="L89" s="64"/>
      <c r="M89" s="64"/>
      <c r="N89" s="64"/>
      <c r="O89" s="64"/>
      <c r="P89" s="64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339</v>
      </c>
      <c r="D90" t="s">
        <v>206</v>
      </c>
      <c r="I90" s="50" t="s">
        <v>1</v>
      </c>
      <c r="J90" s="67"/>
      <c r="K90" s="39"/>
      <c r="L90" s="64"/>
      <c r="M90" s="64"/>
      <c r="N90" s="64"/>
      <c r="O90" s="64"/>
      <c r="P90" s="64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7"/>
      <c r="K91" s="39"/>
      <c r="L91" s="64"/>
      <c r="M91" s="64"/>
      <c r="N91" s="64"/>
      <c r="O91" s="64"/>
      <c r="P91" s="64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8"/>
      <c r="K92" s="39" t="s">
        <v>202</v>
      </c>
      <c r="L92" s="64"/>
      <c r="M92" s="64"/>
      <c r="N92" s="64"/>
      <c r="O92" s="64"/>
      <c r="P92" s="64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9"/>
      <c r="K93" s="40"/>
      <c r="L93" s="64"/>
      <c r="M93" s="64"/>
      <c r="N93" s="64"/>
      <c r="O93" s="64"/>
      <c r="P93" s="64"/>
      <c r="U93" s="3" t="s">
        <v>0</v>
      </c>
      <c r="V93" s="6"/>
    </row>
    <row r="94" spans="2:26" ht="29" customHeight="1" x14ac:dyDescent="0.2">
      <c r="U94" s="8" t="s">
        <v>87</v>
      </c>
      <c r="V94" s="3" t="s">
        <v>426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314</v>
      </c>
      <c r="Y101" s="26" t="s">
        <v>438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457</v>
      </c>
      <c r="V102" s="25" t="s">
        <v>408</v>
      </c>
      <c r="X102" t="s">
        <v>430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444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445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446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447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685</v>
      </c>
      <c r="X107" t="s">
        <v>87</v>
      </c>
      <c r="Y107" t="s">
        <v>687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686</v>
      </c>
      <c r="X108" t="s">
        <v>87</v>
      </c>
      <c r="Y108" t="s">
        <v>688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448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427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315</v>
      </c>
      <c r="Y134" t="s">
        <v>439</v>
      </c>
    </row>
    <row r="135" spans="9:26" x14ac:dyDescent="0.2">
      <c r="I135"/>
      <c r="J135"/>
      <c r="U135" s="25" t="s">
        <v>402</v>
      </c>
      <c r="V135" s="25" t="s">
        <v>409</v>
      </c>
      <c r="X135" t="s">
        <v>431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280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281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282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283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284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285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286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287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288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289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290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291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292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293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294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295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296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297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298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299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434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372</v>
      </c>
      <c r="Y166" t="s">
        <v>440</v>
      </c>
    </row>
    <row r="167" spans="21:26" x14ac:dyDescent="0.2">
      <c r="U167" s="25" t="s">
        <v>401</v>
      </c>
      <c r="V167" s="25" t="s">
        <v>410</v>
      </c>
      <c r="X167" t="s">
        <v>432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435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/>
  <dimension ref="A1:AD350"/>
  <sheetViews>
    <sheetView topLeftCell="A215" zoomScaleNormal="100" workbookViewId="0">
      <selection activeCell="C228" sqref="C228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3" t="s">
        <v>847</v>
      </c>
      <c r="B1" s="92" t="s">
        <v>977</v>
      </c>
      <c r="C1" s="74"/>
      <c r="D1" s="74"/>
      <c r="E1" s="74"/>
      <c r="F1" s="74"/>
      <c r="G1" s="74"/>
      <c r="H1" s="74"/>
      <c r="I1" s="149" t="s">
        <v>983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7" t="s">
        <v>848</v>
      </c>
      <c r="B2" s="93" t="s">
        <v>978</v>
      </c>
      <c r="C2" s="8"/>
      <c r="D2" s="8"/>
      <c r="E2" s="8"/>
      <c r="F2" s="8"/>
      <c r="G2" s="8"/>
      <c r="H2" s="8"/>
      <c r="I2" s="150" t="s">
        <v>1032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7" t="s">
        <v>788</v>
      </c>
      <c r="B3" s="93" t="s">
        <v>979</v>
      </c>
      <c r="C3" s="8"/>
      <c r="D3" s="8"/>
      <c r="E3" s="8"/>
      <c r="F3" s="8"/>
      <c r="G3" s="8"/>
      <c r="H3" s="8"/>
      <c r="I3" s="150" t="s">
        <v>1033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7" t="s">
        <v>849</v>
      </c>
      <c r="B4" s="93" t="s">
        <v>980</v>
      </c>
      <c r="C4" s="8"/>
      <c r="D4" s="8"/>
      <c r="E4" s="8"/>
      <c r="F4" s="8"/>
      <c r="G4" s="8"/>
      <c r="H4" s="8"/>
      <c r="I4" s="150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7" t="s">
        <v>1038</v>
      </c>
      <c r="B5" s="93" t="s">
        <v>1039</v>
      </c>
      <c r="C5" s="8"/>
      <c r="D5" s="8"/>
      <c r="E5" s="8"/>
      <c r="F5" s="8"/>
      <c r="G5" s="8"/>
      <c r="H5" s="8"/>
      <c r="I5" s="150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7" t="s">
        <v>1008</v>
      </c>
      <c r="B6" s="93" t="s">
        <v>1009</v>
      </c>
      <c r="C6" s="8"/>
      <c r="D6" s="8"/>
      <c r="E6" s="8"/>
      <c r="F6" s="8"/>
      <c r="G6" s="8"/>
      <c r="H6" s="8"/>
      <c r="I6" s="150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7" t="s">
        <v>851</v>
      </c>
      <c r="B7" s="93" t="s">
        <v>982</v>
      </c>
      <c r="C7" s="8"/>
      <c r="D7" s="8"/>
      <c r="E7" s="8"/>
      <c r="F7" s="8"/>
      <c r="G7" s="8"/>
      <c r="H7" s="8"/>
      <c r="I7" s="150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7" t="s">
        <v>852</v>
      </c>
      <c r="B8" s="93"/>
      <c r="C8" s="8" t="s">
        <v>1035</v>
      </c>
      <c r="D8" s="8"/>
      <c r="E8" s="8"/>
      <c r="F8" s="8"/>
      <c r="G8" s="8"/>
      <c r="H8" s="8"/>
      <c r="I8" s="150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7" t="s">
        <v>824</v>
      </c>
      <c r="B9" s="94">
        <v>10</v>
      </c>
      <c r="C9" s="82"/>
      <c r="D9" s="82"/>
      <c r="E9" s="82"/>
      <c r="F9" s="82"/>
      <c r="G9" s="82"/>
      <c r="H9" s="82"/>
      <c r="I9" s="151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1" t="s">
        <v>815</v>
      </c>
      <c r="B10" s="90" t="s">
        <v>816</v>
      </c>
      <c r="C10" s="90" t="s">
        <v>818</v>
      </c>
      <c r="D10" s="90"/>
      <c r="E10" s="90" t="s">
        <v>819</v>
      </c>
      <c r="F10" s="90" t="s">
        <v>838</v>
      </c>
      <c r="G10" s="90" t="s">
        <v>839</v>
      </c>
      <c r="H10" s="90" t="s">
        <v>842</v>
      </c>
      <c r="I10" s="152" t="s">
        <v>843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9">
        <v>0</v>
      </c>
      <c r="B11" s="70" t="s">
        <v>208</v>
      </c>
      <c r="C11" s="70" t="s">
        <v>340</v>
      </c>
      <c r="D11" s="70"/>
      <c r="E11" s="71" t="s">
        <v>109</v>
      </c>
      <c r="F11" s="71">
        <v>0</v>
      </c>
      <c r="G11" s="71">
        <v>5000</v>
      </c>
      <c r="H11" s="71">
        <v>20</v>
      </c>
      <c r="I11" s="80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9">
        <v>1</v>
      </c>
      <c r="B12" s="70" t="s">
        <v>208</v>
      </c>
      <c r="C12" s="70" t="s">
        <v>984</v>
      </c>
      <c r="D12" s="70"/>
      <c r="E12" s="71" t="s">
        <v>108</v>
      </c>
      <c r="F12" s="71">
        <v>0</v>
      </c>
      <c r="G12" s="71">
        <v>10000</v>
      </c>
      <c r="H12" s="71">
        <v>2000</v>
      </c>
      <c r="I12" s="80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9">
        <v>2</v>
      </c>
      <c r="B13" s="70" t="s">
        <v>208</v>
      </c>
      <c r="C13" s="70" t="s">
        <v>342</v>
      </c>
      <c r="D13" s="70"/>
      <c r="E13" s="71" t="s">
        <v>110</v>
      </c>
      <c r="F13" s="71">
        <v>0</v>
      </c>
      <c r="G13" s="71">
        <v>1</v>
      </c>
      <c r="H13" s="71">
        <v>1</v>
      </c>
      <c r="I13" s="80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9">
        <v>3</v>
      </c>
      <c r="B14" s="70" t="s">
        <v>208</v>
      </c>
      <c r="C14" s="70" t="s">
        <v>728</v>
      </c>
      <c r="D14" s="70"/>
      <c r="E14" s="71" t="s">
        <v>841</v>
      </c>
      <c r="F14" s="71">
        <v>0</v>
      </c>
      <c r="G14" s="71">
        <v>1023</v>
      </c>
      <c r="H14" s="71">
        <v>512</v>
      </c>
      <c r="I14" s="80" t="s">
        <v>864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9">
        <v>4</v>
      </c>
      <c r="B15" s="70" t="s">
        <v>208</v>
      </c>
      <c r="C15" s="70" t="s">
        <v>729</v>
      </c>
      <c r="D15" s="70"/>
      <c r="E15" s="71" t="s">
        <v>840</v>
      </c>
      <c r="F15" s="71">
        <v>0</v>
      </c>
      <c r="G15" s="71">
        <v>3</v>
      </c>
      <c r="H15" s="71">
        <v>3</v>
      </c>
      <c r="I15" s="80" t="s">
        <v>865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9">
        <v>5</v>
      </c>
      <c r="B16" s="70" t="s">
        <v>208</v>
      </c>
      <c r="C16" s="70" t="s">
        <v>723</v>
      </c>
      <c r="D16" s="70"/>
      <c r="E16" s="71" t="s">
        <v>720</v>
      </c>
      <c r="F16" s="71">
        <v>-32</v>
      </c>
      <c r="G16" s="71">
        <v>150</v>
      </c>
      <c r="H16" s="71">
        <v>80</v>
      </c>
      <c r="I16" s="80" t="s">
        <v>866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9">
        <v>6</v>
      </c>
      <c r="B17" s="70" t="s">
        <v>208</v>
      </c>
      <c r="C17" s="70" t="s">
        <v>721</v>
      </c>
      <c r="D17" s="70"/>
      <c r="E17" s="71" t="s">
        <v>120</v>
      </c>
      <c r="F17" s="71"/>
      <c r="G17" s="71"/>
      <c r="H17" s="71"/>
      <c r="I17" s="80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9">
        <v>7</v>
      </c>
      <c r="B18" s="70" t="s">
        <v>208</v>
      </c>
      <c r="C18" s="70" t="s">
        <v>722</v>
      </c>
      <c r="D18" s="70"/>
      <c r="E18" s="71" t="s">
        <v>121</v>
      </c>
      <c r="F18" s="71"/>
      <c r="G18" s="71"/>
      <c r="H18" s="71"/>
      <c r="I18" s="80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9">
        <v>8</v>
      </c>
      <c r="B19" s="70" t="s">
        <v>208</v>
      </c>
      <c r="C19" s="70" t="s">
        <v>304</v>
      </c>
      <c r="D19" s="70"/>
      <c r="E19" s="71" t="s">
        <v>459</v>
      </c>
      <c r="F19" s="71">
        <v>0</v>
      </c>
      <c r="G19" s="71">
        <v>28800</v>
      </c>
      <c r="H19" s="71"/>
      <c r="I19" s="80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9">
        <v>9</v>
      </c>
      <c r="B20" s="160" t="s">
        <v>208</v>
      </c>
      <c r="C20" s="160" t="s">
        <v>303</v>
      </c>
      <c r="D20" s="160"/>
      <c r="E20" s="161" t="s">
        <v>18</v>
      </c>
      <c r="F20" s="161"/>
      <c r="G20" s="161"/>
      <c r="H20" s="161"/>
      <c r="I20" s="162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8">
        <v>10</v>
      </c>
      <c r="B21" s="172" t="s">
        <v>208</v>
      </c>
      <c r="C21" s="165" t="s">
        <v>1011</v>
      </c>
      <c r="D21" s="165"/>
      <c r="E21" s="166" t="s">
        <v>1019</v>
      </c>
      <c r="F21" s="166"/>
      <c r="G21" s="166"/>
      <c r="H21" s="166"/>
      <c r="I21" s="167" t="s">
        <v>1031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9">
        <v>11</v>
      </c>
      <c r="B22" s="70" t="s">
        <v>208</v>
      </c>
      <c r="C22" s="163" t="s">
        <v>1012</v>
      </c>
      <c r="D22" s="163"/>
      <c r="E22" s="164" t="s">
        <v>1020</v>
      </c>
      <c r="F22" s="164"/>
      <c r="G22" s="164"/>
      <c r="H22" s="164"/>
      <c r="I22" s="168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9">
        <v>12</v>
      </c>
      <c r="B23" s="70" t="s">
        <v>208</v>
      </c>
      <c r="C23" s="163" t="s">
        <v>1013</v>
      </c>
      <c r="D23" s="163"/>
      <c r="E23" s="164" t="s">
        <v>1021</v>
      </c>
      <c r="F23" s="164"/>
      <c r="G23" s="164"/>
      <c r="H23" s="164"/>
      <c r="I23" s="168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9">
        <v>13</v>
      </c>
      <c r="B24" s="70" t="s">
        <v>208</v>
      </c>
      <c r="C24" s="163" t="s">
        <v>1014</v>
      </c>
      <c r="D24" s="163"/>
      <c r="E24" s="164" t="s">
        <v>1022</v>
      </c>
      <c r="F24" s="164"/>
      <c r="G24" s="164"/>
      <c r="H24" s="164"/>
      <c r="I24" s="168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9">
        <v>14</v>
      </c>
      <c r="B25" s="70" t="s">
        <v>208</v>
      </c>
      <c r="C25" s="163" t="s">
        <v>1015</v>
      </c>
      <c r="D25" s="163"/>
      <c r="E25" s="164" t="s">
        <v>1023</v>
      </c>
      <c r="F25" s="164"/>
      <c r="G25" s="164"/>
      <c r="H25" s="164"/>
      <c r="I25" s="168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9">
        <v>15</v>
      </c>
      <c r="B26" s="70" t="s">
        <v>208</v>
      </c>
      <c r="C26" s="163" t="s">
        <v>1016</v>
      </c>
      <c r="D26" s="163"/>
      <c r="E26" s="164" t="s">
        <v>1024</v>
      </c>
      <c r="F26" s="164"/>
      <c r="G26" s="164"/>
      <c r="H26" s="164"/>
      <c r="I26" s="168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9">
        <v>16</v>
      </c>
      <c r="B27" s="70" t="s">
        <v>208</v>
      </c>
      <c r="C27" s="163" t="s">
        <v>1017</v>
      </c>
      <c r="D27" s="163"/>
      <c r="E27" s="164" t="s">
        <v>1025</v>
      </c>
      <c r="F27" s="164"/>
      <c r="G27" s="164"/>
      <c r="H27" s="164"/>
      <c r="I27" s="168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9">
        <v>17</v>
      </c>
      <c r="B28" s="70" t="s">
        <v>208</v>
      </c>
      <c r="C28" s="163" t="s">
        <v>1018</v>
      </c>
      <c r="D28" s="163"/>
      <c r="E28" s="164" t="s">
        <v>1026</v>
      </c>
      <c r="F28" s="164"/>
      <c r="G28" s="164"/>
      <c r="H28" s="164"/>
      <c r="I28" s="168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9">
        <v>18</v>
      </c>
      <c r="B29" s="70" t="s">
        <v>208</v>
      </c>
      <c r="C29" s="163" t="s">
        <v>1027</v>
      </c>
      <c r="D29" s="163"/>
      <c r="E29" s="164" t="s">
        <v>1029</v>
      </c>
      <c r="F29" s="164"/>
      <c r="G29" s="164"/>
      <c r="H29" s="164"/>
      <c r="I29" s="168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3">
        <v>19</v>
      </c>
      <c r="B30" s="154" t="s">
        <v>208</v>
      </c>
      <c r="C30" s="169" t="s">
        <v>1028</v>
      </c>
      <c r="D30" s="169"/>
      <c r="E30" s="170" t="s">
        <v>1030</v>
      </c>
      <c r="F30" s="170"/>
      <c r="G30" s="170"/>
      <c r="H30" s="170"/>
      <c r="I30" s="171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7"/>
      <c r="F31" s="147"/>
      <c r="G31" s="147"/>
      <c r="H31" s="147"/>
      <c r="I31" s="147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3" t="s">
        <v>847</v>
      </c>
      <c r="B32" s="92" t="s">
        <v>844</v>
      </c>
      <c r="C32" s="74"/>
      <c r="D32" s="74"/>
      <c r="E32" s="74"/>
      <c r="F32" s="74"/>
      <c r="G32" s="74"/>
      <c r="H32" s="74"/>
      <c r="I32" s="157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7" t="s">
        <v>848</v>
      </c>
      <c r="B33" s="93" t="s">
        <v>975</v>
      </c>
      <c r="C33" s="8"/>
      <c r="D33" s="8"/>
      <c r="E33" s="8"/>
      <c r="F33" s="8"/>
      <c r="G33" s="8"/>
      <c r="H33" s="8"/>
      <c r="I33" s="150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7" t="s">
        <v>788</v>
      </c>
      <c r="B34" s="93" t="s">
        <v>856</v>
      </c>
      <c r="C34" s="8"/>
      <c r="D34" s="8"/>
      <c r="E34" s="8"/>
      <c r="F34" s="8"/>
      <c r="G34" s="8"/>
      <c r="H34" s="8"/>
      <c r="I34" s="150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7" t="s">
        <v>849</v>
      </c>
      <c r="B35" s="93" t="s">
        <v>855</v>
      </c>
      <c r="C35" s="8"/>
      <c r="D35" s="8"/>
      <c r="E35" s="8"/>
      <c r="F35" s="8"/>
      <c r="G35" s="8"/>
      <c r="H35" s="8"/>
      <c r="I35" s="150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7" t="s">
        <v>1038</v>
      </c>
      <c r="B36" s="93" t="s">
        <v>1039</v>
      </c>
      <c r="C36" s="8"/>
      <c r="D36" s="8"/>
      <c r="E36" s="8"/>
      <c r="F36" s="8"/>
      <c r="G36" s="8"/>
      <c r="H36" s="8"/>
      <c r="I36" s="150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7" t="s">
        <v>1008</v>
      </c>
      <c r="B37" s="93" t="s">
        <v>1009</v>
      </c>
      <c r="C37" s="8"/>
      <c r="D37" s="8"/>
      <c r="E37" s="8"/>
      <c r="F37" s="8"/>
      <c r="G37" s="8"/>
      <c r="H37" s="8"/>
      <c r="I37" s="150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7" t="s">
        <v>851</v>
      </c>
      <c r="B38" s="93" t="s">
        <v>821</v>
      </c>
      <c r="C38" s="8"/>
      <c r="D38" s="8"/>
      <c r="E38" s="8"/>
      <c r="F38" s="8"/>
      <c r="G38" s="8"/>
      <c r="H38" s="8"/>
      <c r="I38" s="150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7" t="s">
        <v>852</v>
      </c>
      <c r="B39" s="93"/>
      <c r="C39" s="8" t="s">
        <v>1034</v>
      </c>
      <c r="D39" s="8"/>
      <c r="E39" s="8"/>
      <c r="F39" s="8"/>
      <c r="G39" s="8"/>
      <c r="H39" s="8"/>
      <c r="I39" s="150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7" t="s">
        <v>824</v>
      </c>
      <c r="B40" s="94">
        <v>10</v>
      </c>
      <c r="C40" s="82"/>
      <c r="D40" s="82"/>
      <c r="E40" s="82"/>
      <c r="F40" s="82"/>
      <c r="G40" s="82"/>
      <c r="H40" s="82"/>
      <c r="I40" s="151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1" t="s">
        <v>815</v>
      </c>
      <c r="B41" s="90" t="s">
        <v>816</v>
      </c>
      <c r="C41" s="90" t="s">
        <v>818</v>
      </c>
      <c r="D41" s="90"/>
      <c r="E41" s="90" t="s">
        <v>819</v>
      </c>
      <c r="F41" s="90" t="s">
        <v>838</v>
      </c>
      <c r="G41" s="90" t="s">
        <v>839</v>
      </c>
      <c r="H41" s="90" t="s">
        <v>842</v>
      </c>
      <c r="I41" s="152" t="s">
        <v>843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9">
        <v>0</v>
      </c>
      <c r="B42" s="70" t="s">
        <v>208</v>
      </c>
      <c r="C42" s="70" t="s">
        <v>340</v>
      </c>
      <c r="D42" s="70"/>
      <c r="E42" s="71" t="s">
        <v>109</v>
      </c>
      <c r="F42" s="71">
        <v>0</v>
      </c>
      <c r="G42" s="71">
        <v>5000</v>
      </c>
      <c r="H42" s="71">
        <v>20</v>
      </c>
      <c r="I42" s="80"/>
    </row>
    <row r="43" spans="1:30" x14ac:dyDescent="0.2">
      <c r="A43" s="79">
        <v>1</v>
      </c>
      <c r="B43" s="70" t="s">
        <v>208</v>
      </c>
      <c r="C43" s="70" t="s">
        <v>984</v>
      </c>
      <c r="D43" s="70"/>
      <c r="E43" s="71" t="s">
        <v>108</v>
      </c>
      <c r="F43" s="71">
        <v>0</v>
      </c>
      <c r="G43" s="71">
        <v>10000</v>
      </c>
      <c r="H43" s="71">
        <v>2000</v>
      </c>
      <c r="I43" s="80"/>
    </row>
    <row r="44" spans="1:30" x14ac:dyDescent="0.2">
      <c r="A44" s="79">
        <v>2</v>
      </c>
      <c r="B44" s="70" t="s">
        <v>208</v>
      </c>
      <c r="C44" s="70" t="s">
        <v>342</v>
      </c>
      <c r="D44" s="70"/>
      <c r="E44" s="71" t="s">
        <v>110</v>
      </c>
      <c r="F44" s="71">
        <v>0</v>
      </c>
      <c r="G44" s="71">
        <v>1</v>
      </c>
      <c r="H44" s="71">
        <v>1</v>
      </c>
      <c r="I44" s="80"/>
    </row>
    <row r="45" spans="1:30" x14ac:dyDescent="0.2">
      <c r="A45" s="79">
        <v>3</v>
      </c>
      <c r="B45" s="70" t="s">
        <v>208</v>
      </c>
      <c r="C45" s="70" t="s">
        <v>728</v>
      </c>
      <c r="D45" s="70"/>
      <c r="E45" s="71" t="s">
        <v>841</v>
      </c>
      <c r="F45" s="71">
        <v>0</v>
      </c>
      <c r="G45" s="71">
        <v>1023</v>
      </c>
      <c r="H45" s="71">
        <v>512</v>
      </c>
      <c r="I45" s="80" t="s">
        <v>864</v>
      </c>
    </row>
    <row r="46" spans="1:30" x14ac:dyDescent="0.2">
      <c r="A46" s="79">
        <v>4</v>
      </c>
      <c r="B46" s="70" t="s">
        <v>208</v>
      </c>
      <c r="C46" s="70" t="s">
        <v>729</v>
      </c>
      <c r="D46" s="70"/>
      <c r="E46" s="71" t="s">
        <v>840</v>
      </c>
      <c r="F46" s="71">
        <v>0</v>
      </c>
      <c r="G46" s="71">
        <v>3</v>
      </c>
      <c r="H46" s="71">
        <v>3</v>
      </c>
      <c r="I46" s="80" t="s">
        <v>865</v>
      </c>
    </row>
    <row r="47" spans="1:30" x14ac:dyDescent="0.2">
      <c r="A47" s="79">
        <v>5</v>
      </c>
      <c r="B47" s="70" t="s">
        <v>208</v>
      </c>
      <c r="C47" s="70" t="s">
        <v>723</v>
      </c>
      <c r="D47" s="70"/>
      <c r="E47" s="71" t="s">
        <v>720</v>
      </c>
      <c r="F47" s="71">
        <v>-32</v>
      </c>
      <c r="G47" s="71">
        <v>150</v>
      </c>
      <c r="H47" s="71">
        <v>80</v>
      </c>
      <c r="I47" s="80" t="s">
        <v>866</v>
      </c>
    </row>
    <row r="48" spans="1:30" x14ac:dyDescent="0.2">
      <c r="A48" s="79">
        <v>6</v>
      </c>
      <c r="B48" s="70" t="s">
        <v>208</v>
      </c>
      <c r="C48" s="70" t="s">
        <v>721</v>
      </c>
      <c r="D48" s="70"/>
      <c r="E48" s="71" t="s">
        <v>120</v>
      </c>
      <c r="F48" s="71"/>
      <c r="G48" s="71"/>
      <c r="H48" s="71"/>
      <c r="I48" s="80"/>
    </row>
    <row r="49" spans="1:9" x14ac:dyDescent="0.2">
      <c r="A49" s="79">
        <v>7</v>
      </c>
      <c r="B49" s="70" t="s">
        <v>208</v>
      </c>
      <c r="C49" s="70" t="s">
        <v>722</v>
      </c>
      <c r="D49" s="70"/>
      <c r="E49" s="71" t="s">
        <v>121</v>
      </c>
      <c r="F49" s="71"/>
      <c r="G49" s="71"/>
      <c r="H49" s="71"/>
      <c r="I49" s="80"/>
    </row>
    <row r="50" spans="1:9" x14ac:dyDescent="0.2">
      <c r="A50" s="79">
        <v>8</v>
      </c>
      <c r="B50" s="70" t="s">
        <v>208</v>
      </c>
      <c r="C50" s="70" t="s">
        <v>304</v>
      </c>
      <c r="D50" s="70"/>
      <c r="E50" s="71" t="s">
        <v>459</v>
      </c>
      <c r="F50" s="71">
        <v>0</v>
      </c>
      <c r="G50" s="71">
        <v>28800</v>
      </c>
      <c r="H50" s="71"/>
      <c r="I50" s="80"/>
    </row>
    <row r="51" spans="1:9" ht="17" thickBot="1" x14ac:dyDescent="0.25">
      <c r="A51" s="153">
        <v>9</v>
      </c>
      <c r="B51" s="154" t="s">
        <v>208</v>
      </c>
      <c r="C51" s="154" t="s">
        <v>303</v>
      </c>
      <c r="D51" s="154"/>
      <c r="E51" s="155" t="s">
        <v>18</v>
      </c>
      <c r="F51" s="155"/>
      <c r="G51" s="155"/>
      <c r="H51" s="155"/>
      <c r="I51" s="156"/>
    </row>
    <row r="52" spans="1:9" ht="17" thickBot="1" x14ac:dyDescent="0.25">
      <c r="A52" s="148"/>
      <c r="E52" s="147"/>
      <c r="F52" s="147"/>
      <c r="G52" s="147"/>
      <c r="H52" s="147"/>
      <c r="I52" s="147"/>
    </row>
    <row r="53" spans="1:9" x14ac:dyDescent="0.2">
      <c r="A53" s="73" t="s">
        <v>847</v>
      </c>
      <c r="B53" s="92" t="s">
        <v>853</v>
      </c>
      <c r="C53" s="74"/>
      <c r="D53" s="74"/>
      <c r="E53" s="74"/>
      <c r="F53" s="74"/>
      <c r="G53" s="74"/>
      <c r="H53" s="74"/>
      <c r="I53" s="157"/>
    </row>
    <row r="54" spans="1:9" x14ac:dyDescent="0.2">
      <c r="A54" s="77" t="s">
        <v>848</v>
      </c>
      <c r="B54" s="93" t="s">
        <v>970</v>
      </c>
      <c r="C54" s="8"/>
      <c r="D54" s="8"/>
      <c r="E54" s="8"/>
      <c r="F54" s="8"/>
      <c r="G54" s="8"/>
      <c r="H54" s="8"/>
      <c r="I54" s="150"/>
    </row>
    <row r="55" spans="1:9" x14ac:dyDescent="0.2">
      <c r="A55" s="77" t="s">
        <v>788</v>
      </c>
      <c r="B55" s="93" t="s">
        <v>858</v>
      </c>
      <c r="C55" s="8"/>
      <c r="D55" s="8"/>
      <c r="E55" s="8"/>
      <c r="F55" s="8"/>
      <c r="G55" s="8"/>
      <c r="H55" s="8"/>
      <c r="I55" s="150"/>
    </row>
    <row r="56" spans="1:9" x14ac:dyDescent="0.2">
      <c r="A56" s="77" t="s">
        <v>849</v>
      </c>
      <c r="B56" s="93" t="s">
        <v>857</v>
      </c>
      <c r="C56" s="8"/>
      <c r="D56" s="8"/>
      <c r="E56" s="8"/>
      <c r="F56" s="8"/>
      <c r="G56" s="8"/>
      <c r="H56" s="8"/>
      <c r="I56" s="150"/>
    </row>
    <row r="57" spans="1:9" x14ac:dyDescent="0.2">
      <c r="A57" s="77" t="s">
        <v>1038</v>
      </c>
      <c r="B57" s="93" t="s">
        <v>1039</v>
      </c>
      <c r="C57" s="8"/>
      <c r="D57" s="8"/>
      <c r="E57" s="8"/>
      <c r="F57" s="8"/>
      <c r="G57" s="8"/>
      <c r="H57" s="8"/>
      <c r="I57" s="150"/>
    </row>
    <row r="58" spans="1:9" x14ac:dyDescent="0.2">
      <c r="A58" s="77" t="s">
        <v>1008</v>
      </c>
      <c r="B58" s="93" t="s">
        <v>1009</v>
      </c>
      <c r="C58" s="8"/>
      <c r="D58" s="8"/>
      <c r="E58" s="8"/>
      <c r="F58" s="8"/>
      <c r="G58" s="8"/>
      <c r="H58" s="8"/>
      <c r="I58" s="150"/>
    </row>
    <row r="59" spans="1:9" x14ac:dyDescent="0.2">
      <c r="A59" s="77" t="s">
        <v>851</v>
      </c>
      <c r="B59" s="93" t="s">
        <v>854</v>
      </c>
      <c r="C59" s="8"/>
      <c r="D59" s="8"/>
      <c r="E59" s="8"/>
      <c r="F59" s="8"/>
      <c r="G59" s="8"/>
      <c r="H59" s="8"/>
      <c r="I59" s="150"/>
    </row>
    <row r="60" spans="1:9" x14ac:dyDescent="0.2">
      <c r="A60" s="77" t="s">
        <v>852</v>
      </c>
      <c r="B60" s="93"/>
      <c r="C60" s="8" t="s">
        <v>1034</v>
      </c>
      <c r="D60" s="8"/>
      <c r="E60" s="8"/>
      <c r="F60" s="8"/>
      <c r="G60" s="8"/>
      <c r="H60" s="8"/>
      <c r="I60" s="150"/>
    </row>
    <row r="61" spans="1:9" ht="17" thickBot="1" x14ac:dyDescent="0.25">
      <c r="A61" s="77" t="s">
        <v>824</v>
      </c>
      <c r="B61" s="94">
        <v>10</v>
      </c>
      <c r="C61" s="82"/>
      <c r="D61" s="82"/>
      <c r="E61" s="82"/>
      <c r="F61" s="82"/>
      <c r="G61" s="82"/>
      <c r="H61" s="82"/>
      <c r="I61" s="151"/>
    </row>
    <row r="62" spans="1:9" x14ac:dyDescent="0.2">
      <c r="A62" s="91" t="s">
        <v>815</v>
      </c>
      <c r="B62" s="90" t="s">
        <v>816</v>
      </c>
      <c r="C62" s="90" t="s">
        <v>818</v>
      </c>
      <c r="D62" s="90"/>
      <c r="E62" s="90" t="s">
        <v>819</v>
      </c>
      <c r="F62" s="90" t="s">
        <v>838</v>
      </c>
      <c r="G62" s="90" t="s">
        <v>839</v>
      </c>
      <c r="H62" s="90" t="s">
        <v>842</v>
      </c>
      <c r="I62" s="152" t="s">
        <v>843</v>
      </c>
    </row>
    <row r="63" spans="1:9" x14ac:dyDescent="0.2">
      <c r="A63" s="79">
        <v>0</v>
      </c>
      <c r="B63" s="70" t="s">
        <v>208</v>
      </c>
      <c r="C63" s="70" t="s">
        <v>340</v>
      </c>
      <c r="D63" s="70"/>
      <c r="E63" s="71" t="s">
        <v>109</v>
      </c>
      <c r="F63" s="71">
        <v>0</v>
      </c>
      <c r="G63" s="71">
        <v>5000</v>
      </c>
      <c r="H63" s="71">
        <v>20</v>
      </c>
      <c r="I63" s="80"/>
    </row>
    <row r="64" spans="1:9" x14ac:dyDescent="0.2">
      <c r="A64" s="79">
        <v>1</v>
      </c>
      <c r="B64" s="70" t="s">
        <v>208</v>
      </c>
      <c r="C64" s="70" t="s">
        <v>984</v>
      </c>
      <c r="D64" s="70"/>
      <c r="E64" s="71" t="s">
        <v>108</v>
      </c>
      <c r="F64" s="71">
        <v>0</v>
      </c>
      <c r="G64" s="71">
        <v>10000</v>
      </c>
      <c r="H64" s="71">
        <v>2000</v>
      </c>
      <c r="I64" s="80"/>
    </row>
    <row r="65" spans="1:9" x14ac:dyDescent="0.2">
      <c r="A65" s="79">
        <v>2</v>
      </c>
      <c r="B65" s="70" t="s">
        <v>208</v>
      </c>
      <c r="C65" s="70" t="s">
        <v>342</v>
      </c>
      <c r="D65" s="70"/>
      <c r="E65" s="71" t="s">
        <v>110</v>
      </c>
      <c r="F65" s="71">
        <v>0</v>
      </c>
      <c r="G65" s="71">
        <v>1</v>
      </c>
      <c r="H65" s="71">
        <v>1</v>
      </c>
      <c r="I65" s="80"/>
    </row>
    <row r="66" spans="1:9" x14ac:dyDescent="0.2">
      <c r="A66" s="79">
        <v>3</v>
      </c>
      <c r="B66" s="70" t="s">
        <v>208</v>
      </c>
      <c r="C66" s="70" t="s">
        <v>728</v>
      </c>
      <c r="D66" s="70"/>
      <c r="E66" s="71" t="s">
        <v>841</v>
      </c>
      <c r="F66" s="71">
        <v>0</v>
      </c>
      <c r="G66" s="71">
        <v>1023</v>
      </c>
      <c r="H66" s="71">
        <v>512</v>
      </c>
      <c r="I66" s="80" t="s">
        <v>863</v>
      </c>
    </row>
    <row r="67" spans="1:9" x14ac:dyDescent="0.2">
      <c r="A67" s="79">
        <v>4</v>
      </c>
      <c r="B67" s="70" t="s">
        <v>208</v>
      </c>
      <c r="C67" s="70" t="s">
        <v>729</v>
      </c>
      <c r="D67" s="70"/>
      <c r="E67" s="71" t="s">
        <v>840</v>
      </c>
      <c r="F67" s="71">
        <v>0</v>
      </c>
      <c r="G67" s="71">
        <v>3</v>
      </c>
      <c r="H67" s="71">
        <v>3</v>
      </c>
      <c r="I67" s="80" t="s">
        <v>846</v>
      </c>
    </row>
    <row r="68" spans="1:9" x14ac:dyDescent="0.2">
      <c r="A68" s="79">
        <v>5</v>
      </c>
      <c r="B68" s="70" t="s">
        <v>208</v>
      </c>
      <c r="C68" s="70" t="s">
        <v>723</v>
      </c>
      <c r="D68" s="70"/>
      <c r="E68" s="71" t="s">
        <v>720</v>
      </c>
      <c r="F68" s="71">
        <v>-32</v>
      </c>
      <c r="G68" s="71">
        <v>150</v>
      </c>
      <c r="H68" s="71">
        <v>80</v>
      </c>
      <c r="I68" s="80" t="s">
        <v>867</v>
      </c>
    </row>
    <row r="69" spans="1:9" x14ac:dyDescent="0.2">
      <c r="A69" s="79">
        <v>6</v>
      </c>
      <c r="B69" s="70" t="s">
        <v>208</v>
      </c>
      <c r="C69" s="70" t="s">
        <v>721</v>
      </c>
      <c r="D69" s="70"/>
      <c r="E69" s="71" t="s">
        <v>120</v>
      </c>
      <c r="F69" s="71"/>
      <c r="G69" s="71"/>
      <c r="H69" s="71"/>
      <c r="I69" s="80"/>
    </row>
    <row r="70" spans="1:9" x14ac:dyDescent="0.2">
      <c r="A70" s="79">
        <v>7</v>
      </c>
      <c r="B70" s="70" t="s">
        <v>208</v>
      </c>
      <c r="C70" s="70" t="s">
        <v>722</v>
      </c>
      <c r="D70" s="70"/>
      <c r="E70" s="71" t="s">
        <v>121</v>
      </c>
      <c r="F70" s="71"/>
      <c r="G70" s="71"/>
      <c r="H70" s="71"/>
      <c r="I70" s="80"/>
    </row>
    <row r="71" spans="1:9" x14ac:dyDescent="0.2">
      <c r="A71" s="79">
        <v>8</v>
      </c>
      <c r="B71" s="70" t="s">
        <v>208</v>
      </c>
      <c r="C71" s="70" t="s">
        <v>304</v>
      </c>
      <c r="D71" s="70"/>
      <c r="E71" s="71" t="s">
        <v>459</v>
      </c>
      <c r="F71" s="71">
        <v>0</v>
      </c>
      <c r="G71" s="71">
        <v>28800</v>
      </c>
      <c r="H71" s="71"/>
      <c r="I71" s="80"/>
    </row>
    <row r="72" spans="1:9" ht="17" thickBot="1" x14ac:dyDescent="0.25">
      <c r="A72" s="153">
        <v>9</v>
      </c>
      <c r="B72" s="154" t="s">
        <v>208</v>
      </c>
      <c r="C72" s="154" t="s">
        <v>303</v>
      </c>
      <c r="D72" s="154"/>
      <c r="E72" s="155" t="s">
        <v>18</v>
      </c>
      <c r="F72" s="155"/>
      <c r="G72" s="155"/>
      <c r="H72" s="155"/>
      <c r="I72" s="156"/>
    </row>
    <row r="73" spans="1:9" ht="17" thickBot="1" x14ac:dyDescent="0.25"/>
    <row r="74" spans="1:9" x14ac:dyDescent="0.2">
      <c r="A74" s="73" t="s">
        <v>847</v>
      </c>
      <c r="B74" s="92" t="s">
        <v>859</v>
      </c>
      <c r="C74" s="74"/>
      <c r="D74" s="74"/>
      <c r="E74" s="74"/>
      <c r="F74" s="74"/>
      <c r="G74" s="74"/>
      <c r="H74" s="74"/>
      <c r="I74" s="74"/>
    </row>
    <row r="75" spans="1:9" x14ac:dyDescent="0.2">
      <c r="A75" s="77" t="s">
        <v>848</v>
      </c>
      <c r="B75" s="93" t="s">
        <v>973</v>
      </c>
      <c r="C75" s="8"/>
      <c r="D75" s="8"/>
      <c r="E75" s="8"/>
      <c r="F75" s="8"/>
      <c r="G75" s="8"/>
      <c r="H75" s="8"/>
      <c r="I75" s="8"/>
    </row>
    <row r="76" spans="1:9" x14ac:dyDescent="0.2">
      <c r="A76" s="77" t="s">
        <v>788</v>
      </c>
      <c r="B76" s="93" t="s">
        <v>861</v>
      </c>
      <c r="C76" s="8"/>
      <c r="D76" s="8"/>
      <c r="E76" s="8"/>
      <c r="F76" s="8"/>
      <c r="G76" s="8"/>
      <c r="H76" s="8"/>
      <c r="I76" s="8"/>
    </row>
    <row r="77" spans="1:9" x14ac:dyDescent="0.2">
      <c r="A77" s="77" t="s">
        <v>849</v>
      </c>
      <c r="B77" s="93" t="s">
        <v>860</v>
      </c>
      <c r="C77" s="8"/>
      <c r="D77" s="8"/>
      <c r="E77" s="8"/>
      <c r="F77" s="8"/>
      <c r="G77" s="8"/>
      <c r="H77" s="8"/>
      <c r="I77" s="8"/>
    </row>
    <row r="78" spans="1:9" x14ac:dyDescent="0.2">
      <c r="A78" s="77" t="s">
        <v>1038</v>
      </c>
      <c r="B78" s="93" t="s">
        <v>1039</v>
      </c>
      <c r="C78" s="8"/>
      <c r="D78" s="8"/>
      <c r="E78" s="8"/>
      <c r="F78" s="8"/>
      <c r="G78" s="8"/>
      <c r="H78" s="8"/>
      <c r="I78" s="8"/>
    </row>
    <row r="79" spans="1:9" x14ac:dyDescent="0.2">
      <c r="A79" s="77" t="s">
        <v>1008</v>
      </c>
      <c r="B79" s="93" t="s">
        <v>1009</v>
      </c>
      <c r="C79" s="8"/>
      <c r="D79" s="8"/>
      <c r="E79" s="8"/>
      <c r="F79" s="8"/>
      <c r="G79" s="8"/>
      <c r="H79" s="8"/>
      <c r="I79" s="8"/>
    </row>
    <row r="80" spans="1:9" x14ac:dyDescent="0.2">
      <c r="A80" s="77" t="s">
        <v>851</v>
      </c>
      <c r="B80" s="93" t="s">
        <v>881</v>
      </c>
      <c r="C80" s="8"/>
      <c r="D80" s="8"/>
      <c r="E80" s="8"/>
      <c r="F80" s="8"/>
      <c r="G80" s="8"/>
      <c r="H80" s="8"/>
      <c r="I80" s="8"/>
    </row>
    <row r="81" spans="1:9" x14ac:dyDescent="0.2">
      <c r="A81" s="77" t="s">
        <v>852</v>
      </c>
      <c r="B81" s="93"/>
      <c r="C81" s="8" t="s">
        <v>1034</v>
      </c>
      <c r="D81" s="8"/>
      <c r="E81" s="8"/>
      <c r="F81" s="8"/>
      <c r="G81" s="8"/>
      <c r="H81" s="8"/>
      <c r="I81" s="8"/>
    </row>
    <row r="82" spans="1:9" ht="17" thickBot="1" x14ac:dyDescent="0.25">
      <c r="A82" s="77" t="s">
        <v>824</v>
      </c>
      <c r="B82" s="94">
        <v>10</v>
      </c>
      <c r="C82" s="82"/>
      <c r="D82" s="82"/>
      <c r="E82" s="82"/>
      <c r="F82" s="82"/>
      <c r="G82" s="82"/>
      <c r="H82" s="82"/>
      <c r="I82" s="82"/>
    </row>
    <row r="83" spans="1:9" x14ac:dyDescent="0.2">
      <c r="A83" s="91" t="s">
        <v>815</v>
      </c>
      <c r="B83" s="90" t="s">
        <v>816</v>
      </c>
      <c r="C83" s="90" t="s">
        <v>818</v>
      </c>
      <c r="D83" s="90"/>
      <c r="E83" s="90" t="s">
        <v>819</v>
      </c>
      <c r="F83" s="90" t="s">
        <v>838</v>
      </c>
      <c r="G83" s="90" t="s">
        <v>839</v>
      </c>
      <c r="H83" s="90" t="s">
        <v>842</v>
      </c>
      <c r="I83" s="90" t="s">
        <v>843</v>
      </c>
    </row>
    <row r="84" spans="1:9" x14ac:dyDescent="0.2">
      <c r="A84" s="79">
        <v>0</v>
      </c>
      <c r="B84" s="70" t="s">
        <v>208</v>
      </c>
      <c r="C84" s="70" t="s">
        <v>340</v>
      </c>
      <c r="D84" s="70"/>
      <c r="E84" s="71" t="s">
        <v>109</v>
      </c>
      <c r="F84" s="71">
        <v>0</v>
      </c>
      <c r="G84" s="71">
        <v>5000</v>
      </c>
      <c r="H84" s="71">
        <v>20</v>
      </c>
      <c r="I84" s="71"/>
    </row>
    <row r="85" spans="1:9" x14ac:dyDescent="0.2">
      <c r="A85" s="79">
        <v>1</v>
      </c>
      <c r="B85" s="70" t="s">
        <v>208</v>
      </c>
      <c r="C85" s="70" t="s">
        <v>984</v>
      </c>
      <c r="D85" s="70"/>
      <c r="E85" s="71" t="s">
        <v>108</v>
      </c>
      <c r="F85" s="71">
        <v>0</v>
      </c>
      <c r="G85" s="71">
        <v>10000</v>
      </c>
      <c r="H85" s="71">
        <v>2000</v>
      </c>
      <c r="I85" s="71"/>
    </row>
    <row r="86" spans="1:9" x14ac:dyDescent="0.2">
      <c r="A86" s="79">
        <v>2</v>
      </c>
      <c r="B86" s="70" t="s">
        <v>208</v>
      </c>
      <c r="C86" s="70" t="s">
        <v>342</v>
      </c>
      <c r="D86" s="70"/>
      <c r="E86" s="71" t="s">
        <v>110</v>
      </c>
      <c r="F86" s="71">
        <v>0</v>
      </c>
      <c r="G86" s="71">
        <v>1</v>
      </c>
      <c r="H86" s="71">
        <v>1</v>
      </c>
      <c r="I86" s="71"/>
    </row>
    <row r="87" spans="1:9" x14ac:dyDescent="0.2">
      <c r="A87" s="79">
        <v>3</v>
      </c>
      <c r="B87" s="70" t="s">
        <v>208</v>
      </c>
      <c r="C87" s="70" t="s">
        <v>728</v>
      </c>
      <c r="D87" s="70"/>
      <c r="E87" s="71" t="s">
        <v>841</v>
      </c>
      <c r="F87" s="71">
        <v>0</v>
      </c>
      <c r="G87" s="71">
        <v>1023</v>
      </c>
      <c r="H87" s="71">
        <v>512</v>
      </c>
      <c r="I87" s="71" t="s">
        <v>862</v>
      </c>
    </row>
    <row r="88" spans="1:9" ht="14" customHeight="1" x14ac:dyDescent="0.2">
      <c r="A88" s="79">
        <v>4</v>
      </c>
      <c r="B88" s="70" t="s">
        <v>208</v>
      </c>
      <c r="C88" s="70" t="s">
        <v>729</v>
      </c>
      <c r="D88" s="70"/>
      <c r="E88" s="71" t="s">
        <v>840</v>
      </c>
      <c r="F88" s="71">
        <v>0</v>
      </c>
      <c r="G88" s="71">
        <v>3</v>
      </c>
      <c r="H88" s="71">
        <v>3</v>
      </c>
      <c r="I88" s="71" t="s">
        <v>846</v>
      </c>
    </row>
    <row r="89" spans="1:9" x14ac:dyDescent="0.2">
      <c r="A89" s="79">
        <v>5</v>
      </c>
      <c r="B89" s="70" t="s">
        <v>208</v>
      </c>
      <c r="C89" s="70" t="s">
        <v>723</v>
      </c>
      <c r="D89" s="70"/>
      <c r="E89" s="71" t="s">
        <v>720</v>
      </c>
      <c r="F89" s="71">
        <v>-32</v>
      </c>
      <c r="G89" s="71">
        <v>150</v>
      </c>
      <c r="H89" s="71">
        <v>80</v>
      </c>
      <c r="I89" s="71" t="s">
        <v>868</v>
      </c>
    </row>
    <row r="90" spans="1:9" x14ac:dyDescent="0.2">
      <c r="A90" s="79">
        <v>6</v>
      </c>
      <c r="B90" s="70" t="s">
        <v>208</v>
      </c>
      <c r="C90" s="70" t="s">
        <v>721</v>
      </c>
      <c r="D90" s="70"/>
      <c r="E90" s="71" t="s">
        <v>120</v>
      </c>
      <c r="F90" s="71"/>
      <c r="G90" s="71"/>
      <c r="H90" s="71"/>
      <c r="I90" s="71"/>
    </row>
    <row r="91" spans="1:9" x14ac:dyDescent="0.2">
      <c r="A91" s="79">
        <v>7</v>
      </c>
      <c r="B91" s="70" t="s">
        <v>208</v>
      </c>
      <c r="C91" s="70" t="s">
        <v>722</v>
      </c>
      <c r="D91" s="70"/>
      <c r="E91" s="71" t="s">
        <v>121</v>
      </c>
      <c r="F91" s="71"/>
      <c r="G91" s="71"/>
      <c r="H91" s="71"/>
      <c r="I91" s="71"/>
    </row>
    <row r="92" spans="1:9" x14ac:dyDescent="0.2">
      <c r="A92" s="79">
        <v>8</v>
      </c>
      <c r="B92" s="70" t="s">
        <v>208</v>
      </c>
      <c r="C92" s="70" t="s">
        <v>304</v>
      </c>
      <c r="D92" s="70"/>
      <c r="E92" s="71" t="s">
        <v>459</v>
      </c>
      <c r="F92" s="71">
        <v>0</v>
      </c>
      <c r="G92" s="71">
        <v>28800</v>
      </c>
      <c r="H92" s="71"/>
      <c r="I92" s="71"/>
    </row>
    <row r="93" spans="1:9" x14ac:dyDescent="0.2">
      <c r="A93" s="79">
        <v>9</v>
      </c>
      <c r="B93" s="70" t="s">
        <v>208</v>
      </c>
      <c r="C93" s="70" t="s">
        <v>303</v>
      </c>
      <c r="D93" s="70"/>
      <c r="E93" s="71" t="s">
        <v>18</v>
      </c>
      <c r="F93" s="71"/>
      <c r="G93" s="71"/>
      <c r="H93" s="71"/>
      <c r="I93" s="71"/>
    </row>
    <row r="94" spans="1:9" ht="17" thickBot="1" x14ac:dyDescent="0.25">
      <c r="I94"/>
    </row>
    <row r="95" spans="1:9" x14ac:dyDescent="0.2">
      <c r="A95" s="73" t="s">
        <v>847</v>
      </c>
      <c r="B95" s="92" t="s">
        <v>869</v>
      </c>
      <c r="C95" s="74"/>
      <c r="D95" s="74"/>
      <c r="E95" s="74"/>
      <c r="F95" s="74"/>
      <c r="G95" s="74"/>
      <c r="H95" s="74"/>
      <c r="I95" s="74"/>
    </row>
    <row r="96" spans="1:9" x14ac:dyDescent="0.2">
      <c r="A96" s="77" t="s">
        <v>848</v>
      </c>
      <c r="B96" s="93" t="s">
        <v>976</v>
      </c>
      <c r="C96" s="8"/>
      <c r="D96" s="8"/>
      <c r="E96" s="8"/>
      <c r="F96" s="8"/>
      <c r="G96" s="8"/>
      <c r="H96" s="8"/>
      <c r="I96" s="8"/>
    </row>
    <row r="97" spans="1:9" x14ac:dyDescent="0.2">
      <c r="A97" s="77" t="s">
        <v>788</v>
      </c>
      <c r="B97" s="93" t="s">
        <v>879</v>
      </c>
      <c r="C97" s="8"/>
      <c r="D97" s="8"/>
      <c r="E97" s="8"/>
      <c r="F97" s="8"/>
      <c r="G97" s="8"/>
      <c r="H97" s="8"/>
      <c r="I97" s="8"/>
    </row>
    <row r="98" spans="1:9" x14ac:dyDescent="0.2">
      <c r="A98" s="77" t="s">
        <v>849</v>
      </c>
      <c r="B98" s="93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7" t="s">
        <v>1038</v>
      </c>
      <c r="B99" s="93" t="s">
        <v>1039</v>
      </c>
      <c r="C99" s="8"/>
      <c r="D99" s="8"/>
      <c r="E99" s="8"/>
      <c r="F99" s="8"/>
      <c r="G99" s="8"/>
      <c r="H99" s="8"/>
      <c r="I99" s="8"/>
    </row>
    <row r="100" spans="1:9" x14ac:dyDescent="0.2">
      <c r="A100" s="77" t="s">
        <v>1008</v>
      </c>
      <c r="B100" s="93" t="s">
        <v>1009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7" t="s">
        <v>851</v>
      </c>
      <c r="B101" s="93" t="s">
        <v>880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7" t="s">
        <v>852</v>
      </c>
      <c r="B102" s="93"/>
      <c r="C102" s="8" t="s">
        <v>1034</v>
      </c>
      <c r="D102" s="8"/>
      <c r="E102" s="8"/>
      <c r="F102" s="8"/>
      <c r="G102" s="8"/>
      <c r="H102" s="8"/>
      <c r="I102" s="8"/>
    </row>
    <row r="103" spans="1:9" ht="17" thickBot="1" x14ac:dyDescent="0.25">
      <c r="A103" s="77" t="s">
        <v>824</v>
      </c>
      <c r="B103" s="94">
        <v>10</v>
      </c>
      <c r="C103" s="82"/>
      <c r="D103" s="82"/>
      <c r="E103" s="82"/>
      <c r="F103" s="82"/>
      <c r="G103" s="82"/>
      <c r="H103" s="82"/>
      <c r="I103" s="82"/>
    </row>
    <row r="104" spans="1:9" x14ac:dyDescent="0.2">
      <c r="A104" s="91" t="s">
        <v>815</v>
      </c>
      <c r="B104" s="90" t="s">
        <v>816</v>
      </c>
      <c r="C104" s="90" t="s">
        <v>818</v>
      </c>
      <c r="D104" s="90"/>
      <c r="E104" s="90" t="s">
        <v>819</v>
      </c>
      <c r="F104" s="90" t="s">
        <v>838</v>
      </c>
      <c r="G104" s="90" t="s">
        <v>839</v>
      </c>
      <c r="H104" s="90" t="s">
        <v>842</v>
      </c>
      <c r="I104" s="90" t="s">
        <v>843</v>
      </c>
    </row>
    <row r="105" spans="1:9" x14ac:dyDescent="0.2">
      <c r="A105" s="79">
        <v>0</v>
      </c>
      <c r="B105" s="70" t="s">
        <v>208</v>
      </c>
      <c r="C105" s="70" t="s">
        <v>340</v>
      </c>
      <c r="D105" s="70"/>
      <c r="E105" s="71" t="s">
        <v>109</v>
      </c>
      <c r="F105" s="71">
        <v>0</v>
      </c>
      <c r="G105" s="71">
        <v>5000</v>
      </c>
      <c r="H105" s="71">
        <v>20</v>
      </c>
      <c r="I105" s="71"/>
    </row>
    <row r="106" spans="1:9" x14ac:dyDescent="0.2">
      <c r="A106" s="79">
        <v>1</v>
      </c>
      <c r="B106" s="70" t="s">
        <v>208</v>
      </c>
      <c r="C106" s="70" t="s">
        <v>984</v>
      </c>
      <c r="D106" s="70"/>
      <c r="E106" s="71" t="s">
        <v>108</v>
      </c>
      <c r="F106" s="71">
        <v>0</v>
      </c>
      <c r="G106" s="71">
        <v>10000</v>
      </c>
      <c r="H106" s="71">
        <v>2000</v>
      </c>
      <c r="I106" s="71"/>
    </row>
    <row r="107" spans="1:9" x14ac:dyDescent="0.2">
      <c r="A107" s="79">
        <v>2</v>
      </c>
      <c r="B107" s="70" t="s">
        <v>208</v>
      </c>
      <c r="C107" s="70" t="s">
        <v>342</v>
      </c>
      <c r="D107" s="70"/>
      <c r="E107" s="71" t="s">
        <v>110</v>
      </c>
      <c r="F107" s="71">
        <v>0</v>
      </c>
      <c r="G107" s="71">
        <v>1</v>
      </c>
      <c r="H107" s="71">
        <v>1</v>
      </c>
      <c r="I107" s="71"/>
    </row>
    <row r="108" spans="1:9" x14ac:dyDescent="0.2">
      <c r="A108" s="79">
        <v>3</v>
      </c>
      <c r="B108" s="70" t="s">
        <v>208</v>
      </c>
      <c r="C108" s="70" t="s">
        <v>728</v>
      </c>
      <c r="D108" s="70"/>
      <c r="E108" s="71" t="s">
        <v>841</v>
      </c>
      <c r="F108" s="71">
        <v>0</v>
      </c>
      <c r="G108" s="71">
        <v>1023</v>
      </c>
      <c r="H108" s="71">
        <v>512</v>
      </c>
      <c r="I108" s="71"/>
    </row>
    <row r="109" spans="1:9" x14ac:dyDescent="0.2">
      <c r="A109" s="79">
        <v>4</v>
      </c>
      <c r="B109" s="70" t="s">
        <v>208</v>
      </c>
      <c r="C109" s="70" t="s">
        <v>729</v>
      </c>
      <c r="D109" s="70"/>
      <c r="E109" s="71" t="s">
        <v>840</v>
      </c>
      <c r="F109" s="71">
        <v>0</v>
      </c>
      <c r="G109" s="71">
        <v>3</v>
      </c>
      <c r="H109" s="71">
        <v>3</v>
      </c>
      <c r="I109" s="71" t="s">
        <v>846</v>
      </c>
    </row>
    <row r="110" spans="1:9" x14ac:dyDescent="0.2">
      <c r="A110" s="79">
        <v>5</v>
      </c>
      <c r="B110" s="70" t="s">
        <v>208</v>
      </c>
      <c r="C110" s="70" t="s">
        <v>723</v>
      </c>
      <c r="D110" s="70"/>
      <c r="E110" s="71" t="s">
        <v>720</v>
      </c>
      <c r="F110" s="71">
        <v>-32</v>
      </c>
      <c r="G110" s="71">
        <v>150</v>
      </c>
      <c r="H110" s="71">
        <v>80</v>
      </c>
      <c r="I110" s="71"/>
    </row>
    <row r="111" spans="1:9" x14ac:dyDescent="0.2">
      <c r="A111" s="79">
        <v>6</v>
      </c>
      <c r="B111" s="70" t="s">
        <v>208</v>
      </c>
      <c r="C111" s="70" t="s">
        <v>721</v>
      </c>
      <c r="D111" s="70"/>
      <c r="E111" s="71" t="s">
        <v>120</v>
      </c>
      <c r="F111" s="71"/>
      <c r="G111" s="71"/>
      <c r="H111" s="71"/>
      <c r="I111" s="71"/>
    </row>
    <row r="112" spans="1:9" x14ac:dyDescent="0.2">
      <c r="A112" s="79">
        <v>7</v>
      </c>
      <c r="B112" s="70" t="s">
        <v>208</v>
      </c>
      <c r="C112" s="70" t="s">
        <v>722</v>
      </c>
      <c r="D112" s="70"/>
      <c r="E112" s="71" t="s">
        <v>121</v>
      </c>
      <c r="F112" s="71"/>
      <c r="G112" s="71"/>
      <c r="H112" s="71"/>
      <c r="I112" s="71"/>
    </row>
    <row r="113" spans="1:9" x14ac:dyDescent="0.2">
      <c r="A113" s="79">
        <v>8</v>
      </c>
      <c r="B113" s="70" t="s">
        <v>208</v>
      </c>
      <c r="C113" s="70" t="s">
        <v>304</v>
      </c>
      <c r="D113" s="70"/>
      <c r="E113" s="71" t="s">
        <v>459</v>
      </c>
      <c r="F113" s="71">
        <v>0</v>
      </c>
      <c r="G113" s="71">
        <v>28800</v>
      </c>
      <c r="H113" s="71"/>
      <c r="I113" s="71"/>
    </row>
    <row r="114" spans="1:9" x14ac:dyDescent="0.2">
      <c r="A114" s="79">
        <v>9</v>
      </c>
      <c r="B114" s="70" t="s">
        <v>208</v>
      </c>
      <c r="C114" s="70" t="s">
        <v>303</v>
      </c>
      <c r="D114" s="70"/>
      <c r="E114" s="71" t="s">
        <v>18</v>
      </c>
      <c r="F114" s="71"/>
      <c r="G114" s="71"/>
      <c r="H114" s="71"/>
      <c r="I114" s="71"/>
    </row>
    <row r="115" spans="1:9" ht="17" thickBot="1" x14ac:dyDescent="0.25">
      <c r="I115"/>
    </row>
    <row r="116" spans="1:9" x14ac:dyDescent="0.2">
      <c r="A116" s="73" t="s">
        <v>847</v>
      </c>
      <c r="B116" s="92" t="s">
        <v>878</v>
      </c>
      <c r="C116" s="74"/>
      <c r="D116" s="74"/>
      <c r="E116" s="74"/>
      <c r="F116" s="74"/>
      <c r="G116" s="74"/>
      <c r="H116" s="74"/>
      <c r="I116" s="74"/>
    </row>
    <row r="117" spans="1:9" x14ac:dyDescent="0.2">
      <c r="A117" s="77" t="s">
        <v>848</v>
      </c>
      <c r="B117" s="93" t="s">
        <v>974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7" t="s">
        <v>788</v>
      </c>
      <c r="B118" s="93" t="s">
        <v>871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7" t="s">
        <v>849</v>
      </c>
      <c r="B119" s="93" t="s">
        <v>870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7" t="s">
        <v>1038</v>
      </c>
      <c r="B120" s="93" t="s">
        <v>1039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7" t="s">
        <v>1008</v>
      </c>
      <c r="B121" s="93" t="s">
        <v>1009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7" t="s">
        <v>851</v>
      </c>
      <c r="B122" s="93" t="s">
        <v>872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7" t="s">
        <v>852</v>
      </c>
      <c r="B123" s="93"/>
      <c r="C123" s="8" t="s">
        <v>1034</v>
      </c>
      <c r="D123" s="8"/>
      <c r="E123" s="8"/>
      <c r="F123" s="8"/>
      <c r="G123" s="8"/>
      <c r="H123" s="8"/>
      <c r="I123" s="8"/>
    </row>
    <row r="124" spans="1:9" ht="17" thickBot="1" x14ac:dyDescent="0.25">
      <c r="A124" s="77" t="s">
        <v>824</v>
      </c>
      <c r="B124" s="94">
        <v>20</v>
      </c>
      <c r="C124" s="82"/>
      <c r="D124" s="82"/>
      <c r="E124" s="82"/>
      <c r="F124" s="82"/>
      <c r="G124" s="82"/>
      <c r="H124" s="82"/>
      <c r="I124" s="82"/>
    </row>
    <row r="125" spans="1:9" x14ac:dyDescent="0.2">
      <c r="A125" s="91" t="s">
        <v>815</v>
      </c>
      <c r="B125" s="90" t="s">
        <v>816</v>
      </c>
      <c r="C125" s="90" t="s">
        <v>818</v>
      </c>
      <c r="D125" s="90"/>
      <c r="E125" s="90" t="s">
        <v>819</v>
      </c>
      <c r="F125" s="90" t="s">
        <v>838</v>
      </c>
      <c r="G125" s="90" t="s">
        <v>839</v>
      </c>
      <c r="H125" s="90" t="s">
        <v>842</v>
      </c>
      <c r="I125" s="90" t="s">
        <v>843</v>
      </c>
    </row>
    <row r="126" spans="1:9" x14ac:dyDescent="0.2">
      <c r="A126" s="79">
        <v>0</v>
      </c>
      <c r="B126" s="70" t="s">
        <v>208</v>
      </c>
      <c r="C126" s="70" t="s">
        <v>340</v>
      </c>
      <c r="D126" s="70"/>
      <c r="E126" s="71" t="s">
        <v>109</v>
      </c>
      <c r="F126" s="71">
        <v>0</v>
      </c>
      <c r="G126" s="71">
        <v>5000</v>
      </c>
      <c r="H126" s="71">
        <v>20</v>
      </c>
      <c r="I126" s="71"/>
    </row>
    <row r="127" spans="1:9" x14ac:dyDescent="0.2">
      <c r="A127" s="79">
        <v>1</v>
      </c>
      <c r="B127" s="70" t="s">
        <v>208</v>
      </c>
      <c r="C127" s="70" t="s">
        <v>984</v>
      </c>
      <c r="D127" s="70"/>
      <c r="E127" s="71" t="s">
        <v>108</v>
      </c>
      <c r="F127" s="71">
        <v>0</v>
      </c>
      <c r="G127" s="71">
        <v>10000</v>
      </c>
      <c r="H127" s="71">
        <v>2000</v>
      </c>
      <c r="I127" s="71"/>
    </row>
    <row r="128" spans="1:9" x14ac:dyDescent="0.2">
      <c r="A128" s="79">
        <v>2</v>
      </c>
      <c r="B128" s="70" t="s">
        <v>208</v>
      </c>
      <c r="C128" s="70" t="s">
        <v>342</v>
      </c>
      <c r="D128" s="70"/>
      <c r="E128" s="71" t="s">
        <v>110</v>
      </c>
      <c r="F128" s="71">
        <v>0</v>
      </c>
      <c r="G128" s="71">
        <v>1</v>
      </c>
      <c r="H128" s="71">
        <v>1</v>
      </c>
      <c r="I128" s="71"/>
    </row>
    <row r="129" spans="1:9" x14ac:dyDescent="0.2">
      <c r="A129" s="79">
        <v>3</v>
      </c>
      <c r="B129" s="70" t="s">
        <v>208</v>
      </c>
      <c r="C129" s="70" t="s">
        <v>728</v>
      </c>
      <c r="D129" s="70"/>
      <c r="E129" s="71" t="s">
        <v>841</v>
      </c>
      <c r="F129" s="71">
        <v>0</v>
      </c>
      <c r="G129" s="71">
        <v>1023</v>
      </c>
      <c r="H129" s="71">
        <v>512</v>
      </c>
      <c r="I129" s="71"/>
    </row>
    <row r="130" spans="1:9" x14ac:dyDescent="0.2">
      <c r="A130" s="79">
        <v>4</v>
      </c>
      <c r="B130" s="70" t="s">
        <v>208</v>
      </c>
      <c r="C130" s="70" t="s">
        <v>729</v>
      </c>
      <c r="D130" s="70"/>
      <c r="E130" s="71" t="s">
        <v>840</v>
      </c>
      <c r="F130" s="71">
        <v>0</v>
      </c>
      <c r="G130" s="71">
        <v>3</v>
      </c>
      <c r="H130" s="71">
        <v>3</v>
      </c>
      <c r="I130" s="71"/>
    </row>
    <row r="131" spans="1:9" x14ac:dyDescent="0.2">
      <c r="A131" s="79">
        <v>5</v>
      </c>
      <c r="B131" s="70" t="s">
        <v>208</v>
      </c>
      <c r="C131" s="70" t="s">
        <v>723</v>
      </c>
      <c r="D131" s="70"/>
      <c r="E131" s="71" t="s">
        <v>720</v>
      </c>
      <c r="F131" s="71">
        <v>-32</v>
      </c>
      <c r="G131" s="71">
        <v>150</v>
      </c>
      <c r="H131" s="71">
        <v>80</v>
      </c>
      <c r="I131" s="71" t="s">
        <v>877</v>
      </c>
    </row>
    <row r="132" spans="1:9" x14ac:dyDescent="0.2">
      <c r="A132" s="79">
        <v>6</v>
      </c>
      <c r="B132" s="70" t="s">
        <v>208</v>
      </c>
      <c r="C132" s="70" t="s">
        <v>721</v>
      </c>
      <c r="D132" s="70"/>
      <c r="E132" s="71" t="s">
        <v>120</v>
      </c>
      <c r="F132" s="71"/>
      <c r="G132" s="71"/>
      <c r="H132" s="71"/>
      <c r="I132" s="71"/>
    </row>
    <row r="133" spans="1:9" x14ac:dyDescent="0.2">
      <c r="A133" s="79">
        <v>7</v>
      </c>
      <c r="B133" s="70" t="s">
        <v>208</v>
      </c>
      <c r="C133" s="70" t="s">
        <v>722</v>
      </c>
      <c r="D133" s="70"/>
      <c r="E133" s="71" t="s">
        <v>121</v>
      </c>
      <c r="F133" s="71"/>
      <c r="G133" s="71"/>
      <c r="H133" s="71"/>
      <c r="I133" s="173"/>
    </row>
    <row r="134" spans="1:9" x14ac:dyDescent="0.2">
      <c r="A134" s="79">
        <v>8</v>
      </c>
      <c r="B134" s="70" t="s">
        <v>208</v>
      </c>
      <c r="C134" s="70" t="s">
        <v>304</v>
      </c>
      <c r="D134" s="70"/>
      <c r="E134" s="71" t="s">
        <v>459</v>
      </c>
      <c r="F134" s="71">
        <v>0</v>
      </c>
      <c r="G134" s="71">
        <v>28800</v>
      </c>
      <c r="H134" s="71"/>
      <c r="I134" s="71"/>
    </row>
    <row r="135" spans="1:9" ht="17" thickBot="1" x14ac:dyDescent="0.25">
      <c r="A135" s="79">
        <v>9</v>
      </c>
      <c r="B135" s="70" t="s">
        <v>208</v>
      </c>
      <c r="C135" s="70" t="s">
        <v>303</v>
      </c>
      <c r="D135" s="70"/>
      <c r="E135" s="71" t="s">
        <v>18</v>
      </c>
      <c r="F135" s="71"/>
      <c r="G135" s="71"/>
      <c r="H135" s="71"/>
      <c r="I135" s="71"/>
    </row>
    <row r="136" spans="1:9" x14ac:dyDescent="0.2">
      <c r="A136" s="158">
        <v>10</v>
      </c>
      <c r="B136" s="172" t="s">
        <v>208</v>
      </c>
      <c r="C136" s="165" t="s">
        <v>1011</v>
      </c>
      <c r="D136" s="165"/>
      <c r="E136" s="164" t="s">
        <v>873</v>
      </c>
      <c r="F136" s="166"/>
      <c r="G136" s="166"/>
      <c r="H136" s="166"/>
      <c r="I136" s="167" t="s">
        <v>1031</v>
      </c>
    </row>
    <row r="137" spans="1:9" x14ac:dyDescent="0.2">
      <c r="A137" s="79">
        <v>11</v>
      </c>
      <c r="B137" s="70" t="s">
        <v>208</v>
      </c>
      <c r="C137" s="163" t="s">
        <v>1012</v>
      </c>
      <c r="D137" s="163"/>
      <c r="E137" s="164" t="s">
        <v>874</v>
      </c>
      <c r="F137" s="164"/>
      <c r="G137" s="164"/>
      <c r="H137" s="164"/>
      <c r="I137" s="168"/>
    </row>
    <row r="138" spans="1:9" x14ac:dyDescent="0.2">
      <c r="A138" s="79">
        <v>12</v>
      </c>
      <c r="B138" s="70" t="s">
        <v>208</v>
      </c>
      <c r="C138" s="163" t="s">
        <v>1013</v>
      </c>
      <c r="D138" s="163"/>
      <c r="E138" s="164" t="s">
        <v>875</v>
      </c>
      <c r="F138" s="164"/>
      <c r="G138" s="164"/>
      <c r="H138" s="164"/>
      <c r="I138" s="168"/>
    </row>
    <row r="139" spans="1:9" x14ac:dyDescent="0.2">
      <c r="A139" s="79">
        <v>13</v>
      </c>
      <c r="B139" s="70" t="s">
        <v>208</v>
      </c>
      <c r="C139" s="163" t="s">
        <v>1014</v>
      </c>
      <c r="D139" s="163"/>
      <c r="E139" s="164" t="s">
        <v>876</v>
      </c>
      <c r="F139" s="164"/>
      <c r="G139" s="164"/>
      <c r="H139" s="164"/>
      <c r="I139" s="168"/>
    </row>
    <row r="140" spans="1:9" x14ac:dyDescent="0.2">
      <c r="A140" s="79">
        <v>14</v>
      </c>
      <c r="B140" s="70" t="s">
        <v>208</v>
      </c>
      <c r="C140" s="163" t="s">
        <v>1015</v>
      </c>
      <c r="D140" s="163"/>
      <c r="E140" s="164" t="s">
        <v>1023</v>
      </c>
      <c r="F140" s="164"/>
      <c r="G140" s="164"/>
      <c r="H140" s="164"/>
      <c r="I140" s="168"/>
    </row>
    <row r="141" spans="1:9" x14ac:dyDescent="0.2">
      <c r="A141" s="79">
        <v>15</v>
      </c>
      <c r="B141" s="70" t="s">
        <v>208</v>
      </c>
      <c r="C141" s="163" t="s">
        <v>1016</v>
      </c>
      <c r="D141" s="163"/>
      <c r="E141" s="164" t="s">
        <v>1024</v>
      </c>
      <c r="F141" s="164"/>
      <c r="G141" s="164"/>
      <c r="H141" s="164"/>
      <c r="I141" s="168"/>
    </row>
    <row r="142" spans="1:9" x14ac:dyDescent="0.2">
      <c r="A142" s="79">
        <v>16</v>
      </c>
      <c r="B142" s="70" t="s">
        <v>208</v>
      </c>
      <c r="C142" s="163" t="s">
        <v>1017</v>
      </c>
      <c r="D142" s="163"/>
      <c r="E142" s="164" t="s">
        <v>1025</v>
      </c>
      <c r="F142" s="164"/>
      <c r="G142" s="164"/>
      <c r="H142" s="164"/>
      <c r="I142" s="168"/>
    </row>
    <row r="143" spans="1:9" x14ac:dyDescent="0.2">
      <c r="A143" s="79">
        <v>17</v>
      </c>
      <c r="B143" s="70" t="s">
        <v>208</v>
      </c>
      <c r="C143" s="163" t="s">
        <v>1018</v>
      </c>
      <c r="D143" s="163"/>
      <c r="E143" s="164" t="s">
        <v>1026</v>
      </c>
      <c r="F143" s="164"/>
      <c r="G143" s="164"/>
      <c r="H143" s="164"/>
      <c r="I143" s="168"/>
    </row>
    <row r="144" spans="1:9" x14ac:dyDescent="0.2">
      <c r="A144" s="79">
        <v>18</v>
      </c>
      <c r="B144" s="70" t="s">
        <v>208</v>
      </c>
      <c r="C144" s="163" t="s">
        <v>1027</v>
      </c>
      <c r="D144" s="163"/>
      <c r="E144" s="164" t="s">
        <v>1029</v>
      </c>
      <c r="F144" s="164"/>
      <c r="G144" s="164"/>
      <c r="H144" s="164"/>
      <c r="I144" s="168" t="s">
        <v>1050</v>
      </c>
    </row>
    <row r="145" spans="1:24" ht="17" thickBot="1" x14ac:dyDescent="0.25">
      <c r="A145" s="153">
        <v>19</v>
      </c>
      <c r="B145" s="154" t="s">
        <v>208</v>
      </c>
      <c r="C145" s="169" t="s">
        <v>1028</v>
      </c>
      <c r="D145" s="169"/>
      <c r="E145" s="170" t="s">
        <v>1030</v>
      </c>
      <c r="F145" s="170"/>
      <c r="G145" s="170"/>
      <c r="H145" s="170"/>
      <c r="I145" s="171"/>
    </row>
    <row r="146" spans="1:24" ht="17" thickBot="1" x14ac:dyDescent="0.25">
      <c r="I146"/>
    </row>
    <row r="147" spans="1:24" x14ac:dyDescent="0.2">
      <c r="A147" s="107" t="s">
        <v>847</v>
      </c>
      <c r="B147" s="108" t="s">
        <v>882</v>
      </c>
      <c r="C147" s="109"/>
      <c r="D147" s="109"/>
      <c r="E147" s="109"/>
      <c r="F147" s="109"/>
      <c r="G147" s="109"/>
      <c r="H147" s="109"/>
      <c r="I147" s="109"/>
    </row>
    <row r="148" spans="1:24" x14ac:dyDescent="0.2">
      <c r="A148" s="110" t="s">
        <v>848</v>
      </c>
      <c r="B148" s="111" t="s">
        <v>883</v>
      </c>
      <c r="C148" s="112"/>
      <c r="D148" s="112"/>
      <c r="E148" s="112"/>
      <c r="F148" s="112"/>
      <c r="G148" s="112"/>
      <c r="H148" s="112"/>
      <c r="I148" s="112"/>
    </row>
    <row r="149" spans="1:24" x14ac:dyDescent="0.2">
      <c r="A149" s="110" t="s">
        <v>788</v>
      </c>
      <c r="B149" s="111" t="s">
        <v>884</v>
      </c>
      <c r="C149" s="112"/>
      <c r="D149" s="112"/>
      <c r="E149" s="112"/>
      <c r="F149" s="112"/>
      <c r="G149" s="112"/>
      <c r="H149" s="112"/>
      <c r="I149" s="112"/>
    </row>
    <row r="150" spans="1:24" x14ac:dyDescent="0.2">
      <c r="A150" s="110" t="s">
        <v>849</v>
      </c>
      <c r="B150" s="111" t="s">
        <v>845</v>
      </c>
      <c r="C150" s="112"/>
      <c r="D150" s="112"/>
      <c r="E150" s="112"/>
      <c r="F150" s="112"/>
      <c r="G150" s="112"/>
      <c r="H150" s="112"/>
      <c r="I150" s="112"/>
    </row>
    <row r="151" spans="1:24" x14ac:dyDescent="0.2">
      <c r="A151" s="110" t="s">
        <v>1038</v>
      </c>
      <c r="B151" s="111" t="s">
        <v>1039</v>
      </c>
      <c r="C151" s="112"/>
      <c r="D151" s="112"/>
      <c r="E151" s="112"/>
      <c r="F151" s="112"/>
      <c r="G151" s="112"/>
      <c r="H151" s="112"/>
      <c r="I151" s="112"/>
    </row>
    <row r="152" spans="1:24" x14ac:dyDescent="0.2">
      <c r="A152" s="110" t="s">
        <v>1008</v>
      </c>
      <c r="B152" s="111" t="s">
        <v>885</v>
      </c>
      <c r="C152" s="112"/>
      <c r="D152" s="112"/>
      <c r="E152" s="112"/>
      <c r="F152" s="112"/>
      <c r="G152" s="112"/>
      <c r="H152" s="112"/>
      <c r="I152" s="112"/>
    </row>
    <row r="153" spans="1:24" x14ac:dyDescent="0.2">
      <c r="A153" s="110" t="s">
        <v>851</v>
      </c>
      <c r="B153" s="111" t="s">
        <v>821</v>
      </c>
      <c r="C153" s="112"/>
      <c r="D153" s="112"/>
      <c r="E153" s="112"/>
      <c r="F153" s="112"/>
      <c r="G153" s="112"/>
      <c r="H153" s="112"/>
      <c r="I153" s="112"/>
    </row>
    <row r="154" spans="1:24" x14ac:dyDescent="0.2">
      <c r="A154" s="110" t="s">
        <v>852</v>
      </c>
      <c r="B154" s="111"/>
      <c r="C154" s="112"/>
      <c r="D154" s="112"/>
      <c r="E154" s="112"/>
      <c r="F154" s="112"/>
      <c r="G154" s="112"/>
      <c r="H154" s="112"/>
      <c r="I154" s="112"/>
    </row>
    <row r="155" spans="1:24" ht="17" thickBot="1" x14ac:dyDescent="0.25">
      <c r="A155" s="110" t="s">
        <v>824</v>
      </c>
      <c r="B155" s="113">
        <v>2</v>
      </c>
      <c r="C155" s="114"/>
      <c r="D155" s="114"/>
      <c r="E155" s="114"/>
      <c r="F155" s="114"/>
      <c r="G155" s="114"/>
      <c r="H155" s="114"/>
      <c r="I155" s="114"/>
    </row>
    <row r="156" spans="1:24" x14ac:dyDescent="0.2">
      <c r="A156" s="115" t="s">
        <v>815</v>
      </c>
      <c r="B156" s="116" t="s">
        <v>816</v>
      </c>
      <c r="C156" s="116" t="s">
        <v>818</v>
      </c>
      <c r="D156" s="116"/>
      <c r="E156" s="116" t="s">
        <v>819</v>
      </c>
      <c r="F156" s="116" t="s">
        <v>838</v>
      </c>
      <c r="G156" s="116" t="s">
        <v>839</v>
      </c>
      <c r="H156" s="116" t="s">
        <v>842</v>
      </c>
      <c r="I156" s="116" t="s">
        <v>843</v>
      </c>
    </row>
    <row r="157" spans="1:24" x14ac:dyDescent="0.2">
      <c r="A157" s="117">
        <v>0</v>
      </c>
      <c r="B157" s="118" t="s">
        <v>208</v>
      </c>
      <c r="C157" s="118" t="s">
        <v>885</v>
      </c>
      <c r="D157" s="118"/>
      <c r="E157" s="119" t="s">
        <v>886</v>
      </c>
      <c r="F157" s="119">
        <v>0</v>
      </c>
      <c r="G157" s="119">
        <v>4</v>
      </c>
      <c r="H157" s="119">
        <v>1</v>
      </c>
      <c r="I157" s="119"/>
    </row>
    <row r="158" spans="1:24" x14ac:dyDescent="0.2">
      <c r="A158" s="117">
        <v>1</v>
      </c>
      <c r="B158" s="118" t="s">
        <v>208</v>
      </c>
      <c r="C158" s="118" t="s">
        <v>887</v>
      </c>
      <c r="D158" s="118"/>
      <c r="E158" s="119" t="s">
        <v>969</v>
      </c>
      <c r="F158" s="119">
        <v>0</v>
      </c>
      <c r="G158" s="119">
        <v>8</v>
      </c>
      <c r="H158" s="119">
        <v>4</v>
      </c>
      <c r="I158" s="119"/>
    </row>
    <row r="159" spans="1:24" ht="17" thickBot="1" x14ac:dyDescent="0.25">
      <c r="I159"/>
    </row>
    <row r="160" spans="1:24" x14ac:dyDescent="0.2">
      <c r="A160" s="95" t="s">
        <v>847</v>
      </c>
      <c r="B160" s="96" t="s">
        <v>888</v>
      </c>
      <c r="C160" s="97"/>
      <c r="D160" s="97"/>
      <c r="E160" s="97"/>
      <c r="F160" s="97"/>
      <c r="G160" s="97"/>
      <c r="H160" s="97"/>
      <c r="I160" s="97"/>
      <c r="X160" t="s">
        <v>436</v>
      </c>
    </row>
    <row r="161" spans="1:25" ht="19" x14ac:dyDescent="0.25">
      <c r="A161" s="98" t="s">
        <v>848</v>
      </c>
      <c r="B161" s="99" t="s">
        <v>892</v>
      </c>
      <c r="C161" s="57"/>
      <c r="D161" s="57"/>
      <c r="E161" s="57"/>
      <c r="F161" s="57"/>
      <c r="G161" s="57"/>
      <c r="H161" s="57"/>
      <c r="I161" s="57"/>
      <c r="T161" s="19" t="s">
        <v>312</v>
      </c>
      <c r="W161" t="s">
        <v>411</v>
      </c>
    </row>
    <row r="162" spans="1:25" x14ac:dyDescent="0.2">
      <c r="A162" s="98" t="s">
        <v>788</v>
      </c>
      <c r="B162" s="99" t="s">
        <v>893</v>
      </c>
      <c r="C162" s="57"/>
      <c r="D162" s="57"/>
      <c r="E162" s="57"/>
      <c r="F162" s="57"/>
      <c r="G162" s="57"/>
      <c r="H162" s="57"/>
      <c r="I162" s="57"/>
      <c r="T162" s="25" t="s">
        <v>400</v>
      </c>
      <c r="U162" s="25" t="s">
        <v>406</v>
      </c>
      <c r="W162" t="s">
        <v>87</v>
      </c>
      <c r="X162" t="s">
        <v>387</v>
      </c>
      <c r="Y162" t="s">
        <v>206</v>
      </c>
    </row>
    <row r="163" spans="1:25" x14ac:dyDescent="0.2">
      <c r="A163" s="98" t="s">
        <v>849</v>
      </c>
      <c r="B163" s="99" t="s">
        <v>845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384</v>
      </c>
    </row>
    <row r="164" spans="1:25" x14ac:dyDescent="0.2">
      <c r="A164" s="98" t="s">
        <v>1038</v>
      </c>
      <c r="B164" s="99" t="s">
        <v>1039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300</v>
      </c>
      <c r="Y164" t="s">
        <v>206</v>
      </c>
    </row>
    <row r="165" spans="1:25" x14ac:dyDescent="0.2">
      <c r="A165" s="98" t="s">
        <v>1008</v>
      </c>
      <c r="B165" s="99" t="s">
        <v>1010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301</v>
      </c>
      <c r="Y165" t="s">
        <v>206</v>
      </c>
    </row>
    <row r="166" spans="1:25" x14ac:dyDescent="0.2">
      <c r="A166" s="98" t="s">
        <v>851</v>
      </c>
      <c r="B166" s="99" t="s">
        <v>821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302</v>
      </c>
      <c r="Y166" t="s">
        <v>206</v>
      </c>
    </row>
    <row r="167" spans="1:25" x14ac:dyDescent="0.2">
      <c r="A167" s="98" t="s">
        <v>852</v>
      </c>
      <c r="B167" s="99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388</v>
      </c>
      <c r="Y167" t="s">
        <v>206</v>
      </c>
    </row>
    <row r="168" spans="1:25" ht="17" thickBot="1" x14ac:dyDescent="0.25">
      <c r="A168" s="98" t="s">
        <v>824</v>
      </c>
      <c r="B168" s="100">
        <v>2</v>
      </c>
      <c r="C168" s="101"/>
      <c r="D168" s="101"/>
      <c r="E168" s="101"/>
      <c r="F168" s="101"/>
      <c r="G168" s="101"/>
      <c r="H168" s="101"/>
      <c r="I168" s="101"/>
      <c r="T168" s="3" t="s">
        <v>69</v>
      </c>
      <c r="U168" s="6" t="s">
        <v>386</v>
      </c>
      <c r="W168" t="s">
        <v>87</v>
      </c>
      <c r="X168" t="s">
        <v>44</v>
      </c>
      <c r="Y168" t="s">
        <v>206</v>
      </c>
    </row>
    <row r="169" spans="1:25" x14ac:dyDescent="0.2">
      <c r="A169" s="102" t="s">
        <v>815</v>
      </c>
      <c r="B169" s="103" t="s">
        <v>816</v>
      </c>
      <c r="C169" s="103" t="s">
        <v>818</v>
      </c>
      <c r="D169" s="103"/>
      <c r="E169" s="103" t="s">
        <v>819</v>
      </c>
      <c r="F169" s="103" t="s">
        <v>838</v>
      </c>
      <c r="G169" s="103" t="s">
        <v>839</v>
      </c>
      <c r="H169" s="103" t="s">
        <v>842</v>
      </c>
      <c r="I169" s="103" t="s">
        <v>843</v>
      </c>
      <c r="T169" s="3" t="s">
        <v>70</v>
      </c>
      <c r="U169" s="6" t="s">
        <v>705</v>
      </c>
      <c r="W169" t="s">
        <v>87</v>
      </c>
      <c r="X169" t="s">
        <v>44</v>
      </c>
      <c r="Y169" t="s">
        <v>206</v>
      </c>
    </row>
    <row r="170" spans="1:25" x14ac:dyDescent="0.2">
      <c r="A170" s="104">
        <v>0</v>
      </c>
      <c r="B170" s="105" t="s">
        <v>208</v>
      </c>
      <c r="C170" s="105" t="s">
        <v>889</v>
      </c>
      <c r="D170" s="105"/>
      <c r="E170" s="106" t="s">
        <v>890</v>
      </c>
      <c r="F170" s="106">
        <v>0</v>
      </c>
      <c r="G170" s="106">
        <v>4</v>
      </c>
      <c r="H170" s="106">
        <v>1</v>
      </c>
      <c r="I170" s="106"/>
      <c r="T170" s="3" t="s">
        <v>71</v>
      </c>
      <c r="U170" s="6" t="s">
        <v>706</v>
      </c>
      <c r="W170" t="s">
        <v>87</v>
      </c>
      <c r="X170" t="s">
        <v>44</v>
      </c>
      <c r="Y170" t="s">
        <v>206</v>
      </c>
    </row>
    <row r="171" spans="1:25" x14ac:dyDescent="0.2">
      <c r="A171" s="104">
        <v>1</v>
      </c>
      <c r="B171" s="105" t="s">
        <v>208</v>
      </c>
      <c r="C171" s="105" t="s">
        <v>968</v>
      </c>
      <c r="D171" s="105"/>
      <c r="E171" s="106" t="s">
        <v>891</v>
      </c>
      <c r="F171" s="106">
        <v>0</v>
      </c>
      <c r="G171" s="106">
        <v>8</v>
      </c>
      <c r="H171" s="106">
        <v>4</v>
      </c>
      <c r="I171" s="106"/>
      <c r="T171" s="3" t="s">
        <v>72</v>
      </c>
      <c r="U171" s="6" t="s">
        <v>707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708</v>
      </c>
      <c r="W172" t="s">
        <v>87</v>
      </c>
      <c r="X172" t="s">
        <v>44</v>
      </c>
      <c r="Y172" t="s">
        <v>206</v>
      </c>
    </row>
    <row r="173" spans="1:25" x14ac:dyDescent="0.2">
      <c r="A173" s="120" t="s">
        <v>847</v>
      </c>
      <c r="B173" s="121" t="s">
        <v>894</v>
      </c>
      <c r="C173" s="122"/>
      <c r="D173" s="122"/>
      <c r="E173" s="122"/>
      <c r="F173" s="122"/>
      <c r="G173" s="122"/>
      <c r="H173" s="122"/>
      <c r="I173" s="122"/>
      <c r="T173" s="3" t="s">
        <v>74</v>
      </c>
      <c r="U173" s="6" t="s">
        <v>13</v>
      </c>
      <c r="W173" t="s">
        <v>87</v>
      </c>
      <c r="X173" t="s">
        <v>304</v>
      </c>
      <c r="Y173" t="s">
        <v>206</v>
      </c>
    </row>
    <row r="174" spans="1:25" x14ac:dyDescent="0.2">
      <c r="A174" s="123" t="s">
        <v>848</v>
      </c>
      <c r="B174" s="124" t="s">
        <v>895</v>
      </c>
      <c r="C174" s="125"/>
      <c r="D174" s="125"/>
      <c r="E174" s="125"/>
      <c r="F174" s="125"/>
      <c r="G174" s="125"/>
      <c r="H174" s="125"/>
      <c r="I174" s="125"/>
      <c r="T174" s="3" t="s">
        <v>75</v>
      </c>
      <c r="U174" s="6" t="s">
        <v>29</v>
      </c>
      <c r="W174" t="s">
        <v>87</v>
      </c>
      <c r="X174" t="s">
        <v>389</v>
      </c>
      <c r="Y174" t="s">
        <v>206</v>
      </c>
    </row>
    <row r="175" spans="1:25" x14ac:dyDescent="0.2">
      <c r="A175" s="123" t="s">
        <v>788</v>
      </c>
      <c r="B175" s="124" t="s">
        <v>896</v>
      </c>
      <c r="C175" s="125"/>
      <c r="D175" s="125"/>
      <c r="E175" s="125"/>
      <c r="F175" s="125"/>
      <c r="G175" s="125"/>
      <c r="H175" s="125"/>
      <c r="I175" s="125"/>
      <c r="T175" s="3" t="s">
        <v>76</v>
      </c>
      <c r="U175" s="6" t="s">
        <v>385</v>
      </c>
      <c r="W175" t="s">
        <v>87</v>
      </c>
      <c r="X175" t="s">
        <v>305</v>
      </c>
      <c r="Y175" t="s">
        <v>206</v>
      </c>
    </row>
    <row r="176" spans="1:25" x14ac:dyDescent="0.2">
      <c r="A176" s="123" t="s">
        <v>849</v>
      </c>
      <c r="B176" s="124" t="s">
        <v>845</v>
      </c>
      <c r="C176" s="125"/>
      <c r="D176" s="125"/>
      <c r="E176" s="125"/>
      <c r="F176" s="125"/>
      <c r="G176" s="125"/>
      <c r="H176" s="125"/>
      <c r="I176" s="125"/>
      <c r="T176" s="3" t="s">
        <v>77</v>
      </c>
      <c r="U176" s="6" t="s">
        <v>31</v>
      </c>
      <c r="W176" t="s">
        <v>87</v>
      </c>
      <c r="X176" t="s">
        <v>306</v>
      </c>
      <c r="Y176" t="s">
        <v>206</v>
      </c>
    </row>
    <row r="177" spans="1:25" x14ac:dyDescent="0.2">
      <c r="A177" s="123" t="s">
        <v>1038</v>
      </c>
      <c r="B177" s="124" t="s">
        <v>971</v>
      </c>
      <c r="C177" s="125"/>
      <c r="D177" s="125"/>
      <c r="E177" s="125"/>
      <c r="F177" s="125"/>
      <c r="G177" s="125"/>
      <c r="H177" s="125"/>
      <c r="I177" s="125"/>
      <c r="T177" s="3" t="s">
        <v>78</v>
      </c>
      <c r="U177" s="6" t="s">
        <v>32</v>
      </c>
      <c r="W177" t="s">
        <v>87</v>
      </c>
      <c r="X177" t="s">
        <v>307</v>
      </c>
      <c r="Y177" t="s">
        <v>206</v>
      </c>
    </row>
    <row r="178" spans="1:25" x14ac:dyDescent="0.2">
      <c r="A178" s="123" t="s">
        <v>1008</v>
      </c>
      <c r="B178" s="124" t="s">
        <v>1009</v>
      </c>
      <c r="C178" s="125"/>
      <c r="D178" s="125"/>
      <c r="E178" s="125"/>
      <c r="F178" s="125"/>
      <c r="G178" s="125"/>
      <c r="H178" s="125"/>
      <c r="I178" s="125"/>
      <c r="T178" s="3" t="s">
        <v>79</v>
      </c>
      <c r="U178" s="6" t="s">
        <v>33</v>
      </c>
      <c r="W178" t="s">
        <v>87</v>
      </c>
      <c r="X178" t="s">
        <v>308</v>
      </c>
      <c r="Y178" t="s">
        <v>206</v>
      </c>
    </row>
    <row r="179" spans="1:25" x14ac:dyDescent="0.2">
      <c r="A179" s="123" t="s">
        <v>851</v>
      </c>
      <c r="B179" s="124" t="s">
        <v>897</v>
      </c>
      <c r="C179" s="125"/>
      <c r="D179" s="125"/>
      <c r="E179" s="125"/>
      <c r="F179" s="125"/>
      <c r="G179" s="125"/>
      <c r="H179" s="125"/>
      <c r="I179" s="125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3" t="s">
        <v>852</v>
      </c>
      <c r="B180" s="124"/>
      <c r="C180" s="125"/>
      <c r="D180" s="125"/>
      <c r="E180" s="125"/>
      <c r="F180" s="125"/>
      <c r="G180" s="125"/>
      <c r="H180" s="125"/>
      <c r="I180" s="125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3" t="s">
        <v>824</v>
      </c>
      <c r="B181" s="126">
        <v>10</v>
      </c>
      <c r="C181" s="127"/>
      <c r="D181" s="127"/>
      <c r="E181" s="127"/>
      <c r="F181" s="127"/>
      <c r="G181" s="127"/>
      <c r="H181" s="127"/>
      <c r="I181" s="127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8" t="s">
        <v>815</v>
      </c>
      <c r="B182" s="129" t="s">
        <v>816</v>
      </c>
      <c r="C182" s="129" t="s">
        <v>818</v>
      </c>
      <c r="D182" s="129"/>
      <c r="E182" s="131" t="s">
        <v>819</v>
      </c>
      <c r="F182" s="129" t="s">
        <v>838</v>
      </c>
      <c r="G182" s="129" t="s">
        <v>839</v>
      </c>
      <c r="H182" s="129" t="s">
        <v>842</v>
      </c>
      <c r="I182" s="129" t="s">
        <v>843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0">
        <v>0</v>
      </c>
      <c r="B183" s="131" t="s">
        <v>87</v>
      </c>
      <c r="C183" s="131" t="s">
        <v>898</v>
      </c>
      <c r="D183" s="131"/>
      <c r="E183" s="132" t="s">
        <v>113</v>
      </c>
      <c r="F183" s="132">
        <v>0</v>
      </c>
      <c r="G183" s="132">
        <v>50</v>
      </c>
      <c r="H183" s="132">
        <v>10</v>
      </c>
      <c r="I183" s="132" t="s">
        <v>902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0">
        <v>1</v>
      </c>
      <c r="B184" s="131" t="s">
        <v>87</v>
      </c>
      <c r="C184" s="131" t="s">
        <v>899</v>
      </c>
      <c r="D184" s="131"/>
      <c r="E184" s="132" t="s">
        <v>114</v>
      </c>
      <c r="F184" s="132">
        <v>0</v>
      </c>
      <c r="G184" s="132">
        <v>5000</v>
      </c>
      <c r="H184" s="132">
        <v>2000</v>
      </c>
      <c r="I184" s="132" t="s">
        <v>903</v>
      </c>
      <c r="T184" s="3" t="s">
        <v>85</v>
      </c>
      <c r="U184" s="6" t="s">
        <v>13</v>
      </c>
      <c r="W184" t="s">
        <v>207</v>
      </c>
    </row>
    <row r="185" spans="1:25" x14ac:dyDescent="0.2">
      <c r="A185" s="130">
        <v>2</v>
      </c>
      <c r="B185" s="131" t="s">
        <v>87</v>
      </c>
      <c r="C185" s="131" t="s">
        <v>900</v>
      </c>
      <c r="D185" s="131"/>
      <c r="E185" s="132" t="s">
        <v>115</v>
      </c>
      <c r="F185" s="132">
        <v>0</v>
      </c>
      <c r="G185" s="132">
        <v>100</v>
      </c>
      <c r="H185" s="132">
        <v>50</v>
      </c>
      <c r="I185" s="132" t="s">
        <v>115</v>
      </c>
      <c r="T185" s="3" t="s">
        <v>1</v>
      </c>
      <c r="U185" s="6"/>
      <c r="X185" t="s">
        <v>339</v>
      </c>
    </row>
    <row r="186" spans="1:25" x14ac:dyDescent="0.2">
      <c r="A186" s="130">
        <v>3</v>
      </c>
      <c r="B186" s="131" t="s">
        <v>87</v>
      </c>
      <c r="C186" s="131" t="s">
        <v>901</v>
      </c>
      <c r="D186" s="131"/>
      <c r="E186" s="132" t="s">
        <v>116</v>
      </c>
      <c r="F186" s="132">
        <v>-5</v>
      </c>
      <c r="G186" s="132">
        <v>125</v>
      </c>
      <c r="H186" s="132">
        <v>80</v>
      </c>
      <c r="I186" s="132" t="s">
        <v>862</v>
      </c>
      <c r="T186" s="3" t="s">
        <v>0</v>
      </c>
      <c r="U186" s="6"/>
    </row>
    <row r="187" spans="1:25" ht="15" customHeight="1" x14ac:dyDescent="0.2">
      <c r="A187" s="130">
        <v>4</v>
      </c>
      <c r="B187" s="131" t="s">
        <v>87</v>
      </c>
      <c r="C187" s="131" t="s">
        <v>985</v>
      </c>
      <c r="D187" s="131"/>
      <c r="E187" s="132" t="s">
        <v>989</v>
      </c>
      <c r="F187" s="132">
        <v>0</v>
      </c>
      <c r="G187" s="132">
        <v>1</v>
      </c>
      <c r="H187" s="132">
        <v>1</v>
      </c>
      <c r="I187" s="132" t="s">
        <v>904</v>
      </c>
      <c r="T187" s="8" t="s">
        <v>87</v>
      </c>
      <c r="U187" s="3" t="s">
        <v>425</v>
      </c>
    </row>
    <row r="188" spans="1:25" ht="17" thickBot="1" x14ac:dyDescent="0.25">
      <c r="A188" s="130">
        <v>5</v>
      </c>
      <c r="B188" s="131" t="s">
        <v>87</v>
      </c>
      <c r="C188" s="131" t="s">
        <v>988</v>
      </c>
      <c r="D188" s="131"/>
      <c r="E188" s="132" t="s">
        <v>990</v>
      </c>
      <c r="F188" s="132">
        <v>1</v>
      </c>
      <c r="G188" s="132">
        <v>22</v>
      </c>
      <c r="H188" s="132">
        <v>1</v>
      </c>
      <c r="I188" s="132" t="s">
        <v>905</v>
      </c>
      <c r="T188" s="4" t="s">
        <v>1</v>
      </c>
      <c r="U188" s="7"/>
    </row>
    <row r="189" spans="1:25" x14ac:dyDescent="0.2">
      <c r="A189" s="130">
        <v>6</v>
      </c>
      <c r="B189" s="131" t="s">
        <v>87</v>
      </c>
      <c r="C189" s="131" t="s">
        <v>986</v>
      </c>
      <c r="D189" s="131"/>
      <c r="E189" s="132" t="s">
        <v>991</v>
      </c>
      <c r="F189" s="132">
        <v>0</v>
      </c>
      <c r="G189" s="132">
        <v>1</v>
      </c>
      <c r="H189" s="132">
        <v>1</v>
      </c>
      <c r="I189" s="132"/>
    </row>
    <row r="190" spans="1:25" x14ac:dyDescent="0.2">
      <c r="A190" s="130">
        <v>7</v>
      </c>
      <c r="B190" s="131" t="s">
        <v>87</v>
      </c>
      <c r="C190" s="131" t="s">
        <v>987</v>
      </c>
      <c r="D190" s="131"/>
      <c r="E190" s="132" t="s">
        <v>992</v>
      </c>
      <c r="F190" s="132">
        <v>1</v>
      </c>
      <c r="G190" s="132">
        <v>22</v>
      </c>
      <c r="H190" s="132">
        <v>1</v>
      </c>
      <c r="I190" s="132"/>
    </row>
    <row r="191" spans="1:25" x14ac:dyDescent="0.2">
      <c r="A191" s="130">
        <v>8</v>
      </c>
      <c r="B191" s="131" t="s">
        <v>87</v>
      </c>
      <c r="C191" s="125" t="s">
        <v>304</v>
      </c>
      <c r="D191" s="131"/>
      <c r="E191" s="132" t="s">
        <v>459</v>
      </c>
      <c r="F191" s="132">
        <v>0</v>
      </c>
      <c r="G191" s="132">
        <v>28800</v>
      </c>
      <c r="H191" s="132"/>
      <c r="I191" s="132"/>
      <c r="X191" t="s">
        <v>437</v>
      </c>
    </row>
    <row r="192" spans="1:25" ht="19" x14ac:dyDescent="0.25">
      <c r="A192" s="130">
        <v>9</v>
      </c>
      <c r="B192" s="131" t="s">
        <v>87</v>
      </c>
      <c r="C192" s="131" t="s">
        <v>303</v>
      </c>
      <c r="D192" s="131"/>
      <c r="E192" s="132" t="s">
        <v>18</v>
      </c>
      <c r="F192" s="132"/>
      <c r="G192" s="132"/>
      <c r="H192" s="132"/>
      <c r="I192" s="132"/>
      <c r="T192" s="20" t="s">
        <v>313</v>
      </c>
      <c r="W192" t="s">
        <v>429</v>
      </c>
    </row>
    <row r="193" spans="1:21" ht="17" thickBot="1" x14ac:dyDescent="0.25">
      <c r="I193"/>
      <c r="T193" s="25" t="s">
        <v>399</v>
      </c>
      <c r="U193" s="25" t="s">
        <v>407</v>
      </c>
    </row>
    <row r="194" spans="1:21" x14ac:dyDescent="0.2">
      <c r="A194" s="107" t="s">
        <v>847</v>
      </c>
      <c r="B194" s="108" t="s">
        <v>993</v>
      </c>
      <c r="C194" s="109"/>
      <c r="D194" s="109"/>
      <c r="E194" s="109"/>
      <c r="F194" s="109"/>
      <c r="G194" s="109"/>
      <c r="H194" s="109"/>
      <c r="I194" s="109"/>
      <c r="T194" s="25"/>
      <c r="U194" s="25"/>
    </row>
    <row r="195" spans="1:21" x14ac:dyDescent="0.2">
      <c r="A195" s="110" t="s">
        <v>848</v>
      </c>
      <c r="B195" s="111" t="s">
        <v>994</v>
      </c>
      <c r="C195" s="112"/>
      <c r="D195" s="112"/>
      <c r="E195" s="112"/>
      <c r="F195" s="112"/>
      <c r="G195" s="112"/>
      <c r="H195" s="112"/>
      <c r="I195" s="112"/>
      <c r="T195" s="25"/>
      <c r="U195" s="25"/>
    </row>
    <row r="196" spans="1:21" x14ac:dyDescent="0.2">
      <c r="A196" s="110" t="s">
        <v>788</v>
      </c>
      <c r="B196" s="111" t="s">
        <v>995</v>
      </c>
      <c r="C196" s="112"/>
      <c r="D196" s="112"/>
      <c r="E196" s="112"/>
      <c r="F196" s="112"/>
      <c r="G196" s="112"/>
      <c r="H196" s="112"/>
      <c r="I196" s="112"/>
      <c r="T196" s="25"/>
      <c r="U196" s="25"/>
    </row>
    <row r="197" spans="1:21" x14ac:dyDescent="0.2">
      <c r="A197" s="110" t="s">
        <v>849</v>
      </c>
      <c r="B197" s="111" t="s">
        <v>1005</v>
      </c>
      <c r="C197" s="112"/>
      <c r="D197" s="112"/>
      <c r="E197" s="112"/>
      <c r="F197" s="112"/>
      <c r="G197" s="112"/>
      <c r="H197" s="112"/>
      <c r="I197" s="112"/>
      <c r="T197" s="25"/>
      <c r="U197" s="25"/>
    </row>
    <row r="198" spans="1:21" x14ac:dyDescent="0.2">
      <c r="A198" s="110" t="s">
        <v>850</v>
      </c>
      <c r="B198" s="111" t="s">
        <v>981</v>
      </c>
      <c r="C198" s="112"/>
      <c r="D198" s="112"/>
      <c r="E198" s="112"/>
      <c r="F198" s="112"/>
      <c r="G198" s="112"/>
      <c r="H198" s="112"/>
      <c r="I198" s="112"/>
      <c r="T198" s="25"/>
      <c r="U198" s="25"/>
    </row>
    <row r="199" spans="1:21" x14ac:dyDescent="0.2">
      <c r="A199" s="110" t="s">
        <v>1038</v>
      </c>
      <c r="B199" s="111" t="s">
        <v>1039</v>
      </c>
      <c r="C199" s="112"/>
      <c r="D199" s="112"/>
      <c r="E199" s="112"/>
      <c r="F199" s="112"/>
      <c r="G199" s="112"/>
      <c r="H199" s="112"/>
      <c r="I199" s="112"/>
      <c r="T199" s="25"/>
      <c r="U199" s="25"/>
    </row>
    <row r="200" spans="1:21" x14ac:dyDescent="0.2">
      <c r="A200" s="110" t="s">
        <v>851</v>
      </c>
      <c r="B200" s="111" t="s">
        <v>1007</v>
      </c>
      <c r="C200" s="112"/>
      <c r="D200" s="112"/>
      <c r="E200" s="112"/>
      <c r="F200" s="112"/>
      <c r="G200" s="112"/>
      <c r="H200" s="112"/>
      <c r="I200" s="112"/>
      <c r="T200" s="25"/>
      <c r="U200" s="25"/>
    </row>
    <row r="201" spans="1:21" x14ac:dyDescent="0.2">
      <c r="A201" s="110" t="s">
        <v>852</v>
      </c>
      <c r="B201" s="111" t="s">
        <v>1036</v>
      </c>
      <c r="C201" s="112"/>
      <c r="D201" s="112"/>
      <c r="E201" s="112"/>
      <c r="F201" s="112"/>
      <c r="G201" s="112"/>
      <c r="H201" s="112"/>
      <c r="I201" s="112"/>
      <c r="T201" s="25"/>
      <c r="U201" s="25"/>
    </row>
    <row r="202" spans="1:21" ht="17" thickBot="1" x14ac:dyDescent="0.25">
      <c r="A202" s="110" t="s">
        <v>824</v>
      </c>
      <c r="B202" s="113">
        <v>7</v>
      </c>
      <c r="C202" s="114"/>
      <c r="D202" s="114"/>
      <c r="E202" s="114"/>
      <c r="F202" s="114"/>
      <c r="G202" s="114"/>
      <c r="H202" s="114"/>
      <c r="I202" s="114" t="s">
        <v>1000</v>
      </c>
      <c r="T202" s="25"/>
      <c r="U202" s="25"/>
    </row>
    <row r="203" spans="1:21" x14ac:dyDescent="0.2">
      <c r="A203" s="115" t="s">
        <v>815</v>
      </c>
      <c r="B203" s="116" t="s">
        <v>816</v>
      </c>
      <c r="C203" s="116" t="s">
        <v>818</v>
      </c>
      <c r="D203" s="116"/>
      <c r="E203" s="116" t="s">
        <v>819</v>
      </c>
      <c r="F203" s="116" t="s">
        <v>838</v>
      </c>
      <c r="G203" s="116" t="s">
        <v>839</v>
      </c>
      <c r="H203" s="116" t="s">
        <v>842</v>
      </c>
      <c r="I203" s="116" t="s">
        <v>843</v>
      </c>
      <c r="T203" s="25"/>
      <c r="U203" s="25"/>
    </row>
    <row r="204" spans="1:21" x14ac:dyDescent="0.2">
      <c r="A204" s="117">
        <v>0</v>
      </c>
      <c r="B204" s="118" t="s">
        <v>1002</v>
      </c>
      <c r="C204" s="118" t="s">
        <v>1003</v>
      </c>
      <c r="D204" s="118"/>
      <c r="E204" s="119" t="s">
        <v>886</v>
      </c>
      <c r="F204" s="119"/>
      <c r="G204" s="119"/>
      <c r="H204" s="119"/>
      <c r="I204" s="119" t="s">
        <v>999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5" t="s">
        <v>847</v>
      </c>
      <c r="B206" s="96" t="s">
        <v>996</v>
      </c>
      <c r="C206" s="97"/>
      <c r="D206" s="97"/>
      <c r="E206" s="97"/>
      <c r="F206" s="97"/>
      <c r="G206" s="97"/>
      <c r="H206" s="97"/>
      <c r="I206" s="97"/>
      <c r="T206" s="25"/>
      <c r="U206" s="25"/>
    </row>
    <row r="207" spans="1:21" x14ac:dyDescent="0.2">
      <c r="A207" s="98" t="s">
        <v>848</v>
      </c>
      <c r="B207" s="99" t="s">
        <v>997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8" t="s">
        <v>788</v>
      </c>
      <c r="B208" s="99" t="s">
        <v>998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8" t="s">
        <v>849</v>
      </c>
      <c r="B209" s="99" t="s">
        <v>1005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8" t="s">
        <v>1038</v>
      </c>
      <c r="B210" s="99" t="s">
        <v>1039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8" t="s">
        <v>1008</v>
      </c>
      <c r="B211" s="99" t="s">
        <v>1010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8" t="s">
        <v>851</v>
      </c>
      <c r="B212" s="99" t="s">
        <v>1007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8" t="s">
        <v>852</v>
      </c>
      <c r="B213" s="99" t="s">
        <v>1037</v>
      </c>
      <c r="C213" s="57"/>
      <c r="D213" s="57"/>
      <c r="E213" s="57"/>
      <c r="F213" s="57"/>
      <c r="G213" s="57"/>
      <c r="H213" s="57"/>
      <c r="I213" s="57" t="s">
        <v>1006</v>
      </c>
      <c r="T213" s="25"/>
      <c r="U213" s="25"/>
    </row>
    <row r="214" spans="1:25" ht="17" thickBot="1" x14ac:dyDescent="0.25">
      <c r="A214" s="98" t="s">
        <v>824</v>
      </c>
      <c r="B214" s="100">
        <v>255</v>
      </c>
      <c r="C214" s="101"/>
      <c r="D214" s="101"/>
      <c r="E214" s="101"/>
      <c r="F214" s="101"/>
      <c r="G214" s="101"/>
      <c r="H214" s="101"/>
      <c r="I214" s="101" t="s">
        <v>1001</v>
      </c>
      <c r="T214" s="25"/>
      <c r="U214" s="25"/>
    </row>
    <row r="215" spans="1:25" x14ac:dyDescent="0.2">
      <c r="A215" s="102" t="s">
        <v>815</v>
      </c>
      <c r="B215" s="103" t="s">
        <v>816</v>
      </c>
      <c r="C215" s="103" t="s">
        <v>818</v>
      </c>
      <c r="D215" s="103"/>
      <c r="E215" s="103" t="s">
        <v>819</v>
      </c>
      <c r="F215" s="103" t="s">
        <v>838</v>
      </c>
      <c r="G215" s="103" t="s">
        <v>839</v>
      </c>
      <c r="H215" s="103" t="s">
        <v>842</v>
      </c>
      <c r="I215" s="103" t="s">
        <v>843</v>
      </c>
      <c r="T215" s="25"/>
      <c r="U215" s="25"/>
    </row>
    <row r="216" spans="1:25" x14ac:dyDescent="0.2">
      <c r="A216" s="104">
        <v>0</v>
      </c>
      <c r="B216" s="105" t="s">
        <v>1002</v>
      </c>
      <c r="C216" s="105" t="s">
        <v>1004</v>
      </c>
      <c r="D216" s="105"/>
      <c r="E216" s="106" t="s">
        <v>890</v>
      </c>
      <c r="F216" s="106"/>
      <c r="G216" s="106"/>
      <c r="H216" s="106"/>
      <c r="I216" s="106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412</v>
      </c>
      <c r="Y217" t="s">
        <v>206</v>
      </c>
    </row>
    <row r="218" spans="1:25" x14ac:dyDescent="0.2">
      <c r="A218" s="120" t="s">
        <v>847</v>
      </c>
      <c r="B218" s="121" t="s">
        <v>906</v>
      </c>
      <c r="C218" s="122"/>
      <c r="D218" s="122"/>
      <c r="E218" s="122"/>
      <c r="F218" s="122"/>
      <c r="G218" s="122"/>
      <c r="H218" s="122"/>
      <c r="I218" s="122"/>
      <c r="T218" s="3" t="s">
        <v>86</v>
      </c>
      <c r="U218" s="6" t="s">
        <v>390</v>
      </c>
      <c r="W218" t="s">
        <v>87</v>
      </c>
      <c r="X218" t="s">
        <v>413</v>
      </c>
      <c r="Y218" t="s">
        <v>206</v>
      </c>
    </row>
    <row r="219" spans="1:25" x14ac:dyDescent="0.2">
      <c r="A219" s="123" t="s">
        <v>848</v>
      </c>
      <c r="B219" s="124" t="s">
        <v>907</v>
      </c>
      <c r="C219" s="125"/>
      <c r="D219" s="125"/>
      <c r="E219" s="125"/>
      <c r="F219" s="125"/>
      <c r="G219" s="125"/>
      <c r="H219" s="125"/>
      <c r="I219" s="125"/>
      <c r="T219" s="3" t="s">
        <v>88</v>
      </c>
      <c r="U219" s="6" t="s">
        <v>391</v>
      </c>
      <c r="W219" t="s">
        <v>87</v>
      </c>
      <c r="X219" t="s">
        <v>414</v>
      </c>
      <c r="Y219" t="s">
        <v>206</v>
      </c>
    </row>
    <row r="220" spans="1:25" x14ac:dyDescent="0.2">
      <c r="A220" s="123" t="s">
        <v>788</v>
      </c>
      <c r="B220" s="124" t="s">
        <v>908</v>
      </c>
      <c r="C220" s="125"/>
      <c r="D220" s="125"/>
      <c r="E220" s="125"/>
      <c r="F220" s="125"/>
      <c r="G220" s="125"/>
      <c r="H220" s="125"/>
      <c r="I220" s="125"/>
      <c r="T220" s="3" t="s">
        <v>67</v>
      </c>
      <c r="U220" s="6" t="s">
        <v>392</v>
      </c>
      <c r="W220" t="s">
        <v>87</v>
      </c>
      <c r="X220" t="s">
        <v>415</v>
      </c>
      <c r="Y220" t="s">
        <v>206</v>
      </c>
    </row>
    <row r="221" spans="1:25" x14ac:dyDescent="0.2">
      <c r="A221" s="123" t="s">
        <v>849</v>
      </c>
      <c r="B221" s="124" t="s">
        <v>857</v>
      </c>
      <c r="C221" s="125"/>
      <c r="D221" s="125"/>
      <c r="E221" s="125"/>
      <c r="F221" s="125"/>
      <c r="G221" s="125"/>
      <c r="H221" s="125"/>
      <c r="I221" s="125"/>
      <c r="T221" s="3" t="s">
        <v>68</v>
      </c>
      <c r="U221" s="6" t="s">
        <v>393</v>
      </c>
      <c r="W221" t="s">
        <v>87</v>
      </c>
      <c r="X221" t="s">
        <v>309</v>
      </c>
      <c r="Y221" t="s">
        <v>206</v>
      </c>
    </row>
    <row r="222" spans="1:25" x14ac:dyDescent="0.2">
      <c r="A222" s="123" t="s">
        <v>1038</v>
      </c>
      <c r="B222" s="124" t="s">
        <v>971</v>
      </c>
      <c r="C222" s="125"/>
      <c r="D222" s="125"/>
      <c r="E222" s="125"/>
      <c r="F222" s="125"/>
      <c r="G222" s="125"/>
      <c r="H222" s="125"/>
      <c r="I222" s="125"/>
      <c r="T222" s="3" t="s">
        <v>69</v>
      </c>
      <c r="U222" s="6" t="s">
        <v>394</v>
      </c>
      <c r="W222" t="s">
        <v>87</v>
      </c>
      <c r="X222" t="s">
        <v>416</v>
      </c>
      <c r="Y222" t="s">
        <v>206</v>
      </c>
    </row>
    <row r="223" spans="1:25" x14ac:dyDescent="0.2">
      <c r="A223" s="123" t="s">
        <v>1008</v>
      </c>
      <c r="B223" s="124" t="s">
        <v>1009</v>
      </c>
      <c r="C223" s="125"/>
      <c r="D223" s="125"/>
      <c r="E223" s="125"/>
      <c r="F223" s="125"/>
      <c r="G223" s="125"/>
      <c r="H223" s="125"/>
      <c r="I223" s="125"/>
      <c r="T223" s="3" t="s">
        <v>70</v>
      </c>
      <c r="U223" s="6" t="s">
        <v>395</v>
      </c>
      <c r="W223" t="s">
        <v>87</v>
      </c>
      <c r="X223" t="s">
        <v>417</v>
      </c>
      <c r="Y223" t="s">
        <v>206</v>
      </c>
    </row>
    <row r="224" spans="1:25" x14ac:dyDescent="0.2">
      <c r="A224" s="123" t="s">
        <v>851</v>
      </c>
      <c r="B224" s="124" t="s">
        <v>909</v>
      </c>
      <c r="C224" s="125"/>
      <c r="D224" s="125"/>
      <c r="E224" s="125"/>
      <c r="F224" s="125"/>
      <c r="G224" s="125"/>
      <c r="H224" s="125"/>
      <c r="I224" s="125"/>
      <c r="T224" s="3" t="s">
        <v>71</v>
      </c>
      <c r="U224" s="6" t="s">
        <v>396</v>
      </c>
      <c r="W224" t="s">
        <v>87</v>
      </c>
      <c r="X224" t="s">
        <v>215</v>
      </c>
      <c r="Y224" t="s">
        <v>206</v>
      </c>
    </row>
    <row r="225" spans="1:25" x14ac:dyDescent="0.2">
      <c r="A225" s="123" t="s">
        <v>852</v>
      </c>
      <c r="B225" s="124"/>
      <c r="C225" s="125"/>
      <c r="D225" s="125"/>
      <c r="E225" s="125"/>
      <c r="F225" s="125"/>
      <c r="G225" s="125"/>
      <c r="H225" s="125"/>
      <c r="I225" s="125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3" t="s">
        <v>824</v>
      </c>
      <c r="B226" s="126">
        <v>10</v>
      </c>
      <c r="C226" s="127"/>
      <c r="D226" s="127"/>
      <c r="E226" s="127"/>
      <c r="F226" s="127"/>
      <c r="G226" s="127"/>
      <c r="H226" s="127"/>
      <c r="I226" s="127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8" t="s">
        <v>815</v>
      </c>
      <c r="B227" s="129" t="s">
        <v>816</v>
      </c>
      <c r="C227" s="129" t="s">
        <v>818</v>
      </c>
      <c r="D227" s="129"/>
      <c r="E227" s="131" t="s">
        <v>819</v>
      </c>
      <c r="F227" s="129" t="s">
        <v>838</v>
      </c>
      <c r="G227" s="129" t="s">
        <v>839</v>
      </c>
      <c r="H227" s="129" t="s">
        <v>842</v>
      </c>
      <c r="I227" s="129" t="s">
        <v>843</v>
      </c>
      <c r="T227" s="3" t="s">
        <v>74</v>
      </c>
      <c r="U227" s="6" t="s">
        <v>44</v>
      </c>
      <c r="W227" t="s">
        <v>87</v>
      </c>
      <c r="X227" t="s">
        <v>371</v>
      </c>
      <c r="Y227" t="s">
        <v>206</v>
      </c>
    </row>
    <row r="228" spans="1:25" x14ac:dyDescent="0.2">
      <c r="A228" s="130">
        <v>0</v>
      </c>
      <c r="B228" s="131" t="s">
        <v>87</v>
      </c>
      <c r="C228" s="131" t="s">
        <v>387</v>
      </c>
      <c r="D228" s="131"/>
      <c r="E228" s="132" t="s">
        <v>384</v>
      </c>
      <c r="F228" s="132"/>
      <c r="G228" s="132"/>
      <c r="H228" s="132"/>
      <c r="I228" s="132"/>
      <c r="T228" s="3" t="s">
        <v>75</v>
      </c>
      <c r="U228" s="6" t="s">
        <v>397</v>
      </c>
      <c r="W228" t="s">
        <v>87</v>
      </c>
      <c r="X228" t="s">
        <v>219</v>
      </c>
      <c r="Y228" t="s">
        <v>206</v>
      </c>
    </row>
    <row r="229" spans="1:25" x14ac:dyDescent="0.2">
      <c r="A229" s="130">
        <v>1</v>
      </c>
      <c r="B229" s="131" t="s">
        <v>87</v>
      </c>
      <c r="C229" s="131" t="s">
        <v>300</v>
      </c>
      <c r="D229" s="131"/>
      <c r="E229" s="132" t="s">
        <v>20</v>
      </c>
      <c r="F229" s="132"/>
      <c r="G229" s="132"/>
      <c r="H229" s="132"/>
      <c r="I229" s="132"/>
      <c r="T229" s="3" t="s">
        <v>76</v>
      </c>
      <c r="U229" s="6" t="s">
        <v>44</v>
      </c>
      <c r="W229" t="s">
        <v>87</v>
      </c>
      <c r="X229" t="s">
        <v>304</v>
      </c>
      <c r="Y229" t="s">
        <v>206</v>
      </c>
    </row>
    <row r="230" spans="1:25" x14ac:dyDescent="0.2">
      <c r="A230" s="130">
        <v>2</v>
      </c>
      <c r="B230" s="131" t="s">
        <v>87</v>
      </c>
      <c r="C230" s="131" t="s">
        <v>301</v>
      </c>
      <c r="D230" s="131"/>
      <c r="E230" s="132" t="s">
        <v>21</v>
      </c>
      <c r="F230" s="132"/>
      <c r="G230" s="132"/>
      <c r="H230" s="132"/>
      <c r="I230" s="132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0">
        <v>3</v>
      </c>
      <c r="B231" s="131" t="s">
        <v>87</v>
      </c>
      <c r="C231" s="131" t="s">
        <v>302</v>
      </c>
      <c r="D231" s="131"/>
      <c r="E231" s="132" t="s">
        <v>22</v>
      </c>
      <c r="F231" s="132"/>
      <c r="G231" s="132"/>
      <c r="H231" s="132"/>
      <c r="I231" s="132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0">
        <v>4</v>
      </c>
      <c r="B232" s="131" t="s">
        <v>87</v>
      </c>
      <c r="C232" s="131" t="s">
        <v>388</v>
      </c>
      <c r="D232" s="131"/>
      <c r="E232" s="132" t="s">
        <v>386</v>
      </c>
      <c r="F232" s="132"/>
      <c r="G232" s="132"/>
      <c r="H232" s="132"/>
      <c r="I232" s="132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0">
        <v>5</v>
      </c>
      <c r="B233" s="131" t="s">
        <v>87</v>
      </c>
      <c r="C233" s="125" t="s">
        <v>389</v>
      </c>
      <c r="D233" s="131"/>
      <c r="E233" s="132" t="s">
        <v>385</v>
      </c>
      <c r="F233" s="132"/>
      <c r="G233" s="132"/>
      <c r="H233" s="132"/>
      <c r="I233" s="132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0">
        <v>6</v>
      </c>
      <c r="B234" s="131" t="s">
        <v>87</v>
      </c>
      <c r="C234" s="131" t="s">
        <v>910</v>
      </c>
      <c r="D234" s="131"/>
      <c r="E234" s="132" t="s">
        <v>912</v>
      </c>
      <c r="F234" s="132"/>
      <c r="G234" s="132"/>
      <c r="H234" s="132"/>
      <c r="I234" s="132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0">
        <v>7</v>
      </c>
      <c r="B235" s="131" t="s">
        <v>87</v>
      </c>
      <c r="C235" s="131" t="s">
        <v>911</v>
      </c>
      <c r="D235" s="131"/>
      <c r="E235" s="132" t="s">
        <v>913</v>
      </c>
      <c r="F235" s="132"/>
      <c r="G235" s="132"/>
      <c r="H235" s="132"/>
      <c r="I235" s="132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0">
        <v>8</v>
      </c>
      <c r="B236" s="131" t="s">
        <v>87</v>
      </c>
      <c r="C236" s="125" t="s">
        <v>304</v>
      </c>
      <c r="D236" s="131"/>
      <c r="E236" s="132" t="s">
        <v>29</v>
      </c>
      <c r="F236" s="132">
        <v>0</v>
      </c>
      <c r="G236" s="132">
        <v>28800</v>
      </c>
      <c r="H236" s="132"/>
      <c r="I236" s="132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0">
        <v>9</v>
      </c>
      <c r="B237" s="131" t="s">
        <v>87</v>
      </c>
      <c r="C237" s="131" t="s">
        <v>303</v>
      </c>
      <c r="D237" s="131"/>
      <c r="E237" s="132" t="s">
        <v>18</v>
      </c>
      <c r="F237" s="132"/>
      <c r="G237" s="132"/>
      <c r="H237" s="132"/>
      <c r="I237" s="132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0" t="s">
        <v>847</v>
      </c>
      <c r="B239" s="121" t="s">
        <v>915</v>
      </c>
      <c r="C239" s="122"/>
      <c r="D239" s="122"/>
      <c r="E239" s="122"/>
      <c r="F239" s="122"/>
      <c r="G239" s="122"/>
      <c r="H239" s="122"/>
      <c r="I239" s="122"/>
      <c r="T239" s="3" t="s">
        <v>1</v>
      </c>
      <c r="U239" s="6"/>
    </row>
    <row r="240" spans="1:25" x14ac:dyDescent="0.2">
      <c r="A240" s="123" t="s">
        <v>848</v>
      </c>
      <c r="B240" s="124" t="s">
        <v>914</v>
      </c>
      <c r="C240" s="125"/>
      <c r="D240" s="125"/>
      <c r="E240" s="125"/>
      <c r="F240" s="125"/>
      <c r="G240" s="125"/>
      <c r="H240" s="125"/>
      <c r="I240" s="125"/>
      <c r="T240" s="3" t="s">
        <v>0</v>
      </c>
      <c r="U240" s="6"/>
    </row>
    <row r="241" spans="1:25" ht="29" customHeight="1" x14ac:dyDescent="0.2">
      <c r="A241" s="123" t="s">
        <v>788</v>
      </c>
      <c r="B241" s="124" t="s">
        <v>916</v>
      </c>
      <c r="C241" s="125"/>
      <c r="D241" s="125"/>
      <c r="E241" s="125"/>
      <c r="F241" s="125"/>
      <c r="G241" s="125"/>
      <c r="H241" s="125"/>
      <c r="I241" s="125"/>
      <c r="T241" s="8" t="s">
        <v>87</v>
      </c>
      <c r="U241" s="3" t="s">
        <v>426</v>
      </c>
    </row>
    <row r="242" spans="1:25" ht="17" thickBot="1" x14ac:dyDescent="0.25">
      <c r="A242" s="123" t="s">
        <v>849</v>
      </c>
      <c r="B242" s="124" t="s">
        <v>860</v>
      </c>
      <c r="C242" s="125"/>
      <c r="D242" s="125"/>
      <c r="E242" s="125"/>
      <c r="F242" s="125"/>
      <c r="G242" s="125"/>
      <c r="H242" s="125"/>
      <c r="I242" s="125"/>
      <c r="T242" s="4" t="s">
        <v>1</v>
      </c>
      <c r="U242" s="7"/>
    </row>
    <row r="243" spans="1:25" x14ac:dyDescent="0.2">
      <c r="A243" s="123" t="s">
        <v>1038</v>
      </c>
      <c r="B243" s="124" t="s">
        <v>971</v>
      </c>
      <c r="C243" s="125"/>
      <c r="D243" s="125"/>
      <c r="E243" s="125"/>
      <c r="F243" s="125"/>
      <c r="G243" s="125"/>
      <c r="H243" s="125"/>
      <c r="I243" s="125"/>
    </row>
    <row r="244" spans="1:25" x14ac:dyDescent="0.2">
      <c r="A244" s="123" t="s">
        <v>1008</v>
      </c>
      <c r="B244" s="124" t="s">
        <v>1009</v>
      </c>
      <c r="C244" s="125"/>
      <c r="D244" s="125"/>
      <c r="E244" s="125"/>
      <c r="F244" s="125"/>
      <c r="G244" s="125"/>
      <c r="H244" s="125"/>
      <c r="I244" s="125"/>
    </row>
    <row r="245" spans="1:25" x14ac:dyDescent="0.2">
      <c r="A245" s="123" t="s">
        <v>851</v>
      </c>
      <c r="B245" s="124" t="s">
        <v>917</v>
      </c>
      <c r="C245" s="125"/>
      <c r="D245" s="125"/>
      <c r="E245" s="125"/>
      <c r="F245" s="125"/>
      <c r="G245" s="125"/>
      <c r="H245" s="125"/>
      <c r="I245" s="125"/>
    </row>
    <row r="246" spans="1:25" x14ac:dyDescent="0.2">
      <c r="A246" s="123" t="s">
        <v>852</v>
      </c>
      <c r="B246" s="124"/>
      <c r="C246" s="125"/>
      <c r="D246" s="125"/>
      <c r="E246" s="125"/>
      <c r="F246" s="125"/>
      <c r="G246" s="125"/>
      <c r="H246" s="125"/>
      <c r="I246" s="125"/>
    </row>
    <row r="247" spans="1:25" ht="17" thickBot="1" x14ac:dyDescent="0.25">
      <c r="A247" s="123" t="s">
        <v>824</v>
      </c>
      <c r="B247" s="126">
        <v>10</v>
      </c>
      <c r="C247" s="127"/>
      <c r="D247" s="127"/>
      <c r="E247" s="127"/>
      <c r="F247" s="127"/>
      <c r="G247" s="127"/>
      <c r="H247" s="127"/>
      <c r="I247" s="127"/>
      <c r="X247" s="26" t="s">
        <v>438</v>
      </c>
    </row>
    <row r="248" spans="1:25" ht="19" x14ac:dyDescent="0.25">
      <c r="A248" s="128" t="s">
        <v>815</v>
      </c>
      <c r="B248" s="129" t="s">
        <v>816</v>
      </c>
      <c r="C248" s="129" t="s">
        <v>818</v>
      </c>
      <c r="D248" s="129"/>
      <c r="E248" s="131" t="s">
        <v>819</v>
      </c>
      <c r="F248" s="129" t="s">
        <v>838</v>
      </c>
      <c r="G248" s="129" t="s">
        <v>839</v>
      </c>
      <c r="H248" s="129" t="s">
        <v>842</v>
      </c>
      <c r="I248" s="129" t="s">
        <v>843</v>
      </c>
      <c r="T248" s="20" t="s">
        <v>314</v>
      </c>
      <c r="W248" t="s">
        <v>430</v>
      </c>
    </row>
    <row r="249" spans="1:25" x14ac:dyDescent="0.2">
      <c r="A249" s="130">
        <v>0</v>
      </c>
      <c r="B249" s="131" t="s">
        <v>87</v>
      </c>
      <c r="C249" s="131" t="s">
        <v>1040</v>
      </c>
      <c r="D249" s="131"/>
      <c r="E249" s="132" t="s">
        <v>113</v>
      </c>
      <c r="F249" s="132">
        <v>0</v>
      </c>
      <c r="G249" s="132">
        <v>25</v>
      </c>
      <c r="H249" s="132">
        <v>15</v>
      </c>
      <c r="I249" s="132"/>
      <c r="T249" s="25" t="s">
        <v>457</v>
      </c>
      <c r="U249" s="25" t="s">
        <v>408</v>
      </c>
      <c r="W249" t="s">
        <v>87</v>
      </c>
      <c r="X249" t="s">
        <v>444</v>
      </c>
      <c r="Y249" t="s">
        <v>206</v>
      </c>
    </row>
    <row r="250" spans="1:25" x14ac:dyDescent="0.2">
      <c r="A250" s="130">
        <v>1</v>
      </c>
      <c r="B250" s="131" t="s">
        <v>87</v>
      </c>
      <c r="C250" s="131" t="s">
        <v>1041</v>
      </c>
      <c r="D250" s="131"/>
      <c r="E250" s="132" t="s">
        <v>114</v>
      </c>
      <c r="F250" s="132">
        <v>0</v>
      </c>
      <c r="G250" s="132">
        <v>5000</v>
      </c>
      <c r="H250" s="132">
        <v>100</v>
      </c>
      <c r="I250" s="132"/>
      <c r="T250" s="3" t="s">
        <v>86</v>
      </c>
      <c r="U250" s="6" t="s">
        <v>113</v>
      </c>
      <c r="W250" t="s">
        <v>87</v>
      </c>
      <c r="X250" t="s">
        <v>445</v>
      </c>
      <c r="Y250" t="s">
        <v>206</v>
      </c>
    </row>
    <row r="251" spans="1:25" x14ac:dyDescent="0.2">
      <c r="A251" s="130">
        <v>2</v>
      </c>
      <c r="B251" s="131" t="s">
        <v>87</v>
      </c>
      <c r="C251" s="131" t="s">
        <v>1044</v>
      </c>
      <c r="D251" s="131"/>
      <c r="E251" s="132" t="s">
        <v>1042</v>
      </c>
      <c r="F251" s="132">
        <v>0</v>
      </c>
      <c r="G251" s="132">
        <v>100</v>
      </c>
      <c r="H251" s="132">
        <v>65</v>
      </c>
      <c r="I251" s="132"/>
      <c r="T251" s="3" t="s">
        <v>88</v>
      </c>
      <c r="U251" s="6" t="s">
        <v>114</v>
      </c>
      <c r="W251" t="s">
        <v>87</v>
      </c>
      <c r="X251" t="s">
        <v>446</v>
      </c>
      <c r="Y251" t="s">
        <v>206</v>
      </c>
    </row>
    <row r="252" spans="1:25" x14ac:dyDescent="0.2">
      <c r="A252" s="130">
        <v>3</v>
      </c>
      <c r="B252" s="131" t="s">
        <v>87</v>
      </c>
      <c r="C252" s="131" t="s">
        <v>1045</v>
      </c>
      <c r="D252" s="131"/>
      <c r="E252" s="132" t="s">
        <v>1043</v>
      </c>
      <c r="F252" s="132">
        <v>0</v>
      </c>
      <c r="G252" s="132">
        <v>125</v>
      </c>
      <c r="H252" s="132">
        <v>80</v>
      </c>
      <c r="I252" s="132"/>
      <c r="T252" s="3" t="s">
        <v>67</v>
      </c>
      <c r="U252" s="6" t="s">
        <v>115</v>
      </c>
      <c r="W252" t="s">
        <v>87</v>
      </c>
      <c r="X252" t="s">
        <v>447</v>
      </c>
      <c r="Y252" t="s">
        <v>206</v>
      </c>
    </row>
    <row r="253" spans="1:25" x14ac:dyDescent="0.2">
      <c r="A253" s="130">
        <v>4</v>
      </c>
      <c r="B253" s="131" t="s">
        <v>87</v>
      </c>
      <c r="C253" s="131" t="s">
        <v>209</v>
      </c>
      <c r="D253" s="131"/>
      <c r="E253" s="132" t="s">
        <v>1046</v>
      </c>
      <c r="F253" s="132"/>
      <c r="G253" s="132"/>
      <c r="H253" s="132"/>
      <c r="I253" s="132"/>
      <c r="T253" s="3" t="s">
        <v>68</v>
      </c>
      <c r="U253" s="6" t="s">
        <v>116</v>
      </c>
      <c r="W253" t="s">
        <v>87</v>
      </c>
      <c r="X253" t="s">
        <v>687</v>
      </c>
      <c r="Y253" t="s">
        <v>206</v>
      </c>
    </row>
    <row r="254" spans="1:25" x14ac:dyDescent="0.2">
      <c r="A254" s="130">
        <v>5</v>
      </c>
      <c r="B254" s="131" t="s">
        <v>87</v>
      </c>
      <c r="C254" s="125" t="s">
        <v>210</v>
      </c>
      <c r="D254" s="131"/>
      <c r="E254" s="132" t="s">
        <v>1047</v>
      </c>
      <c r="F254" s="132"/>
      <c r="G254" s="132"/>
      <c r="H254" s="132"/>
      <c r="I254" s="132"/>
      <c r="T254" s="3" t="s">
        <v>69</v>
      </c>
      <c r="U254" s="6" t="s">
        <v>685</v>
      </c>
      <c r="W254" t="s">
        <v>87</v>
      </c>
      <c r="X254" t="s">
        <v>688</v>
      </c>
      <c r="Y254" t="s">
        <v>206</v>
      </c>
    </row>
    <row r="255" spans="1:25" x14ac:dyDescent="0.2">
      <c r="A255" s="130">
        <v>6</v>
      </c>
      <c r="B255" s="131" t="s">
        <v>87</v>
      </c>
      <c r="C255" s="131" t="s">
        <v>211</v>
      </c>
      <c r="D255" s="131"/>
      <c r="E255" s="132" t="s">
        <v>1048</v>
      </c>
      <c r="F255" s="132"/>
      <c r="G255" s="132"/>
      <c r="H255" s="132"/>
      <c r="I255" s="132"/>
      <c r="T255" s="3" t="s">
        <v>70</v>
      </c>
      <c r="U255" s="6" t="s">
        <v>686</v>
      </c>
      <c r="W255" t="s">
        <v>87</v>
      </c>
      <c r="X255" t="s">
        <v>214</v>
      </c>
      <c r="Y255" t="s">
        <v>206</v>
      </c>
    </row>
    <row r="256" spans="1:25" x14ac:dyDescent="0.2">
      <c r="A256" s="130">
        <v>7</v>
      </c>
      <c r="B256" s="131" t="s">
        <v>87</v>
      </c>
      <c r="C256" s="125" t="s">
        <v>212</v>
      </c>
      <c r="D256" s="131"/>
      <c r="E256" s="132" t="s">
        <v>1049</v>
      </c>
      <c r="F256" s="132"/>
      <c r="G256" s="132"/>
      <c r="H256" s="132"/>
      <c r="I256" s="132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0">
        <v>8</v>
      </c>
      <c r="B257" s="131" t="s">
        <v>87</v>
      </c>
      <c r="C257" s="125" t="s">
        <v>304</v>
      </c>
      <c r="D257" s="131"/>
      <c r="E257" s="132" t="s">
        <v>29</v>
      </c>
      <c r="F257" s="132">
        <v>0</v>
      </c>
      <c r="G257" s="132">
        <v>28800</v>
      </c>
      <c r="H257" s="132"/>
      <c r="I257" s="132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0">
        <v>9</v>
      </c>
      <c r="B258" s="131" t="s">
        <v>87</v>
      </c>
      <c r="C258" s="131" t="s">
        <v>303</v>
      </c>
      <c r="D258" s="131"/>
      <c r="E258" s="132" t="s">
        <v>18</v>
      </c>
      <c r="F258" s="132"/>
      <c r="G258" s="132"/>
      <c r="H258" s="132"/>
      <c r="I258" s="132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448</v>
      </c>
      <c r="Y259" t="s">
        <v>206</v>
      </c>
    </row>
    <row r="260" spans="1:25" x14ac:dyDescent="0.2">
      <c r="A260" s="120" t="s">
        <v>847</v>
      </c>
      <c r="B260" s="121" t="s">
        <v>918</v>
      </c>
      <c r="C260" s="122"/>
      <c r="D260" s="122"/>
      <c r="E260" s="122"/>
      <c r="F260" s="122"/>
      <c r="G260" s="122"/>
      <c r="H260" s="122"/>
      <c r="I260" s="122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3" t="s">
        <v>848</v>
      </c>
      <c r="B261" s="124" t="s">
        <v>919</v>
      </c>
      <c r="C261" s="125"/>
      <c r="D261" s="125"/>
      <c r="E261" s="125"/>
      <c r="F261" s="125"/>
      <c r="G261" s="125"/>
      <c r="H261" s="125"/>
      <c r="I261" s="125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3" t="s">
        <v>788</v>
      </c>
      <c r="B262" s="124" t="s">
        <v>920</v>
      </c>
      <c r="C262" s="125"/>
      <c r="D262" s="125"/>
      <c r="E262" s="125"/>
      <c r="F262" s="125"/>
      <c r="G262" s="125"/>
      <c r="H262" s="125"/>
      <c r="I262" s="125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3" t="s">
        <v>849</v>
      </c>
      <c r="B263" s="124" t="s">
        <v>870</v>
      </c>
      <c r="C263" s="125"/>
      <c r="D263" s="125"/>
      <c r="E263" s="125"/>
      <c r="F263" s="125"/>
      <c r="G263" s="125"/>
      <c r="H263" s="125"/>
      <c r="I263" s="125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3" t="s">
        <v>1038</v>
      </c>
      <c r="B264" s="124" t="s">
        <v>971</v>
      </c>
      <c r="C264" s="125"/>
      <c r="D264" s="125"/>
      <c r="E264" s="125"/>
      <c r="F264" s="125"/>
      <c r="G264" s="125"/>
      <c r="H264" s="125"/>
      <c r="I264" s="125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3" t="s">
        <v>1008</v>
      </c>
      <c r="B265" s="124" t="s">
        <v>1009</v>
      </c>
      <c r="C265" s="125"/>
      <c r="D265" s="125"/>
      <c r="E265" s="125"/>
      <c r="F265" s="125"/>
      <c r="G265" s="125"/>
      <c r="H265" s="125"/>
      <c r="I265" s="125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3" t="s">
        <v>851</v>
      </c>
      <c r="B266" s="124" t="s">
        <v>921</v>
      </c>
      <c r="C266" s="125"/>
      <c r="D266" s="125"/>
      <c r="E266" s="125"/>
      <c r="F266" s="125"/>
      <c r="G266" s="125"/>
      <c r="H266" s="125"/>
      <c r="I266" s="125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3" t="s">
        <v>852</v>
      </c>
      <c r="B267" s="124"/>
      <c r="C267" s="125"/>
      <c r="D267" s="125"/>
      <c r="E267" s="125"/>
      <c r="F267" s="125"/>
      <c r="G267" s="125"/>
      <c r="H267" s="125"/>
      <c r="I267" s="125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3" t="s">
        <v>824</v>
      </c>
      <c r="B268" s="126">
        <v>10</v>
      </c>
      <c r="C268" s="127"/>
      <c r="D268" s="127"/>
      <c r="E268" s="127"/>
      <c r="F268" s="127"/>
      <c r="G268" s="127"/>
      <c r="H268" s="127"/>
      <c r="I268" s="127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8" t="s">
        <v>815</v>
      </c>
      <c r="B269" s="129" t="s">
        <v>816</v>
      </c>
      <c r="C269" s="129" t="s">
        <v>818</v>
      </c>
      <c r="D269" s="129"/>
      <c r="E269" s="131" t="s">
        <v>819</v>
      </c>
      <c r="F269" s="129" t="s">
        <v>838</v>
      </c>
      <c r="G269" s="129" t="s">
        <v>839</v>
      </c>
      <c r="H269" s="129" t="s">
        <v>842</v>
      </c>
      <c r="I269" s="129" t="s">
        <v>843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0">
        <v>0</v>
      </c>
      <c r="B270" s="131" t="s">
        <v>87</v>
      </c>
      <c r="C270" s="131" t="s">
        <v>412</v>
      </c>
      <c r="D270" s="131"/>
      <c r="E270" s="132" t="s">
        <v>390</v>
      </c>
      <c r="F270" s="132"/>
      <c r="G270" s="132"/>
      <c r="H270" s="132"/>
      <c r="I270" s="132"/>
      <c r="T270" s="3" t="s">
        <v>85</v>
      </c>
      <c r="U270" s="6" t="s">
        <v>44</v>
      </c>
      <c r="W270" t="s">
        <v>207</v>
      </c>
    </row>
    <row r="271" spans="1:25" x14ac:dyDescent="0.2">
      <c r="A271" s="130">
        <v>1</v>
      </c>
      <c r="B271" s="131" t="s">
        <v>87</v>
      </c>
      <c r="C271" s="131" t="s">
        <v>413</v>
      </c>
      <c r="D271" s="131"/>
      <c r="E271" s="132" t="s">
        <v>391</v>
      </c>
      <c r="F271" s="132"/>
      <c r="G271" s="132"/>
      <c r="H271" s="132"/>
      <c r="I271" s="132"/>
      <c r="T271" s="3" t="s">
        <v>1</v>
      </c>
      <c r="U271" s="6"/>
    </row>
    <row r="272" spans="1:25" x14ac:dyDescent="0.2">
      <c r="A272" s="130">
        <v>2</v>
      </c>
      <c r="B272" s="131" t="s">
        <v>87</v>
      </c>
      <c r="C272" s="131" t="s">
        <v>414</v>
      </c>
      <c r="D272" s="131"/>
      <c r="E272" s="132" t="s">
        <v>392</v>
      </c>
      <c r="F272" s="132"/>
      <c r="G272" s="132"/>
      <c r="H272" s="132"/>
      <c r="I272" s="132"/>
      <c r="T272" s="3" t="s">
        <v>0</v>
      </c>
      <c r="U272" s="6"/>
    </row>
    <row r="273" spans="1:25" x14ac:dyDescent="0.2">
      <c r="A273" s="130">
        <v>3</v>
      </c>
      <c r="B273" s="131" t="s">
        <v>87</v>
      </c>
      <c r="C273" s="131" t="s">
        <v>415</v>
      </c>
      <c r="D273" s="131"/>
      <c r="E273" s="132" t="s">
        <v>393</v>
      </c>
      <c r="F273" s="132"/>
      <c r="G273" s="132"/>
      <c r="H273" s="132"/>
      <c r="I273" s="132"/>
      <c r="T273" s="8" t="s">
        <v>87</v>
      </c>
      <c r="U273" s="3" t="s">
        <v>427</v>
      </c>
    </row>
    <row r="274" spans="1:25" ht="17" thickBot="1" x14ac:dyDescent="0.25">
      <c r="A274" s="130">
        <v>4</v>
      </c>
      <c r="B274" s="131" t="s">
        <v>87</v>
      </c>
      <c r="C274" s="131" t="s">
        <v>309</v>
      </c>
      <c r="D274" s="131"/>
      <c r="E274" s="132" t="s">
        <v>394</v>
      </c>
      <c r="F274" s="132"/>
      <c r="G274" s="132"/>
      <c r="H274" s="132"/>
      <c r="I274" s="132"/>
      <c r="T274" s="4" t="s">
        <v>1</v>
      </c>
      <c r="U274" s="7"/>
    </row>
    <row r="275" spans="1:25" x14ac:dyDescent="0.2">
      <c r="A275" s="130">
        <v>5</v>
      </c>
      <c r="B275" s="131" t="s">
        <v>87</v>
      </c>
      <c r="C275" s="125" t="s">
        <v>371</v>
      </c>
      <c r="D275" s="131"/>
      <c r="E275" s="132" t="s">
        <v>397</v>
      </c>
      <c r="F275" s="132"/>
      <c r="G275" s="132"/>
      <c r="H275" s="132"/>
      <c r="I275" s="132"/>
    </row>
    <row r="276" spans="1:25" x14ac:dyDescent="0.2">
      <c r="A276" s="130">
        <v>6</v>
      </c>
      <c r="B276" s="131" t="s">
        <v>87</v>
      </c>
      <c r="C276" s="125" t="s">
        <v>416</v>
      </c>
      <c r="D276" s="131"/>
      <c r="E276" s="132" t="s">
        <v>395</v>
      </c>
      <c r="F276" s="132"/>
      <c r="G276" s="132"/>
      <c r="H276" s="132"/>
      <c r="I276" s="132"/>
    </row>
    <row r="277" spans="1:25" x14ac:dyDescent="0.2">
      <c r="A277" s="130">
        <v>7</v>
      </c>
      <c r="B277" s="131" t="s">
        <v>87</v>
      </c>
      <c r="C277" s="131" t="s">
        <v>417</v>
      </c>
      <c r="D277" s="131"/>
      <c r="E277" s="132" t="s">
        <v>396</v>
      </c>
      <c r="F277" s="132"/>
      <c r="G277" s="132"/>
      <c r="H277" s="132"/>
      <c r="I277" s="132"/>
    </row>
    <row r="278" spans="1:25" x14ac:dyDescent="0.2">
      <c r="A278" s="130">
        <v>8</v>
      </c>
      <c r="B278" s="131" t="s">
        <v>87</v>
      </c>
      <c r="C278" s="125" t="s">
        <v>304</v>
      </c>
      <c r="D278" s="131"/>
      <c r="E278" s="132" t="s">
        <v>29</v>
      </c>
      <c r="F278" s="132">
        <v>0</v>
      </c>
      <c r="G278" s="132">
        <v>28800</v>
      </c>
      <c r="H278" s="132"/>
      <c r="I278" s="132"/>
    </row>
    <row r="279" spans="1:25" x14ac:dyDescent="0.2">
      <c r="A279" s="130">
        <v>9</v>
      </c>
      <c r="B279" s="131" t="s">
        <v>87</v>
      </c>
      <c r="C279" s="131" t="s">
        <v>303</v>
      </c>
      <c r="D279" s="131"/>
      <c r="E279" s="132" t="s">
        <v>18</v>
      </c>
      <c r="F279" s="132"/>
      <c r="G279" s="132"/>
      <c r="H279" s="132"/>
      <c r="I279" s="132"/>
    </row>
    <row r="280" spans="1:25" ht="17" thickBot="1" x14ac:dyDescent="0.25">
      <c r="I280"/>
      <c r="X280" t="s">
        <v>439</v>
      </c>
    </row>
    <row r="281" spans="1:25" ht="19" x14ac:dyDescent="0.25">
      <c r="A281" s="133" t="s">
        <v>847</v>
      </c>
      <c r="B281" s="134" t="s">
        <v>922</v>
      </c>
      <c r="C281" s="135"/>
      <c r="D281" s="135"/>
      <c r="E281" s="135"/>
      <c r="F281" s="135"/>
      <c r="G281" s="135"/>
      <c r="H281" s="135"/>
      <c r="I281" s="135"/>
      <c r="T281" s="19" t="s">
        <v>315</v>
      </c>
      <c r="W281" t="s">
        <v>431</v>
      </c>
    </row>
    <row r="282" spans="1:25" x14ac:dyDescent="0.2">
      <c r="A282" s="136" t="s">
        <v>848</v>
      </c>
      <c r="B282" s="137" t="s">
        <v>971</v>
      </c>
      <c r="C282" s="138"/>
      <c r="D282" s="138"/>
      <c r="E282" s="138"/>
      <c r="F282" s="138"/>
      <c r="G282" s="138"/>
      <c r="H282" s="138"/>
      <c r="I282" s="138"/>
      <c r="T282" s="25" t="s">
        <v>402</v>
      </c>
      <c r="U282" s="25" t="s">
        <v>409</v>
      </c>
      <c r="W282" t="s">
        <v>208</v>
      </c>
      <c r="X282" t="s">
        <v>280</v>
      </c>
      <c r="Y282" t="s">
        <v>206</v>
      </c>
    </row>
    <row r="283" spans="1:25" x14ac:dyDescent="0.2">
      <c r="A283" s="136" t="s">
        <v>788</v>
      </c>
      <c r="B283" s="137" t="s">
        <v>923</v>
      </c>
      <c r="C283" s="138"/>
      <c r="D283" s="138"/>
      <c r="E283" s="138"/>
      <c r="F283" s="138"/>
      <c r="G283" s="138"/>
      <c r="H283" s="138"/>
      <c r="I283" s="138"/>
      <c r="T283" s="3" t="s">
        <v>86</v>
      </c>
      <c r="U283" s="6" t="s">
        <v>35</v>
      </c>
      <c r="W283" t="s">
        <v>208</v>
      </c>
      <c r="X283" t="s">
        <v>281</v>
      </c>
      <c r="Y283" t="s">
        <v>206</v>
      </c>
    </row>
    <row r="284" spans="1:25" x14ac:dyDescent="0.2">
      <c r="A284" s="136" t="s">
        <v>849</v>
      </c>
      <c r="B284" s="137" t="s">
        <v>971</v>
      </c>
      <c r="C284" s="138"/>
      <c r="D284" s="138"/>
      <c r="E284" s="138"/>
      <c r="F284" s="138"/>
      <c r="G284" s="138"/>
      <c r="H284" s="138"/>
      <c r="I284" s="138"/>
      <c r="T284" s="3" t="s">
        <v>88</v>
      </c>
      <c r="U284" s="6" t="s">
        <v>36</v>
      </c>
      <c r="W284" t="s">
        <v>208</v>
      </c>
      <c r="X284" t="s">
        <v>282</v>
      </c>
      <c r="Y284" t="s">
        <v>206</v>
      </c>
    </row>
    <row r="285" spans="1:25" x14ac:dyDescent="0.2">
      <c r="A285" s="136" t="s">
        <v>1038</v>
      </c>
      <c r="B285" s="137" t="s">
        <v>971</v>
      </c>
      <c r="C285" s="138"/>
      <c r="D285" s="138"/>
      <c r="E285" s="138"/>
      <c r="F285" s="138"/>
      <c r="G285" s="138"/>
      <c r="H285" s="138"/>
      <c r="I285" s="138"/>
      <c r="T285" s="3" t="s">
        <v>67</v>
      </c>
      <c r="U285" s="6" t="s">
        <v>37</v>
      </c>
      <c r="W285" t="s">
        <v>208</v>
      </c>
      <c r="X285" t="s">
        <v>283</v>
      </c>
      <c r="Y285" t="s">
        <v>206</v>
      </c>
    </row>
    <row r="286" spans="1:25" x14ac:dyDescent="0.2">
      <c r="A286" s="136" t="s">
        <v>1008</v>
      </c>
      <c r="B286" s="137" t="s">
        <v>1009</v>
      </c>
      <c r="C286" s="138"/>
      <c r="D286" s="138"/>
      <c r="E286" s="138"/>
      <c r="F286" s="138"/>
      <c r="G286" s="138"/>
      <c r="H286" s="138"/>
      <c r="I286" s="138"/>
      <c r="T286" s="3" t="s">
        <v>68</v>
      </c>
      <c r="U286" s="6" t="s">
        <v>41</v>
      </c>
      <c r="W286" t="s">
        <v>208</v>
      </c>
      <c r="X286" t="s">
        <v>284</v>
      </c>
      <c r="Y286" t="s">
        <v>206</v>
      </c>
    </row>
    <row r="287" spans="1:25" x14ac:dyDescent="0.2">
      <c r="A287" s="136" t="s">
        <v>851</v>
      </c>
      <c r="B287" s="137" t="s">
        <v>924</v>
      </c>
      <c r="C287" s="138"/>
      <c r="D287" s="138"/>
      <c r="E287" s="138"/>
      <c r="F287" s="138"/>
      <c r="G287" s="138"/>
      <c r="H287" s="138"/>
      <c r="I287" s="138"/>
      <c r="T287" s="3" t="s">
        <v>69</v>
      </c>
      <c r="U287" s="6" t="s">
        <v>38</v>
      </c>
      <c r="W287" t="s">
        <v>208</v>
      </c>
      <c r="X287" t="s">
        <v>285</v>
      </c>
      <c r="Y287" t="s">
        <v>206</v>
      </c>
    </row>
    <row r="288" spans="1:25" x14ac:dyDescent="0.2">
      <c r="A288" s="136" t="s">
        <v>852</v>
      </c>
      <c r="B288" s="137"/>
      <c r="C288" s="138"/>
      <c r="D288" s="138"/>
      <c r="E288" s="138"/>
      <c r="F288" s="138"/>
      <c r="G288" s="138"/>
      <c r="H288" s="138"/>
      <c r="I288" s="138"/>
      <c r="T288" s="3" t="s">
        <v>70</v>
      </c>
      <c r="U288" s="6" t="s">
        <v>39</v>
      </c>
      <c r="W288" t="s">
        <v>208</v>
      </c>
      <c r="X288" t="s">
        <v>286</v>
      </c>
      <c r="Y288" t="s">
        <v>206</v>
      </c>
    </row>
    <row r="289" spans="1:25" ht="17" thickBot="1" x14ac:dyDescent="0.25">
      <c r="A289" s="136" t="s">
        <v>824</v>
      </c>
      <c r="B289" s="139">
        <v>20</v>
      </c>
      <c r="C289" s="140"/>
      <c r="D289" s="140"/>
      <c r="E289" s="140"/>
      <c r="F289" s="140"/>
      <c r="G289" s="140"/>
      <c r="H289" s="140"/>
      <c r="I289" s="140"/>
      <c r="T289" s="3" t="s">
        <v>71</v>
      </c>
      <c r="U289" s="6" t="s">
        <v>40</v>
      </c>
      <c r="W289" t="s">
        <v>208</v>
      </c>
      <c r="X289" t="s">
        <v>287</v>
      </c>
      <c r="Y289" t="s">
        <v>206</v>
      </c>
    </row>
    <row r="290" spans="1:25" x14ac:dyDescent="0.2">
      <c r="A290" s="141" t="s">
        <v>815</v>
      </c>
      <c r="B290" s="142" t="s">
        <v>816</v>
      </c>
      <c r="C290" s="142" t="s">
        <v>818</v>
      </c>
      <c r="D290" s="142"/>
      <c r="E290" s="143" t="s">
        <v>819</v>
      </c>
      <c r="F290" s="142" t="s">
        <v>838</v>
      </c>
      <c r="G290" s="142" t="s">
        <v>839</v>
      </c>
      <c r="H290" s="142" t="s">
        <v>842</v>
      </c>
      <c r="I290" s="142" t="s">
        <v>843</v>
      </c>
      <c r="T290" s="3" t="s">
        <v>72</v>
      </c>
      <c r="U290" s="6" t="s">
        <v>42</v>
      </c>
      <c r="W290" t="s">
        <v>208</v>
      </c>
      <c r="X290" t="s">
        <v>288</v>
      </c>
      <c r="Y290" t="s">
        <v>206</v>
      </c>
    </row>
    <row r="291" spans="1:25" x14ac:dyDescent="0.2">
      <c r="A291" s="144">
        <v>0</v>
      </c>
      <c r="B291" s="143" t="s">
        <v>208</v>
      </c>
      <c r="C291" s="143" t="s">
        <v>280</v>
      </c>
      <c r="D291" s="143"/>
      <c r="E291" s="146" t="s">
        <v>35</v>
      </c>
      <c r="F291" s="145"/>
      <c r="G291" s="145"/>
      <c r="H291" s="145"/>
      <c r="I291" s="145"/>
      <c r="T291" s="3" t="s">
        <v>73</v>
      </c>
      <c r="U291" s="6" t="s">
        <v>100</v>
      </c>
      <c r="W291" t="s">
        <v>208</v>
      </c>
      <c r="X291" t="s">
        <v>289</v>
      </c>
      <c r="Y291" t="s">
        <v>206</v>
      </c>
    </row>
    <row r="292" spans="1:25" x14ac:dyDescent="0.2">
      <c r="A292" s="144">
        <v>1</v>
      </c>
      <c r="B292" s="143" t="s">
        <v>208</v>
      </c>
      <c r="C292" s="143" t="s">
        <v>281</v>
      </c>
      <c r="D292" s="143"/>
      <c r="E292" s="146" t="s">
        <v>36</v>
      </c>
      <c r="F292" s="145"/>
      <c r="G292" s="145"/>
      <c r="H292" s="145"/>
      <c r="I292" s="145"/>
      <c r="T292" s="3" t="s">
        <v>74</v>
      </c>
      <c r="U292" s="6" t="s">
        <v>101</v>
      </c>
      <c r="W292" t="s">
        <v>208</v>
      </c>
      <c r="X292" t="s">
        <v>290</v>
      </c>
      <c r="Y292" t="s">
        <v>206</v>
      </c>
    </row>
    <row r="293" spans="1:25" x14ac:dyDescent="0.2">
      <c r="A293" s="144">
        <v>2</v>
      </c>
      <c r="B293" s="143" t="s">
        <v>208</v>
      </c>
      <c r="C293" s="143" t="s">
        <v>282</v>
      </c>
      <c r="D293" s="143"/>
      <c r="E293" s="146" t="s">
        <v>37</v>
      </c>
      <c r="F293" s="145"/>
      <c r="G293" s="145"/>
      <c r="H293" s="145"/>
      <c r="I293" s="145"/>
      <c r="T293" s="3" t="s">
        <v>75</v>
      </c>
      <c r="U293" s="6" t="s">
        <v>102</v>
      </c>
      <c r="W293" t="s">
        <v>208</v>
      </c>
      <c r="X293" t="s">
        <v>291</v>
      </c>
      <c r="Y293" t="s">
        <v>206</v>
      </c>
    </row>
    <row r="294" spans="1:25" x14ac:dyDescent="0.2">
      <c r="A294" s="144">
        <v>3</v>
      </c>
      <c r="B294" s="143" t="s">
        <v>208</v>
      </c>
      <c r="C294" s="143" t="s">
        <v>283</v>
      </c>
      <c r="D294" s="143"/>
      <c r="E294" s="146" t="s">
        <v>41</v>
      </c>
      <c r="F294" s="145"/>
      <c r="G294" s="145"/>
      <c r="H294" s="145"/>
      <c r="I294" s="145"/>
      <c r="T294" s="3" t="s">
        <v>76</v>
      </c>
      <c r="U294" s="6" t="s">
        <v>103</v>
      </c>
      <c r="W294" t="s">
        <v>208</v>
      </c>
      <c r="X294" t="s">
        <v>292</v>
      </c>
      <c r="Y294" t="s">
        <v>206</v>
      </c>
    </row>
    <row r="295" spans="1:25" x14ac:dyDescent="0.2">
      <c r="A295" s="144">
        <v>4</v>
      </c>
      <c r="B295" s="143" t="s">
        <v>208</v>
      </c>
      <c r="C295" s="143" t="s">
        <v>284</v>
      </c>
      <c r="D295" s="143"/>
      <c r="E295" s="146" t="s">
        <v>38</v>
      </c>
      <c r="F295" s="145"/>
      <c r="G295" s="145"/>
      <c r="H295" s="145"/>
      <c r="I295" s="145"/>
      <c r="T295" s="3" t="s">
        <v>77</v>
      </c>
      <c r="U295" s="6" t="s">
        <v>104</v>
      </c>
      <c r="W295" t="s">
        <v>208</v>
      </c>
      <c r="X295" t="s">
        <v>293</v>
      </c>
      <c r="Y295" t="s">
        <v>206</v>
      </c>
    </row>
    <row r="296" spans="1:25" x14ac:dyDescent="0.2">
      <c r="A296" s="144">
        <v>5</v>
      </c>
      <c r="B296" s="143" t="s">
        <v>208</v>
      </c>
      <c r="C296" s="138" t="s">
        <v>285</v>
      </c>
      <c r="D296" s="143"/>
      <c r="E296" s="146" t="s">
        <v>39</v>
      </c>
      <c r="F296" s="145"/>
      <c r="G296" s="145"/>
      <c r="H296" s="145"/>
      <c r="I296" s="145"/>
      <c r="T296" s="3" t="s">
        <v>78</v>
      </c>
      <c r="U296" s="6" t="s">
        <v>107</v>
      </c>
      <c r="W296" t="s">
        <v>208</v>
      </c>
      <c r="X296" t="s">
        <v>294</v>
      </c>
      <c r="Y296" t="s">
        <v>206</v>
      </c>
    </row>
    <row r="297" spans="1:25" x14ac:dyDescent="0.2">
      <c r="A297" s="144">
        <v>6</v>
      </c>
      <c r="B297" s="143" t="s">
        <v>208</v>
      </c>
      <c r="C297" s="138" t="s">
        <v>286</v>
      </c>
      <c r="D297" s="143"/>
      <c r="E297" s="146" t="s">
        <v>40</v>
      </c>
      <c r="F297" s="145"/>
      <c r="G297" s="145"/>
      <c r="H297" s="145"/>
      <c r="I297" s="145"/>
      <c r="T297" s="3" t="s">
        <v>79</v>
      </c>
      <c r="U297" s="6" t="s">
        <v>106</v>
      </c>
      <c r="W297" t="s">
        <v>208</v>
      </c>
      <c r="X297" t="s">
        <v>295</v>
      </c>
      <c r="Y297" t="s">
        <v>206</v>
      </c>
    </row>
    <row r="298" spans="1:25" x14ac:dyDescent="0.2">
      <c r="A298" s="144">
        <v>7</v>
      </c>
      <c r="B298" s="143" t="s">
        <v>208</v>
      </c>
      <c r="C298" s="143" t="s">
        <v>287</v>
      </c>
      <c r="D298" s="143"/>
      <c r="E298" s="146" t="s">
        <v>42</v>
      </c>
      <c r="F298" s="145"/>
      <c r="G298" s="145"/>
      <c r="H298" s="145"/>
      <c r="I298" s="145"/>
      <c r="T298" s="3" t="s">
        <v>80</v>
      </c>
      <c r="U298" s="6" t="s">
        <v>105</v>
      </c>
      <c r="W298" t="s">
        <v>208</v>
      </c>
      <c r="X298" t="s">
        <v>296</v>
      </c>
      <c r="Y298" t="s">
        <v>206</v>
      </c>
    </row>
    <row r="299" spans="1:25" x14ac:dyDescent="0.2">
      <c r="A299" s="144">
        <v>8</v>
      </c>
      <c r="B299" s="143" t="s">
        <v>208</v>
      </c>
      <c r="C299" s="143" t="s">
        <v>288</v>
      </c>
      <c r="D299" s="143"/>
      <c r="E299" s="146" t="s">
        <v>100</v>
      </c>
      <c r="F299" s="145">
        <v>0</v>
      </c>
      <c r="G299" s="145">
        <v>28800</v>
      </c>
      <c r="H299" s="145"/>
      <c r="I299" s="145"/>
      <c r="T299" s="3" t="s">
        <v>81</v>
      </c>
      <c r="U299" s="6" t="s">
        <v>124</v>
      </c>
    </row>
    <row r="300" spans="1:25" x14ac:dyDescent="0.2">
      <c r="A300" s="144">
        <v>9</v>
      </c>
      <c r="B300" s="143" t="s">
        <v>208</v>
      </c>
      <c r="C300" s="143" t="s">
        <v>289</v>
      </c>
      <c r="D300" s="143"/>
      <c r="E300" s="146" t="s">
        <v>101</v>
      </c>
      <c r="F300" s="145"/>
      <c r="G300" s="145"/>
      <c r="H300" s="145"/>
      <c r="I300" s="145"/>
      <c r="T300" s="3"/>
      <c r="U300" s="6"/>
    </row>
    <row r="301" spans="1:25" x14ac:dyDescent="0.2">
      <c r="A301" s="144">
        <v>10</v>
      </c>
      <c r="B301" s="143" t="s">
        <v>208</v>
      </c>
      <c r="C301" s="143" t="s">
        <v>290</v>
      </c>
      <c r="D301" s="143"/>
      <c r="E301" s="146" t="s">
        <v>102</v>
      </c>
      <c r="F301" s="145"/>
      <c r="G301" s="145"/>
      <c r="H301" s="145"/>
      <c r="I301" s="145"/>
      <c r="T301" s="3"/>
      <c r="U301" s="6"/>
    </row>
    <row r="302" spans="1:25" x14ac:dyDescent="0.2">
      <c r="A302" s="144">
        <v>11</v>
      </c>
      <c r="B302" s="143" t="s">
        <v>208</v>
      </c>
      <c r="C302" s="143" t="s">
        <v>291</v>
      </c>
      <c r="D302" s="143"/>
      <c r="E302" s="146" t="s">
        <v>103</v>
      </c>
      <c r="F302" s="145"/>
      <c r="G302" s="145"/>
      <c r="H302" s="145"/>
      <c r="I302" s="145"/>
      <c r="T302" s="3"/>
      <c r="U302" s="6"/>
    </row>
    <row r="303" spans="1:25" x14ac:dyDescent="0.2">
      <c r="A303" s="144">
        <v>12</v>
      </c>
      <c r="B303" s="143" t="s">
        <v>208</v>
      </c>
      <c r="C303" s="143" t="s">
        <v>292</v>
      </c>
      <c r="D303" s="143"/>
      <c r="E303" s="146" t="s">
        <v>104</v>
      </c>
      <c r="F303" s="145"/>
      <c r="G303" s="145"/>
      <c r="H303" s="145"/>
      <c r="I303" s="145"/>
      <c r="T303" s="3"/>
      <c r="U303" s="6"/>
    </row>
    <row r="304" spans="1:25" x14ac:dyDescent="0.2">
      <c r="A304" s="144">
        <v>13</v>
      </c>
      <c r="B304" s="143" t="s">
        <v>208</v>
      </c>
      <c r="C304" s="143" t="s">
        <v>293</v>
      </c>
      <c r="D304" s="143"/>
      <c r="E304" s="146" t="s">
        <v>107</v>
      </c>
      <c r="F304" s="145"/>
      <c r="G304" s="145"/>
      <c r="H304" s="145"/>
      <c r="I304" s="145"/>
      <c r="T304" s="3"/>
      <c r="U304" s="6"/>
    </row>
    <row r="305" spans="1:25" x14ac:dyDescent="0.2">
      <c r="A305" s="144">
        <v>14</v>
      </c>
      <c r="B305" s="143" t="s">
        <v>208</v>
      </c>
      <c r="C305" s="143" t="s">
        <v>294</v>
      </c>
      <c r="D305" s="143"/>
      <c r="E305" s="146" t="s">
        <v>106</v>
      </c>
      <c r="F305" s="145"/>
      <c r="G305" s="145"/>
      <c r="H305" s="145"/>
      <c r="I305" s="145"/>
      <c r="T305" s="3"/>
      <c r="U305" s="6"/>
    </row>
    <row r="306" spans="1:25" x14ac:dyDescent="0.2">
      <c r="A306" s="144">
        <v>15</v>
      </c>
      <c r="B306" s="143" t="s">
        <v>208</v>
      </c>
      <c r="C306" s="143" t="s">
        <v>295</v>
      </c>
      <c r="D306" s="143"/>
      <c r="E306" s="146" t="s">
        <v>105</v>
      </c>
      <c r="F306" s="145"/>
      <c r="G306" s="145"/>
      <c r="H306" s="145"/>
      <c r="I306" s="145"/>
      <c r="T306" s="3"/>
      <c r="U306" s="6"/>
    </row>
    <row r="307" spans="1:25" x14ac:dyDescent="0.2">
      <c r="A307" s="144">
        <v>16</v>
      </c>
      <c r="B307" s="143" t="s">
        <v>208</v>
      </c>
      <c r="C307" s="143" t="s">
        <v>296</v>
      </c>
      <c r="D307" s="143"/>
      <c r="E307" s="146" t="s">
        <v>124</v>
      </c>
      <c r="F307" s="145"/>
      <c r="G307" s="145"/>
      <c r="H307" s="145"/>
      <c r="I307" s="145"/>
      <c r="T307" s="3"/>
      <c r="U307" s="6"/>
    </row>
    <row r="308" spans="1:25" x14ac:dyDescent="0.2">
      <c r="A308" s="144">
        <v>17</v>
      </c>
      <c r="B308" s="143" t="s">
        <v>208</v>
      </c>
      <c r="C308" s="143" t="s">
        <v>297</v>
      </c>
      <c r="D308" s="143"/>
      <c r="E308" s="146" t="s">
        <v>125</v>
      </c>
      <c r="F308" s="145"/>
      <c r="G308" s="145"/>
      <c r="H308" s="145"/>
      <c r="I308" s="145"/>
      <c r="T308" s="3"/>
      <c r="U308" s="6"/>
    </row>
    <row r="309" spans="1:25" x14ac:dyDescent="0.2">
      <c r="A309" s="144">
        <v>18</v>
      </c>
      <c r="B309" s="143" t="s">
        <v>208</v>
      </c>
      <c r="C309" s="143" t="s">
        <v>298</v>
      </c>
      <c r="D309" s="143"/>
      <c r="E309" s="146" t="s">
        <v>99</v>
      </c>
      <c r="F309" s="145"/>
      <c r="G309" s="145"/>
      <c r="H309" s="145"/>
      <c r="I309" s="145"/>
      <c r="T309" s="3"/>
      <c r="U309" s="6"/>
    </row>
    <row r="310" spans="1:25" x14ac:dyDescent="0.2">
      <c r="A310" s="144">
        <v>19</v>
      </c>
      <c r="B310" s="143" t="s">
        <v>208</v>
      </c>
      <c r="C310" s="143" t="s">
        <v>299</v>
      </c>
      <c r="D310" s="143"/>
      <c r="E310" s="146" t="s">
        <v>43</v>
      </c>
      <c r="F310" s="145"/>
      <c r="G310" s="145"/>
      <c r="H310" s="145"/>
      <c r="I310" s="145"/>
      <c r="T310" s="3"/>
      <c r="U310" s="6"/>
      <c r="W310" t="s">
        <v>208</v>
      </c>
      <c r="X310" t="s">
        <v>298</v>
      </c>
      <c r="Y310" t="s">
        <v>206</v>
      </c>
    </row>
    <row r="311" spans="1:25" ht="17" thickBot="1" x14ac:dyDescent="0.25">
      <c r="T311" s="3" t="s">
        <v>83</v>
      </c>
      <c r="U311" s="6" t="s">
        <v>99</v>
      </c>
      <c r="W311" t="s">
        <v>208</v>
      </c>
      <c r="X311" t="s">
        <v>299</v>
      </c>
      <c r="Y311" t="s">
        <v>206</v>
      </c>
    </row>
    <row r="312" spans="1:25" x14ac:dyDescent="0.2">
      <c r="A312" s="133" t="s">
        <v>847</v>
      </c>
      <c r="B312" s="134" t="s">
        <v>925</v>
      </c>
      <c r="C312" s="135"/>
      <c r="D312" s="135"/>
      <c r="E312" s="135"/>
      <c r="F312" s="135"/>
      <c r="G312" s="135"/>
      <c r="H312" s="135"/>
      <c r="I312" s="135"/>
      <c r="T312" s="3" t="s">
        <v>84</v>
      </c>
      <c r="U312" s="6" t="s">
        <v>43</v>
      </c>
      <c r="W312" t="s">
        <v>208</v>
      </c>
      <c r="X312" t="s">
        <v>44</v>
      </c>
      <c r="Y312" t="s">
        <v>206</v>
      </c>
    </row>
    <row r="313" spans="1:25" x14ac:dyDescent="0.2">
      <c r="A313" s="136" t="s">
        <v>848</v>
      </c>
      <c r="B313" s="137" t="s">
        <v>972</v>
      </c>
      <c r="C313" s="138"/>
      <c r="D313" s="138"/>
      <c r="E313" s="138"/>
      <c r="F313" s="138"/>
      <c r="G313" s="138"/>
      <c r="H313" s="138"/>
      <c r="I313" s="138"/>
      <c r="T313" s="3" t="s">
        <v>85</v>
      </c>
      <c r="U313" s="6" t="s">
        <v>44</v>
      </c>
      <c r="W313" t="s">
        <v>207</v>
      </c>
      <c r="Y313" t="s">
        <v>206</v>
      </c>
    </row>
    <row r="314" spans="1:25" x14ac:dyDescent="0.2">
      <c r="A314" s="136" t="s">
        <v>788</v>
      </c>
      <c r="B314" s="137" t="s">
        <v>926</v>
      </c>
      <c r="C314" s="138"/>
      <c r="D314" s="138"/>
      <c r="E314" s="138"/>
      <c r="F314" s="138"/>
      <c r="G314" s="138"/>
      <c r="H314" s="138"/>
      <c r="I314" s="138"/>
      <c r="T314" s="3" t="s">
        <v>1</v>
      </c>
      <c r="U314" s="6"/>
    </row>
    <row r="315" spans="1:25" x14ac:dyDescent="0.2">
      <c r="A315" s="136" t="s">
        <v>849</v>
      </c>
      <c r="B315" s="137" t="s">
        <v>972</v>
      </c>
      <c r="C315" s="138"/>
      <c r="D315" s="138"/>
      <c r="E315" s="138"/>
      <c r="F315" s="138"/>
      <c r="G315" s="138"/>
      <c r="H315" s="138"/>
      <c r="I315" s="138"/>
      <c r="T315" s="3"/>
      <c r="U315" s="6"/>
    </row>
    <row r="316" spans="1:25" x14ac:dyDescent="0.2">
      <c r="A316" s="136" t="s">
        <v>1038</v>
      </c>
      <c r="B316" s="137" t="s">
        <v>972</v>
      </c>
      <c r="C316" s="138"/>
      <c r="D316" s="138"/>
      <c r="E316" s="138"/>
      <c r="F316" s="138"/>
      <c r="G316" s="138"/>
      <c r="H316" s="138"/>
      <c r="I316" s="138"/>
      <c r="T316" s="3" t="s">
        <v>0</v>
      </c>
      <c r="U316" s="6"/>
    </row>
    <row r="317" spans="1:25" x14ac:dyDescent="0.2">
      <c r="A317" s="136" t="s">
        <v>1008</v>
      </c>
      <c r="B317" s="137" t="s">
        <v>1009</v>
      </c>
      <c r="C317" s="138"/>
      <c r="D317" s="138"/>
      <c r="E317" s="138"/>
      <c r="F317" s="138"/>
      <c r="G317" s="138"/>
      <c r="H317" s="138"/>
      <c r="I317" s="138"/>
      <c r="T317" s="8" t="s">
        <v>98</v>
      </c>
      <c r="U317" s="3" t="s">
        <v>434</v>
      </c>
    </row>
    <row r="318" spans="1:25" ht="17" thickBot="1" x14ac:dyDescent="0.25">
      <c r="A318" s="136" t="s">
        <v>851</v>
      </c>
      <c r="B318" s="137" t="s">
        <v>927</v>
      </c>
      <c r="C318" s="138"/>
      <c r="D318" s="138"/>
      <c r="E318" s="138"/>
      <c r="F318" s="138"/>
      <c r="G318" s="138"/>
      <c r="H318" s="138"/>
      <c r="I318" s="138"/>
      <c r="T318" s="4" t="s">
        <v>1</v>
      </c>
      <c r="U318" s="7"/>
    </row>
    <row r="319" spans="1:25" x14ac:dyDescent="0.2">
      <c r="A319" s="136" t="s">
        <v>852</v>
      </c>
      <c r="B319" s="137"/>
      <c r="C319" s="138"/>
      <c r="D319" s="138"/>
      <c r="E319" s="138"/>
      <c r="F319" s="138"/>
      <c r="G319" s="138"/>
      <c r="H319" s="138"/>
      <c r="I319" s="138"/>
    </row>
    <row r="320" spans="1:25" ht="17" thickBot="1" x14ac:dyDescent="0.25">
      <c r="A320" s="136" t="s">
        <v>824</v>
      </c>
      <c r="B320" s="139">
        <v>20</v>
      </c>
      <c r="C320" s="140"/>
      <c r="D320" s="140"/>
      <c r="E320" s="140"/>
      <c r="F320" s="140"/>
      <c r="G320" s="140"/>
      <c r="H320" s="140"/>
      <c r="I320" s="140"/>
    </row>
    <row r="321" spans="1:25" x14ac:dyDescent="0.2">
      <c r="A321" s="141" t="s">
        <v>815</v>
      </c>
      <c r="B321" s="142" t="s">
        <v>816</v>
      </c>
      <c r="C321" s="142" t="s">
        <v>818</v>
      </c>
      <c r="D321" s="142"/>
      <c r="E321" s="143" t="s">
        <v>819</v>
      </c>
      <c r="F321" s="142" t="s">
        <v>838</v>
      </c>
      <c r="G321" s="142" t="s">
        <v>839</v>
      </c>
      <c r="H321" s="142" t="s">
        <v>842</v>
      </c>
      <c r="I321" s="142" t="s">
        <v>843</v>
      </c>
    </row>
    <row r="322" spans="1:25" x14ac:dyDescent="0.2">
      <c r="A322" s="144">
        <v>0</v>
      </c>
      <c r="B322" s="143" t="s">
        <v>208</v>
      </c>
      <c r="C322" s="143" t="s">
        <v>929</v>
      </c>
      <c r="D322" s="143"/>
      <c r="E322" s="146" t="s">
        <v>928</v>
      </c>
      <c r="F322" s="145"/>
      <c r="G322" s="145"/>
      <c r="H322" s="145"/>
      <c r="I322" s="145"/>
      <c r="X322" t="s">
        <v>440</v>
      </c>
    </row>
    <row r="323" spans="1:25" ht="19" x14ac:dyDescent="0.25">
      <c r="A323" s="144">
        <v>1</v>
      </c>
      <c r="B323" s="143" t="s">
        <v>208</v>
      </c>
      <c r="C323" s="143" t="s">
        <v>930</v>
      </c>
      <c r="D323" s="143"/>
      <c r="E323" s="146" t="s">
        <v>931</v>
      </c>
      <c r="F323" s="145"/>
      <c r="G323" s="145"/>
      <c r="H323" s="145"/>
      <c r="I323" s="145"/>
      <c r="T323" s="19" t="s">
        <v>372</v>
      </c>
      <c r="W323" t="s">
        <v>432</v>
      </c>
    </row>
    <row r="324" spans="1:25" x14ac:dyDescent="0.2">
      <c r="A324" s="144">
        <v>2</v>
      </c>
      <c r="B324" s="143" t="s">
        <v>208</v>
      </c>
      <c r="C324" s="143" t="s">
        <v>950</v>
      </c>
      <c r="D324" s="143"/>
      <c r="E324" s="146" t="s">
        <v>932</v>
      </c>
      <c r="F324" s="145"/>
      <c r="G324" s="145"/>
      <c r="H324" s="145"/>
      <c r="I324" s="145"/>
      <c r="T324" s="25" t="s">
        <v>401</v>
      </c>
      <c r="U324" s="25" t="s">
        <v>410</v>
      </c>
      <c r="W324" t="s">
        <v>208</v>
      </c>
      <c r="X324" t="s">
        <v>229</v>
      </c>
      <c r="Y324" t="s">
        <v>206</v>
      </c>
    </row>
    <row r="325" spans="1:25" x14ac:dyDescent="0.2">
      <c r="A325" s="144">
        <v>3</v>
      </c>
      <c r="B325" s="143" t="s">
        <v>208</v>
      </c>
      <c r="C325" s="143" t="s">
        <v>951</v>
      </c>
      <c r="D325" s="143"/>
      <c r="E325" s="146" t="s">
        <v>933</v>
      </c>
      <c r="F325" s="145"/>
      <c r="G325" s="145"/>
      <c r="H325" s="145"/>
      <c r="I325" s="145"/>
      <c r="T325" s="3" t="s">
        <v>86</v>
      </c>
      <c r="U325" s="6" t="s">
        <v>203</v>
      </c>
      <c r="W325" t="s">
        <v>208</v>
      </c>
      <c r="X325" t="s">
        <v>209</v>
      </c>
      <c r="Y325" t="s">
        <v>206</v>
      </c>
    </row>
    <row r="326" spans="1:25" x14ac:dyDescent="0.2">
      <c r="A326" s="144">
        <v>4</v>
      </c>
      <c r="B326" s="143" t="s">
        <v>208</v>
      </c>
      <c r="C326" s="143" t="s">
        <v>952</v>
      </c>
      <c r="D326" s="143"/>
      <c r="E326" s="146" t="s">
        <v>934</v>
      </c>
      <c r="F326" s="145"/>
      <c r="G326" s="145"/>
      <c r="H326" s="145"/>
      <c r="I326" s="145"/>
      <c r="T326" s="3" t="s">
        <v>88</v>
      </c>
      <c r="U326" s="6" t="s">
        <v>44</v>
      </c>
      <c r="W326" t="s">
        <v>208</v>
      </c>
      <c r="X326" t="s">
        <v>210</v>
      </c>
      <c r="Y326" t="s">
        <v>206</v>
      </c>
    </row>
    <row r="327" spans="1:25" x14ac:dyDescent="0.2">
      <c r="A327" s="144">
        <v>5</v>
      </c>
      <c r="B327" s="143" t="s">
        <v>208</v>
      </c>
      <c r="C327" s="143" t="s">
        <v>953</v>
      </c>
      <c r="D327" s="143"/>
      <c r="E327" s="146" t="s">
        <v>935</v>
      </c>
      <c r="F327" s="145"/>
      <c r="G327" s="145"/>
      <c r="H327" s="145"/>
      <c r="I327" s="145"/>
      <c r="T327" s="3" t="s">
        <v>67</v>
      </c>
      <c r="U327" s="6" t="s">
        <v>44</v>
      </c>
      <c r="W327" t="s">
        <v>208</v>
      </c>
      <c r="X327" t="s">
        <v>211</v>
      </c>
      <c r="Y327" t="s">
        <v>206</v>
      </c>
    </row>
    <row r="328" spans="1:25" x14ac:dyDescent="0.2">
      <c r="A328" s="144">
        <v>6</v>
      </c>
      <c r="B328" s="143" t="s">
        <v>208</v>
      </c>
      <c r="C328" s="143" t="s">
        <v>954</v>
      </c>
      <c r="D328" s="143"/>
      <c r="E328" s="146" t="s">
        <v>936</v>
      </c>
      <c r="F328" s="145"/>
      <c r="G328" s="145"/>
      <c r="H328" s="145"/>
      <c r="I328" s="145"/>
      <c r="T328" s="3" t="s">
        <v>68</v>
      </c>
      <c r="U328" s="6" t="s">
        <v>44</v>
      </c>
      <c r="W328" t="s">
        <v>208</v>
      </c>
      <c r="X328" t="s">
        <v>212</v>
      </c>
      <c r="Y328" t="s">
        <v>206</v>
      </c>
    </row>
    <row r="329" spans="1:25" x14ac:dyDescent="0.2">
      <c r="A329" s="144">
        <v>7</v>
      </c>
      <c r="B329" s="143" t="s">
        <v>208</v>
      </c>
      <c r="C329" s="143" t="s">
        <v>955</v>
      </c>
      <c r="D329" s="143"/>
      <c r="E329" s="146" t="s">
        <v>937</v>
      </c>
      <c r="F329" s="145"/>
      <c r="G329" s="145"/>
      <c r="H329" s="145"/>
      <c r="I329" s="145"/>
      <c r="T329" s="3" t="s">
        <v>69</v>
      </c>
      <c r="U329" s="6" t="s">
        <v>44</v>
      </c>
      <c r="W329" t="s">
        <v>208</v>
      </c>
      <c r="X329" t="s">
        <v>213</v>
      </c>
      <c r="Y329" t="s">
        <v>206</v>
      </c>
    </row>
    <row r="330" spans="1:25" x14ac:dyDescent="0.2">
      <c r="A330" s="144">
        <v>8</v>
      </c>
      <c r="B330" s="143" t="s">
        <v>208</v>
      </c>
      <c r="C330" s="143" t="s">
        <v>956</v>
      </c>
      <c r="D330" s="143"/>
      <c r="E330" s="146" t="s">
        <v>938</v>
      </c>
      <c r="F330" s="145">
        <v>0</v>
      </c>
      <c r="G330" s="145">
        <v>28800</v>
      </c>
      <c r="H330" s="145"/>
      <c r="I330" s="145"/>
      <c r="T330" s="3" t="s">
        <v>70</v>
      </c>
      <c r="U330" s="6" t="s">
        <v>44</v>
      </c>
      <c r="W330" t="s">
        <v>208</v>
      </c>
      <c r="X330" t="s">
        <v>214</v>
      </c>
      <c r="Y330" t="s">
        <v>206</v>
      </c>
    </row>
    <row r="331" spans="1:25" x14ac:dyDescent="0.2">
      <c r="A331" s="144">
        <v>9</v>
      </c>
      <c r="B331" s="143" t="s">
        <v>208</v>
      </c>
      <c r="C331" s="143" t="s">
        <v>957</v>
      </c>
      <c r="D331" s="143"/>
      <c r="E331" s="146" t="s">
        <v>939</v>
      </c>
      <c r="F331" s="145"/>
      <c r="G331" s="145"/>
      <c r="H331" s="145"/>
      <c r="I331" s="145"/>
      <c r="T331" s="3" t="s">
        <v>71</v>
      </c>
      <c r="U331" s="6" t="s">
        <v>44</v>
      </c>
      <c r="W331" t="s">
        <v>208</v>
      </c>
      <c r="X331" t="s">
        <v>215</v>
      </c>
      <c r="Y331" t="s">
        <v>206</v>
      </c>
    </row>
    <row r="332" spans="1:25" x14ac:dyDescent="0.2">
      <c r="A332" s="144">
        <v>10</v>
      </c>
      <c r="B332" s="143" t="s">
        <v>208</v>
      </c>
      <c r="C332" s="143" t="s">
        <v>958</v>
      </c>
      <c r="D332" s="143"/>
      <c r="E332" s="146" t="s">
        <v>940</v>
      </c>
      <c r="F332" s="145"/>
      <c r="G332" s="145"/>
      <c r="H332" s="145"/>
      <c r="I332" s="145"/>
      <c r="T332" s="3" t="s">
        <v>72</v>
      </c>
      <c r="U332" s="6" t="s">
        <v>44</v>
      </c>
      <c r="W332" t="s">
        <v>208</v>
      </c>
      <c r="X332" t="s">
        <v>216</v>
      </c>
      <c r="Y332" t="s">
        <v>206</v>
      </c>
    </row>
    <row r="333" spans="1:25" x14ac:dyDescent="0.2">
      <c r="A333" s="144">
        <v>11</v>
      </c>
      <c r="B333" s="143" t="s">
        <v>208</v>
      </c>
      <c r="C333" s="143" t="s">
        <v>959</v>
      </c>
      <c r="D333" s="143"/>
      <c r="E333" s="146" t="s">
        <v>941</v>
      </c>
      <c r="F333" s="145"/>
      <c r="G333" s="145"/>
      <c r="H333" s="145"/>
      <c r="I333" s="145"/>
      <c r="T333" s="3" t="s">
        <v>73</v>
      </c>
      <c r="U333" s="6" t="s">
        <v>44</v>
      </c>
      <c r="W333" t="s">
        <v>208</v>
      </c>
      <c r="X333" t="s">
        <v>217</v>
      </c>
      <c r="Y333" t="s">
        <v>206</v>
      </c>
    </row>
    <row r="334" spans="1:25" x14ac:dyDescent="0.2">
      <c r="A334" s="144">
        <v>12</v>
      </c>
      <c r="B334" s="143" t="s">
        <v>208</v>
      </c>
      <c r="C334" s="143" t="s">
        <v>960</v>
      </c>
      <c r="D334" s="143"/>
      <c r="E334" s="146" t="s">
        <v>942</v>
      </c>
      <c r="F334" s="145"/>
      <c r="G334" s="145"/>
      <c r="H334" s="145"/>
      <c r="I334" s="145"/>
      <c r="T334" s="3" t="s">
        <v>74</v>
      </c>
      <c r="U334" s="6" t="s">
        <v>44</v>
      </c>
      <c r="W334" t="s">
        <v>208</v>
      </c>
      <c r="X334" t="s">
        <v>218</v>
      </c>
      <c r="Y334" t="s">
        <v>206</v>
      </c>
    </row>
    <row r="335" spans="1:25" x14ac:dyDescent="0.2">
      <c r="A335" s="144">
        <v>13</v>
      </c>
      <c r="B335" s="143" t="s">
        <v>208</v>
      </c>
      <c r="C335" s="143" t="s">
        <v>961</v>
      </c>
      <c r="D335" s="143"/>
      <c r="E335" s="146" t="s">
        <v>943</v>
      </c>
      <c r="F335" s="145"/>
      <c r="G335" s="145"/>
      <c r="H335" s="145"/>
      <c r="I335" s="145"/>
      <c r="T335" s="3" t="s">
        <v>75</v>
      </c>
      <c r="U335" s="6" t="s">
        <v>44</v>
      </c>
      <c r="W335" t="s">
        <v>208</v>
      </c>
      <c r="X335" t="s">
        <v>219</v>
      </c>
      <c r="Y335" t="s">
        <v>206</v>
      </c>
    </row>
    <row r="336" spans="1:25" x14ac:dyDescent="0.2">
      <c r="A336" s="144">
        <v>14</v>
      </c>
      <c r="B336" s="143" t="s">
        <v>208</v>
      </c>
      <c r="C336" s="143" t="s">
        <v>962</v>
      </c>
      <c r="D336" s="143"/>
      <c r="E336" s="146" t="s">
        <v>944</v>
      </c>
      <c r="F336" s="145"/>
      <c r="G336" s="145"/>
      <c r="H336" s="145"/>
      <c r="I336" s="145"/>
      <c r="T336" s="3" t="s">
        <v>76</v>
      </c>
      <c r="U336" s="6" t="s">
        <v>44</v>
      </c>
      <c r="W336" t="s">
        <v>208</v>
      </c>
      <c r="X336" t="s">
        <v>220</v>
      </c>
      <c r="Y336" t="s">
        <v>206</v>
      </c>
    </row>
    <row r="337" spans="1:25" x14ac:dyDescent="0.2">
      <c r="A337" s="144">
        <v>15</v>
      </c>
      <c r="B337" s="143" t="s">
        <v>208</v>
      </c>
      <c r="C337" s="143" t="s">
        <v>963</v>
      </c>
      <c r="D337" s="143"/>
      <c r="E337" s="146" t="s">
        <v>945</v>
      </c>
      <c r="F337" s="145"/>
      <c r="G337" s="145"/>
      <c r="H337" s="145"/>
      <c r="I337" s="145"/>
      <c r="T337" s="3" t="s">
        <v>77</v>
      </c>
      <c r="U337" s="6" t="s">
        <v>44</v>
      </c>
      <c r="W337" t="s">
        <v>208</v>
      </c>
      <c r="X337" t="s">
        <v>221</v>
      </c>
      <c r="Y337" t="s">
        <v>206</v>
      </c>
    </row>
    <row r="338" spans="1:25" x14ac:dyDescent="0.2">
      <c r="A338" s="144">
        <v>16</v>
      </c>
      <c r="B338" s="143" t="s">
        <v>208</v>
      </c>
      <c r="C338" s="143" t="s">
        <v>964</v>
      </c>
      <c r="D338" s="143"/>
      <c r="E338" s="146" t="s">
        <v>946</v>
      </c>
      <c r="F338" s="145"/>
      <c r="G338" s="145"/>
      <c r="H338" s="145"/>
      <c r="I338" s="145"/>
      <c r="T338" s="3" t="s">
        <v>78</v>
      </c>
      <c r="U338" s="6" t="s">
        <v>44</v>
      </c>
      <c r="W338" t="s">
        <v>208</v>
      </c>
      <c r="X338" t="s">
        <v>222</v>
      </c>
      <c r="Y338" t="s">
        <v>206</v>
      </c>
    </row>
    <row r="339" spans="1:25" x14ac:dyDescent="0.2">
      <c r="A339" s="144">
        <v>17</v>
      </c>
      <c r="B339" s="143" t="s">
        <v>208</v>
      </c>
      <c r="C339" s="143" t="s">
        <v>965</v>
      </c>
      <c r="D339" s="143"/>
      <c r="E339" s="146" t="s">
        <v>947</v>
      </c>
      <c r="F339" s="145"/>
      <c r="G339" s="145"/>
      <c r="H339" s="145"/>
      <c r="I339" s="145"/>
      <c r="T339" s="3" t="s">
        <v>79</v>
      </c>
      <c r="U339" s="6" t="s">
        <v>44</v>
      </c>
      <c r="W339" t="s">
        <v>208</v>
      </c>
      <c r="X339" t="s">
        <v>223</v>
      </c>
      <c r="Y339" t="s">
        <v>206</v>
      </c>
    </row>
    <row r="340" spans="1:25" x14ac:dyDescent="0.2">
      <c r="A340" s="144">
        <v>18</v>
      </c>
      <c r="B340" s="143" t="s">
        <v>208</v>
      </c>
      <c r="C340" s="143" t="s">
        <v>966</v>
      </c>
      <c r="D340" s="143"/>
      <c r="E340" s="146" t="s">
        <v>948</v>
      </c>
      <c r="F340" s="145"/>
      <c r="G340" s="145"/>
      <c r="H340" s="145"/>
      <c r="I340" s="145"/>
      <c r="T340" s="3" t="s">
        <v>80</v>
      </c>
      <c r="U340" s="6" t="s">
        <v>44</v>
      </c>
      <c r="W340" t="s">
        <v>208</v>
      </c>
      <c r="X340" t="s">
        <v>224</v>
      </c>
      <c r="Y340" t="s">
        <v>206</v>
      </c>
    </row>
    <row r="341" spans="1:25" x14ac:dyDescent="0.2">
      <c r="A341" s="144">
        <v>19</v>
      </c>
      <c r="B341" s="143" t="s">
        <v>208</v>
      </c>
      <c r="C341" s="143" t="s">
        <v>967</v>
      </c>
      <c r="D341" s="143"/>
      <c r="E341" s="146" t="s">
        <v>949</v>
      </c>
      <c r="F341" s="145"/>
      <c r="G341" s="145"/>
      <c r="H341" s="145"/>
      <c r="I341" s="145"/>
      <c r="T341" s="3" t="s">
        <v>81</v>
      </c>
      <c r="U341" s="6" t="s">
        <v>44</v>
      </c>
      <c r="W341" t="s">
        <v>208</v>
      </c>
      <c r="X341" t="s">
        <v>225</v>
      </c>
      <c r="Y341" t="s">
        <v>206</v>
      </c>
    </row>
    <row r="342" spans="1:25" x14ac:dyDescent="0.2">
      <c r="T342" s="3" t="s">
        <v>82</v>
      </c>
      <c r="U342" s="6" t="s">
        <v>44</v>
      </c>
      <c r="W342" t="s">
        <v>208</v>
      </c>
      <c r="X342" t="s">
        <v>226</v>
      </c>
      <c r="Y342" t="s">
        <v>206</v>
      </c>
    </row>
    <row r="343" spans="1:25" x14ac:dyDescent="0.2">
      <c r="T343" s="3" t="s">
        <v>83</v>
      </c>
      <c r="U343" s="6" t="s">
        <v>44</v>
      </c>
      <c r="W343" t="s">
        <v>208</v>
      </c>
      <c r="X343" t="s">
        <v>227</v>
      </c>
      <c r="Y343" t="s">
        <v>206</v>
      </c>
    </row>
    <row r="344" spans="1:25" x14ac:dyDescent="0.2">
      <c r="T344" s="3" t="s">
        <v>84</v>
      </c>
      <c r="U344" s="6" t="s">
        <v>44</v>
      </c>
      <c r="W344" t="s">
        <v>208</v>
      </c>
      <c r="X344" t="s">
        <v>228</v>
      </c>
      <c r="Y344" t="s">
        <v>206</v>
      </c>
    </row>
    <row r="345" spans="1:25" x14ac:dyDescent="0.2">
      <c r="T345" s="3" t="s">
        <v>85</v>
      </c>
      <c r="U345" s="6" t="s">
        <v>44</v>
      </c>
      <c r="W345" t="s">
        <v>207</v>
      </c>
    </row>
    <row r="346" spans="1:25" x14ac:dyDescent="0.2">
      <c r="T346" s="3" t="s">
        <v>204</v>
      </c>
      <c r="U346" s="6" t="s">
        <v>205</v>
      </c>
    </row>
    <row r="347" spans="1:25" x14ac:dyDescent="0.2">
      <c r="T347" s="3" t="s">
        <v>1</v>
      </c>
      <c r="U347" s="6"/>
    </row>
    <row r="348" spans="1:25" x14ac:dyDescent="0.2">
      <c r="T348" s="3" t="s">
        <v>0</v>
      </c>
      <c r="U348" s="6"/>
    </row>
    <row r="349" spans="1:25" x14ac:dyDescent="0.2">
      <c r="T349" s="8" t="s">
        <v>98</v>
      </c>
      <c r="U349" s="3" t="s">
        <v>435</v>
      </c>
    </row>
    <row r="350" spans="1:25" ht="17" thickBot="1" x14ac:dyDescent="0.25">
      <c r="T350" s="4" t="s">
        <v>1</v>
      </c>
      <c r="U350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77" t="s">
        <v>744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R1" s="53" t="s">
        <v>769</v>
      </c>
      <c r="S1" s="54" t="s">
        <v>755</v>
      </c>
      <c r="T1" s="54" t="s">
        <v>754</v>
      </c>
      <c r="U1" s="54" t="s">
        <v>783</v>
      </c>
      <c r="V1" s="55" t="s">
        <v>780</v>
      </c>
    </row>
    <row r="2" spans="1:22" x14ac:dyDescent="0.2">
      <c r="A2" t="s">
        <v>765</v>
      </c>
      <c r="C2" t="s">
        <v>754</v>
      </c>
      <c r="R2" s="56" t="s">
        <v>770</v>
      </c>
      <c r="S2" s="57"/>
      <c r="T2" s="57"/>
      <c r="U2" s="57"/>
      <c r="V2" s="58"/>
    </row>
    <row r="3" spans="1:22" x14ac:dyDescent="0.2">
      <c r="A3" t="s">
        <v>766</v>
      </c>
      <c r="C3" t="s">
        <v>755</v>
      </c>
      <c r="R3" s="56"/>
      <c r="S3" s="57"/>
      <c r="T3" s="57"/>
      <c r="U3" s="57"/>
      <c r="V3" s="58"/>
    </row>
    <row r="4" spans="1:22" x14ac:dyDescent="0.2">
      <c r="A4" t="s">
        <v>784</v>
      </c>
      <c r="C4" t="s">
        <v>783</v>
      </c>
      <c r="R4" s="56" t="s">
        <v>771</v>
      </c>
      <c r="S4" s="57"/>
      <c r="T4" s="57"/>
      <c r="U4" s="57"/>
      <c r="V4" s="58"/>
    </row>
    <row r="5" spans="1:22" x14ac:dyDescent="0.2">
      <c r="A5" t="s">
        <v>767</v>
      </c>
      <c r="C5" t="s">
        <v>754</v>
      </c>
      <c r="R5" s="56"/>
      <c r="S5" s="57"/>
      <c r="T5" s="57"/>
      <c r="U5" s="57"/>
      <c r="V5" s="58"/>
    </row>
    <row r="6" spans="1:22" x14ac:dyDescent="0.2">
      <c r="A6" t="s">
        <v>784</v>
      </c>
      <c r="C6" t="s">
        <v>783</v>
      </c>
      <c r="R6" s="56" t="s">
        <v>772</v>
      </c>
      <c r="S6" s="57"/>
      <c r="T6" s="57"/>
      <c r="U6" s="57"/>
      <c r="V6" s="58"/>
    </row>
    <row r="7" spans="1:22" x14ac:dyDescent="0.2">
      <c r="A7" t="s">
        <v>768</v>
      </c>
      <c r="C7" t="s">
        <v>754</v>
      </c>
      <c r="R7" s="56" t="s">
        <v>773</v>
      </c>
      <c r="S7" s="57"/>
      <c r="T7" s="57"/>
      <c r="U7" s="57"/>
      <c r="V7" s="58"/>
    </row>
    <row r="8" spans="1:22" x14ac:dyDescent="0.2">
      <c r="A8" t="s">
        <v>115</v>
      </c>
      <c r="C8" t="s">
        <v>755</v>
      </c>
      <c r="R8" s="56" t="s">
        <v>774</v>
      </c>
      <c r="S8" s="57"/>
      <c r="T8" s="57"/>
      <c r="U8" s="57"/>
      <c r="V8" s="58"/>
    </row>
    <row r="9" spans="1:22" x14ac:dyDescent="0.2">
      <c r="A9" t="s">
        <v>784</v>
      </c>
      <c r="C9" t="s">
        <v>783</v>
      </c>
      <c r="R9" s="56" t="s">
        <v>515</v>
      </c>
      <c r="S9" s="57"/>
      <c r="T9" s="57"/>
      <c r="U9" s="57"/>
      <c r="V9" s="58"/>
    </row>
    <row r="10" spans="1:22" x14ac:dyDescent="0.2">
      <c r="R10" s="56" t="s">
        <v>517</v>
      </c>
      <c r="S10" s="57"/>
      <c r="T10" s="57"/>
      <c r="U10" s="57"/>
      <c r="V10" s="58"/>
    </row>
    <row r="11" spans="1:22" x14ac:dyDescent="0.2">
      <c r="R11" s="56" t="s">
        <v>521</v>
      </c>
      <c r="S11" s="57"/>
      <c r="T11" s="57"/>
      <c r="U11" s="57"/>
      <c r="V11" s="58"/>
    </row>
    <row r="12" spans="1:22" x14ac:dyDescent="0.2">
      <c r="A12" s="178" t="s">
        <v>745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R12" s="56" t="s">
        <v>781</v>
      </c>
      <c r="S12" s="57"/>
      <c r="T12" s="57"/>
      <c r="U12" s="57"/>
      <c r="V12" s="58"/>
    </row>
    <row r="13" spans="1:22" x14ac:dyDescent="0.2">
      <c r="R13" s="56" t="s">
        <v>775</v>
      </c>
      <c r="S13" s="57"/>
      <c r="T13" s="57"/>
      <c r="U13" s="57"/>
      <c r="V13" s="58"/>
    </row>
    <row r="14" spans="1:22" x14ac:dyDescent="0.2">
      <c r="A14" t="s">
        <v>113</v>
      </c>
      <c r="C14" t="s">
        <v>754</v>
      </c>
      <c r="R14" s="56" t="s">
        <v>776</v>
      </c>
      <c r="S14" s="57"/>
      <c r="T14" s="57"/>
      <c r="U14" s="57"/>
      <c r="V14" s="58"/>
    </row>
    <row r="15" spans="1:22" x14ac:dyDescent="0.2">
      <c r="A15" t="s">
        <v>750</v>
      </c>
      <c r="C15" t="s">
        <v>756</v>
      </c>
      <c r="R15" s="56" t="s">
        <v>777</v>
      </c>
      <c r="S15" s="57"/>
      <c r="T15" s="57"/>
      <c r="U15" s="57"/>
      <c r="V15" s="58"/>
    </row>
    <row r="16" spans="1:22" x14ac:dyDescent="0.2">
      <c r="R16" s="56" t="s">
        <v>778</v>
      </c>
      <c r="S16" s="57"/>
      <c r="T16" s="57"/>
      <c r="U16" s="57"/>
      <c r="V16" s="58"/>
    </row>
    <row r="17" spans="1:22" x14ac:dyDescent="0.2">
      <c r="R17" s="56" t="s">
        <v>779</v>
      </c>
      <c r="S17" s="57"/>
      <c r="T17" s="57"/>
      <c r="U17" s="57"/>
      <c r="V17" s="58"/>
    </row>
    <row r="18" spans="1:22" x14ac:dyDescent="0.2">
      <c r="R18" s="56" t="s">
        <v>782</v>
      </c>
      <c r="S18" s="57"/>
      <c r="T18" s="57"/>
      <c r="U18" s="57"/>
      <c r="V18" s="58"/>
    </row>
    <row r="19" spans="1:22" x14ac:dyDescent="0.2">
      <c r="R19" s="59"/>
      <c r="S19" s="60"/>
      <c r="T19" s="60"/>
      <c r="U19" s="60"/>
      <c r="V19" s="61"/>
    </row>
    <row r="22" spans="1:22" x14ac:dyDescent="0.2">
      <c r="A22" s="179" t="s">
        <v>746</v>
      </c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</row>
    <row r="24" spans="1:22" x14ac:dyDescent="0.2">
      <c r="A24" t="s">
        <v>751</v>
      </c>
      <c r="C24" t="s">
        <v>756</v>
      </c>
    </row>
    <row r="25" spans="1:22" x14ac:dyDescent="0.2">
      <c r="A25" t="s">
        <v>752</v>
      </c>
      <c r="C25" t="s">
        <v>757</v>
      </c>
    </row>
    <row r="26" spans="1:22" x14ac:dyDescent="0.2">
      <c r="A26" t="s">
        <v>753</v>
      </c>
      <c r="C26" t="s">
        <v>757</v>
      </c>
    </row>
    <row r="32" spans="1:22" x14ac:dyDescent="0.2">
      <c r="A32" s="180" t="s">
        <v>747</v>
      </c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</row>
    <row r="34" spans="1:15" x14ac:dyDescent="0.2">
      <c r="A34" t="s">
        <v>758</v>
      </c>
      <c r="C34" t="s">
        <v>756</v>
      </c>
    </row>
    <row r="35" spans="1:15" x14ac:dyDescent="0.2">
      <c r="A35" t="s">
        <v>759</v>
      </c>
      <c r="C35" t="s">
        <v>756</v>
      </c>
    </row>
    <row r="36" spans="1:15" x14ac:dyDescent="0.2">
      <c r="A36" t="s">
        <v>752</v>
      </c>
      <c r="C36" t="s">
        <v>757</v>
      </c>
    </row>
    <row r="37" spans="1:15" x14ac:dyDescent="0.2">
      <c r="A37" t="s">
        <v>753</v>
      </c>
      <c r="C37" t="s">
        <v>757</v>
      </c>
    </row>
    <row r="42" spans="1:15" x14ac:dyDescent="0.2">
      <c r="A42" s="181" t="s">
        <v>748</v>
      </c>
      <c r="B42" s="181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1"/>
    </row>
    <row r="44" spans="1:15" x14ac:dyDescent="0.2">
      <c r="A44" t="s">
        <v>760</v>
      </c>
      <c r="C44" t="s">
        <v>756</v>
      </c>
    </row>
    <row r="45" spans="1:15" x14ac:dyDescent="0.2">
      <c r="A45" t="s">
        <v>761</v>
      </c>
      <c r="C45" t="s">
        <v>756</v>
      </c>
    </row>
    <row r="46" spans="1:15" x14ac:dyDescent="0.2">
      <c r="A46" t="s">
        <v>762</v>
      </c>
      <c r="C46" t="s">
        <v>757</v>
      </c>
    </row>
    <row r="47" spans="1:15" x14ac:dyDescent="0.2">
      <c r="A47" t="s">
        <v>753</v>
      </c>
      <c r="C47" t="s">
        <v>757</v>
      </c>
    </row>
    <row r="52" spans="1:15" x14ac:dyDescent="0.2">
      <c r="A52" s="177" t="s">
        <v>749</v>
      </c>
      <c r="B52" s="177"/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</row>
    <row r="54" spans="1:15" x14ac:dyDescent="0.2">
      <c r="A54" t="s">
        <v>763</v>
      </c>
      <c r="C54" t="s">
        <v>756</v>
      </c>
    </row>
    <row r="55" spans="1:15" x14ac:dyDescent="0.2">
      <c r="A55" t="s">
        <v>764</v>
      </c>
      <c r="C55" t="s">
        <v>756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Q33"/>
  <sheetViews>
    <sheetView topLeftCell="B1" workbookViewId="0">
      <selection activeCell="J9" sqref="J9"/>
    </sheetView>
  </sheetViews>
  <sheetFormatPr baseColWidth="10" defaultRowHeight="16" x14ac:dyDescent="0.2"/>
  <cols>
    <col min="1" max="1" width="17" customWidth="1"/>
    <col min="2" max="2" width="11.1640625" customWidth="1"/>
    <col min="3" max="3" width="31.33203125" customWidth="1"/>
    <col min="4" max="5" width="24.83203125" customWidth="1"/>
    <col min="6" max="6" width="49.5" customWidth="1"/>
    <col min="7" max="7" width="25" style="18" customWidth="1"/>
    <col min="8" max="9" width="13" style="18" customWidth="1"/>
    <col min="10" max="10" width="35.1640625" style="21" customWidth="1"/>
    <col min="11" max="11" width="21.1640625" style="18" customWidth="1"/>
    <col min="12" max="12" width="11.1640625" style="18" customWidth="1"/>
    <col min="13" max="13" width="22.5" customWidth="1"/>
    <col min="14" max="14" width="19.6640625" customWidth="1"/>
    <col min="15" max="15" width="14.1640625" customWidth="1"/>
    <col min="16" max="16" width="35.83203125" customWidth="1"/>
    <col min="17" max="17" width="43" customWidth="1"/>
  </cols>
  <sheetData>
    <row r="3" spans="1:17" s="175" customFormat="1" ht="75" customHeight="1" x14ac:dyDescent="0.25">
      <c r="A3" s="174" t="s">
        <v>1053</v>
      </c>
      <c r="B3" s="174" t="s">
        <v>787</v>
      </c>
      <c r="C3" s="174" t="s">
        <v>788</v>
      </c>
      <c r="D3" s="174" t="s">
        <v>789</v>
      </c>
      <c r="E3" s="174" t="s">
        <v>1056</v>
      </c>
      <c r="F3" s="174" t="s">
        <v>792</v>
      </c>
      <c r="G3" s="174" t="s">
        <v>790</v>
      </c>
      <c r="H3" s="174" t="s">
        <v>1064</v>
      </c>
      <c r="I3" s="174" t="s">
        <v>790</v>
      </c>
      <c r="J3" s="174" t="s">
        <v>793</v>
      </c>
      <c r="K3" s="174" t="s">
        <v>790</v>
      </c>
      <c r="L3" s="174" t="s">
        <v>1064</v>
      </c>
      <c r="M3" s="174" t="s">
        <v>1069</v>
      </c>
      <c r="N3" s="174" t="s">
        <v>1052</v>
      </c>
      <c r="O3" s="174" t="s">
        <v>1070</v>
      </c>
      <c r="P3" s="174" t="s">
        <v>794</v>
      </c>
      <c r="Q3" s="174" t="s">
        <v>230</v>
      </c>
    </row>
    <row r="4" spans="1:17" ht="27" customHeight="1" x14ac:dyDescent="0.2">
      <c r="A4" t="s">
        <v>231</v>
      </c>
      <c r="B4">
        <v>1</v>
      </c>
      <c r="C4" t="s">
        <v>1054</v>
      </c>
      <c r="D4" t="s">
        <v>797</v>
      </c>
      <c r="E4" t="s">
        <v>1063</v>
      </c>
      <c r="F4" t="s">
        <v>1080</v>
      </c>
      <c r="G4" s="18" t="s">
        <v>1065</v>
      </c>
      <c r="H4" s="18" t="s">
        <v>1067</v>
      </c>
      <c r="N4">
        <v>60</v>
      </c>
      <c r="O4">
        <v>1</v>
      </c>
      <c r="P4" t="s">
        <v>796</v>
      </c>
      <c r="Q4" t="s">
        <v>232</v>
      </c>
    </row>
    <row r="5" spans="1:17" ht="27" customHeight="1" x14ac:dyDescent="0.2">
      <c r="A5" t="s">
        <v>236</v>
      </c>
      <c r="B5">
        <v>2</v>
      </c>
      <c r="C5" t="s">
        <v>239</v>
      </c>
      <c r="D5" t="s">
        <v>802</v>
      </c>
      <c r="E5" t="s">
        <v>1062</v>
      </c>
      <c r="F5" t="s">
        <v>1092</v>
      </c>
      <c r="G5" s="18" t="s">
        <v>1093</v>
      </c>
      <c r="H5" s="18">
        <v>2275</v>
      </c>
      <c r="P5" t="s">
        <v>1094</v>
      </c>
      <c r="Q5" t="s">
        <v>240</v>
      </c>
    </row>
    <row r="6" spans="1:17" ht="27" customHeight="1" x14ac:dyDescent="0.2">
      <c r="A6" t="s">
        <v>231</v>
      </c>
      <c r="B6">
        <v>3</v>
      </c>
      <c r="C6" t="s">
        <v>1055</v>
      </c>
      <c r="D6" t="s">
        <v>1086</v>
      </c>
      <c r="E6" t="s">
        <v>1057</v>
      </c>
      <c r="F6" s="21" t="s">
        <v>1081</v>
      </c>
      <c r="G6" s="18" t="s">
        <v>1066</v>
      </c>
      <c r="H6" s="18">
        <v>35</v>
      </c>
      <c r="N6">
        <v>60</v>
      </c>
      <c r="O6">
        <v>1</v>
      </c>
      <c r="P6" t="s">
        <v>241</v>
      </c>
      <c r="Q6" t="s">
        <v>1068</v>
      </c>
    </row>
    <row r="7" spans="1:17" ht="27" customHeight="1" x14ac:dyDescent="0.2">
      <c r="A7" t="s">
        <v>231</v>
      </c>
      <c r="B7">
        <v>4</v>
      </c>
      <c r="C7" t="s">
        <v>1084</v>
      </c>
      <c r="D7" t="s">
        <v>1085</v>
      </c>
      <c r="E7" t="s">
        <v>1087</v>
      </c>
      <c r="F7" t="s">
        <v>1133</v>
      </c>
      <c r="G7" s="18" t="s">
        <v>1066</v>
      </c>
      <c r="H7" s="18">
        <v>35</v>
      </c>
    </row>
    <row r="8" spans="1:17" ht="27" customHeight="1" x14ac:dyDescent="0.2">
      <c r="A8" t="s">
        <v>231</v>
      </c>
      <c r="B8">
        <v>5</v>
      </c>
      <c r="C8" t="s">
        <v>233</v>
      </c>
      <c r="D8" t="s">
        <v>798</v>
      </c>
      <c r="E8" t="s">
        <v>1058</v>
      </c>
      <c r="F8" t="s">
        <v>1091</v>
      </c>
      <c r="G8" s="18" t="s">
        <v>1066</v>
      </c>
      <c r="H8" s="18">
        <v>40</v>
      </c>
      <c r="N8">
        <v>180</v>
      </c>
      <c r="O8">
        <v>1</v>
      </c>
      <c r="P8" t="s">
        <v>234</v>
      </c>
      <c r="Q8" t="s">
        <v>235</v>
      </c>
    </row>
    <row r="9" spans="1:17" ht="27" customHeight="1" x14ac:dyDescent="0.2">
      <c r="A9" t="s">
        <v>231</v>
      </c>
      <c r="B9">
        <v>6</v>
      </c>
      <c r="C9" t="s">
        <v>1088</v>
      </c>
      <c r="D9" t="s">
        <v>798</v>
      </c>
      <c r="E9" t="s">
        <v>1089</v>
      </c>
      <c r="F9" t="s">
        <v>1090</v>
      </c>
      <c r="G9" s="18" t="s">
        <v>1066</v>
      </c>
      <c r="H9" s="18">
        <v>40</v>
      </c>
      <c r="N9">
        <v>180</v>
      </c>
      <c r="O9">
        <v>1</v>
      </c>
      <c r="P9" t="s">
        <v>234</v>
      </c>
      <c r="Q9" t="s">
        <v>235</v>
      </c>
    </row>
    <row r="10" spans="1:17" ht="27" customHeight="1" x14ac:dyDescent="0.2">
      <c r="A10" t="s">
        <v>231</v>
      </c>
      <c r="B10">
        <v>7</v>
      </c>
      <c r="C10" t="s">
        <v>242</v>
      </c>
      <c r="D10" t="s">
        <v>799</v>
      </c>
      <c r="E10" t="s">
        <v>1059</v>
      </c>
      <c r="F10" t="s">
        <v>1082</v>
      </c>
      <c r="G10" s="18" t="s">
        <v>1065</v>
      </c>
      <c r="N10">
        <v>25</v>
      </c>
      <c r="O10">
        <v>1</v>
      </c>
      <c r="P10" t="s">
        <v>250</v>
      </c>
      <c r="Q10" t="s">
        <v>243</v>
      </c>
    </row>
    <row r="11" spans="1:17" ht="43" customHeight="1" x14ac:dyDescent="0.2">
      <c r="A11" t="s">
        <v>231</v>
      </c>
      <c r="B11">
        <v>8</v>
      </c>
      <c r="C11" t="s">
        <v>244</v>
      </c>
      <c r="D11" t="s">
        <v>801</v>
      </c>
      <c r="E11" t="s">
        <v>1060</v>
      </c>
      <c r="F11" t="s">
        <v>1082</v>
      </c>
      <c r="G11" s="18" t="s">
        <v>1065</v>
      </c>
      <c r="H11" s="18" t="s">
        <v>1067</v>
      </c>
      <c r="J11" s="63" t="s">
        <v>1071</v>
      </c>
      <c r="K11" s="18" t="s">
        <v>1066</v>
      </c>
      <c r="L11" s="18">
        <v>2</v>
      </c>
      <c r="N11">
        <v>30</v>
      </c>
      <c r="P11" t="s">
        <v>245</v>
      </c>
      <c r="Q11" t="s">
        <v>246</v>
      </c>
    </row>
    <row r="12" spans="1:17" ht="27" customHeight="1" x14ac:dyDescent="0.2">
      <c r="A12" t="s">
        <v>231</v>
      </c>
      <c r="B12">
        <v>9</v>
      </c>
      <c r="C12" t="s">
        <v>247</v>
      </c>
      <c r="D12" t="s">
        <v>800</v>
      </c>
      <c r="E12" t="s">
        <v>1061</v>
      </c>
      <c r="F12" t="s">
        <v>1082</v>
      </c>
      <c r="G12" s="18" t="s">
        <v>1065</v>
      </c>
      <c r="H12" s="18" t="s">
        <v>1067</v>
      </c>
      <c r="J12" s="21" t="s">
        <v>1079</v>
      </c>
      <c r="K12" s="18" t="s">
        <v>1066</v>
      </c>
      <c r="L12" s="18">
        <v>2</v>
      </c>
      <c r="M12" s="176"/>
      <c r="P12" t="s">
        <v>248</v>
      </c>
      <c r="Q12" t="s">
        <v>249</v>
      </c>
    </row>
    <row r="13" spans="1:17" ht="56" customHeight="1" x14ac:dyDescent="0.2">
      <c r="A13" t="s">
        <v>236</v>
      </c>
      <c r="B13">
        <v>10</v>
      </c>
      <c r="C13" t="s">
        <v>1072</v>
      </c>
      <c r="D13" t="s">
        <v>1074</v>
      </c>
      <c r="E13" t="s">
        <v>1076</v>
      </c>
      <c r="F13" s="21" t="s">
        <v>1134</v>
      </c>
      <c r="G13" s="18" t="s">
        <v>1065</v>
      </c>
      <c r="H13" s="18" t="s">
        <v>1067</v>
      </c>
      <c r="I13" s="18" t="s">
        <v>1135</v>
      </c>
      <c r="J13" s="21" t="s">
        <v>1051</v>
      </c>
      <c r="K13" s="18" t="s">
        <v>791</v>
      </c>
      <c r="M13" s="62"/>
      <c r="N13">
        <v>10</v>
      </c>
      <c r="O13">
        <v>10</v>
      </c>
      <c r="P13" s="21" t="s">
        <v>795</v>
      </c>
      <c r="Q13" t="s">
        <v>237</v>
      </c>
    </row>
    <row r="14" spans="1:17" ht="56" customHeight="1" x14ac:dyDescent="0.2">
      <c r="A14" t="s">
        <v>236</v>
      </c>
      <c r="B14">
        <v>11</v>
      </c>
      <c r="C14" t="s">
        <v>1073</v>
      </c>
      <c r="D14" t="s">
        <v>1075</v>
      </c>
      <c r="E14" t="s">
        <v>1077</v>
      </c>
      <c r="F14" s="21" t="s">
        <v>1134</v>
      </c>
      <c r="G14" s="18" t="s">
        <v>1065</v>
      </c>
      <c r="H14" s="18" t="s">
        <v>1067</v>
      </c>
      <c r="I14" s="18" t="s">
        <v>1135</v>
      </c>
      <c r="J14" s="21" t="s">
        <v>1078</v>
      </c>
      <c r="K14" s="18" t="s">
        <v>791</v>
      </c>
      <c r="M14" s="62"/>
      <c r="N14">
        <v>10</v>
      </c>
      <c r="O14">
        <v>10</v>
      </c>
      <c r="P14" s="21" t="s">
        <v>795</v>
      </c>
      <c r="Q14" t="s">
        <v>237</v>
      </c>
    </row>
    <row r="15" spans="1:17" ht="56" customHeight="1" x14ac:dyDescent="0.2">
      <c r="A15" t="s">
        <v>236</v>
      </c>
      <c r="B15">
        <v>12</v>
      </c>
      <c r="C15" t="s">
        <v>1095</v>
      </c>
      <c r="D15" t="s">
        <v>1096</v>
      </c>
      <c r="E15" t="s">
        <v>1097</v>
      </c>
      <c r="F15" s="21" t="s">
        <v>1098</v>
      </c>
      <c r="G15" s="18" t="s">
        <v>1065</v>
      </c>
      <c r="H15" s="18" t="s">
        <v>1067</v>
      </c>
      <c r="I15" s="18" t="s">
        <v>1135</v>
      </c>
      <c r="J15" s="21" t="s">
        <v>1099</v>
      </c>
      <c r="K15" s="18" t="s">
        <v>1066</v>
      </c>
      <c r="L15" s="18">
        <v>2</v>
      </c>
      <c r="M15" s="62"/>
      <c r="N15">
        <v>10</v>
      </c>
      <c r="O15">
        <v>10</v>
      </c>
      <c r="P15" s="21" t="s">
        <v>1100</v>
      </c>
      <c r="Q15" t="s">
        <v>1101</v>
      </c>
    </row>
    <row r="16" spans="1:17" ht="27" customHeight="1" x14ac:dyDescent="0.2">
      <c r="A16" t="s">
        <v>236</v>
      </c>
      <c r="B16">
        <v>13</v>
      </c>
      <c r="C16" t="s">
        <v>1102</v>
      </c>
      <c r="D16" t="s">
        <v>1104</v>
      </c>
      <c r="E16" t="s">
        <v>1106</v>
      </c>
      <c r="F16" t="s">
        <v>1108</v>
      </c>
      <c r="G16" s="18" t="s">
        <v>1093</v>
      </c>
      <c r="H16" s="18">
        <v>25</v>
      </c>
      <c r="N16">
        <v>0</v>
      </c>
      <c r="Q16" t="s">
        <v>1110</v>
      </c>
    </row>
    <row r="17" spans="1:17" ht="27" customHeight="1" x14ac:dyDescent="0.2">
      <c r="A17" t="s">
        <v>236</v>
      </c>
      <c r="B17">
        <v>14</v>
      </c>
      <c r="C17" t="s">
        <v>1103</v>
      </c>
      <c r="D17" t="s">
        <v>1105</v>
      </c>
      <c r="E17" t="s">
        <v>1107</v>
      </c>
      <c r="F17" t="s">
        <v>1109</v>
      </c>
      <c r="G17" s="18" t="s">
        <v>1093</v>
      </c>
      <c r="H17" s="18">
        <v>15</v>
      </c>
      <c r="N17">
        <v>0</v>
      </c>
      <c r="Q17" t="s">
        <v>1111</v>
      </c>
    </row>
    <row r="18" spans="1:17" ht="27" customHeight="1" x14ac:dyDescent="0.2">
      <c r="B18">
        <v>15</v>
      </c>
      <c r="C18" t="s">
        <v>1119</v>
      </c>
      <c r="D18" t="s">
        <v>1112</v>
      </c>
      <c r="E18" t="s">
        <v>1116</v>
      </c>
      <c r="F18" t="s">
        <v>1118</v>
      </c>
      <c r="G18" s="18" t="s">
        <v>1093</v>
      </c>
      <c r="H18" s="18">
        <v>25</v>
      </c>
      <c r="N18">
        <v>0</v>
      </c>
      <c r="Q18" t="s">
        <v>1110</v>
      </c>
    </row>
    <row r="19" spans="1:17" ht="27" customHeight="1" x14ac:dyDescent="0.2">
      <c r="B19">
        <v>16</v>
      </c>
      <c r="C19" t="s">
        <v>1120</v>
      </c>
      <c r="D19" t="s">
        <v>1113</v>
      </c>
      <c r="E19" t="s">
        <v>1117</v>
      </c>
      <c r="F19" t="s">
        <v>1109</v>
      </c>
      <c r="G19" s="18" t="s">
        <v>1093</v>
      </c>
      <c r="H19" s="18">
        <v>15</v>
      </c>
      <c r="N19">
        <v>0</v>
      </c>
      <c r="Q19" t="s">
        <v>1111</v>
      </c>
    </row>
    <row r="20" spans="1:17" ht="27" customHeight="1" x14ac:dyDescent="0.2">
      <c r="B20">
        <v>17</v>
      </c>
      <c r="C20" t="s">
        <v>1121</v>
      </c>
      <c r="D20" t="s">
        <v>1114</v>
      </c>
      <c r="E20" t="s">
        <v>1127</v>
      </c>
      <c r="F20" t="s">
        <v>1129</v>
      </c>
      <c r="G20" s="18" t="s">
        <v>1093</v>
      </c>
      <c r="H20" s="18">
        <v>300</v>
      </c>
      <c r="N20">
        <v>0</v>
      </c>
      <c r="Q20" t="s">
        <v>1110</v>
      </c>
    </row>
    <row r="21" spans="1:17" ht="27" customHeight="1" x14ac:dyDescent="0.2">
      <c r="B21">
        <v>18</v>
      </c>
      <c r="C21" t="s">
        <v>1122</v>
      </c>
      <c r="D21" t="s">
        <v>1115</v>
      </c>
      <c r="E21" t="s">
        <v>1128</v>
      </c>
      <c r="F21" t="s">
        <v>1109</v>
      </c>
      <c r="G21" s="18" t="s">
        <v>1093</v>
      </c>
      <c r="H21" s="18">
        <v>5</v>
      </c>
      <c r="N21">
        <v>0</v>
      </c>
      <c r="Q21" t="s">
        <v>1111</v>
      </c>
    </row>
    <row r="22" spans="1:17" ht="27" customHeight="1" x14ac:dyDescent="0.2">
      <c r="B22">
        <v>19</v>
      </c>
      <c r="C22" t="s">
        <v>1123</v>
      </c>
      <c r="D22" t="s">
        <v>1125</v>
      </c>
      <c r="E22" t="s">
        <v>1131</v>
      </c>
      <c r="F22" t="s">
        <v>1130</v>
      </c>
      <c r="G22" s="18" t="s">
        <v>1093</v>
      </c>
      <c r="H22" s="18">
        <v>300</v>
      </c>
      <c r="N22">
        <v>0</v>
      </c>
      <c r="Q22" t="s">
        <v>1110</v>
      </c>
    </row>
    <row r="23" spans="1:17" ht="27" customHeight="1" x14ac:dyDescent="0.2">
      <c r="B23">
        <v>20</v>
      </c>
      <c r="C23" t="s">
        <v>1124</v>
      </c>
      <c r="D23" t="s">
        <v>1126</v>
      </c>
      <c r="E23" t="s">
        <v>1132</v>
      </c>
      <c r="F23" t="s">
        <v>1109</v>
      </c>
      <c r="G23" s="18" t="s">
        <v>1093</v>
      </c>
      <c r="H23" s="18">
        <v>20</v>
      </c>
      <c r="N23">
        <v>0</v>
      </c>
      <c r="Q23" t="s">
        <v>1111</v>
      </c>
    </row>
    <row r="24" spans="1:17" ht="27" customHeight="1" x14ac:dyDescent="0.2">
      <c r="A24" t="s">
        <v>236</v>
      </c>
      <c r="B24">
        <v>21</v>
      </c>
      <c r="C24" t="s">
        <v>785</v>
      </c>
      <c r="D24" t="s">
        <v>804</v>
      </c>
      <c r="F24" t="s">
        <v>1083</v>
      </c>
      <c r="Q24" t="s">
        <v>786</v>
      </c>
    </row>
    <row r="25" spans="1:17" ht="27" customHeight="1" x14ac:dyDescent="0.2">
      <c r="A25" t="s">
        <v>238</v>
      </c>
      <c r="B25">
        <v>22</v>
      </c>
      <c r="C25" t="s">
        <v>44</v>
      </c>
      <c r="D25" t="s">
        <v>44</v>
      </c>
    </row>
    <row r="26" spans="1:17" ht="27" customHeight="1" x14ac:dyDescent="0.2">
      <c r="A26" t="s">
        <v>238</v>
      </c>
      <c r="B26">
        <v>23</v>
      </c>
      <c r="C26" t="s">
        <v>44</v>
      </c>
      <c r="D26" t="s">
        <v>44</v>
      </c>
    </row>
    <row r="27" spans="1:17" ht="27" customHeight="1" x14ac:dyDescent="0.2">
      <c r="A27" t="s">
        <v>236</v>
      </c>
      <c r="B27">
        <v>24</v>
      </c>
      <c r="C27" t="s">
        <v>251</v>
      </c>
      <c r="D27" t="s">
        <v>803</v>
      </c>
      <c r="F27" t="s">
        <v>252</v>
      </c>
      <c r="N27" t="s">
        <v>253</v>
      </c>
      <c r="P27" t="s">
        <v>254</v>
      </c>
      <c r="Q27" t="s">
        <v>255</v>
      </c>
    </row>
    <row r="28" spans="1:17" ht="27" customHeight="1" x14ac:dyDescent="0.2"/>
    <row r="29" spans="1:17" ht="27" customHeight="1" x14ac:dyDescent="0.2"/>
    <row r="30" spans="1:17" ht="27" customHeight="1" x14ac:dyDescent="0.2"/>
    <row r="31" spans="1:17" ht="27" customHeight="1" x14ac:dyDescent="0.2"/>
    <row r="32" spans="1:17" ht="27" customHeight="1" x14ac:dyDescent="0.2"/>
    <row r="3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366</v>
      </c>
    </row>
    <row r="2" spans="2:10" x14ac:dyDescent="0.2">
      <c r="B2" t="s">
        <v>256</v>
      </c>
      <c r="C2" t="s">
        <v>257</v>
      </c>
      <c r="D2" t="s">
        <v>258</v>
      </c>
    </row>
    <row r="3" spans="2:10" x14ac:dyDescent="0.2">
      <c r="B3" t="s">
        <v>259</v>
      </c>
      <c r="C3" t="s">
        <v>367</v>
      </c>
      <c r="D3" t="s">
        <v>260</v>
      </c>
    </row>
    <row r="7" spans="2:10" x14ac:dyDescent="0.2">
      <c r="B7" t="s">
        <v>272</v>
      </c>
      <c r="C7">
        <v>0</v>
      </c>
      <c r="D7" t="s">
        <v>273</v>
      </c>
    </row>
    <row r="8" spans="2:10" x14ac:dyDescent="0.2">
      <c r="C8" t="s">
        <v>274</v>
      </c>
      <c r="D8" t="s">
        <v>275</v>
      </c>
    </row>
    <row r="10" spans="2:10" x14ac:dyDescent="0.2">
      <c r="B10" t="s">
        <v>261</v>
      </c>
    </row>
    <row r="12" spans="2:10" x14ac:dyDescent="0.2">
      <c r="B12" t="s">
        <v>262</v>
      </c>
      <c r="C12" t="s">
        <v>263</v>
      </c>
      <c r="D12" s="183" t="s">
        <v>363</v>
      </c>
      <c r="E12" s="183"/>
      <c r="F12" t="s">
        <v>265</v>
      </c>
      <c r="H12" t="s">
        <v>264</v>
      </c>
    </row>
    <row r="13" spans="2:10" x14ac:dyDescent="0.2">
      <c r="B13" t="s">
        <v>266</v>
      </c>
      <c r="C13" t="s">
        <v>267</v>
      </c>
      <c r="D13" s="183" t="s">
        <v>363</v>
      </c>
      <c r="E13" s="183"/>
    </row>
    <row r="14" spans="2:10" x14ac:dyDescent="0.2">
      <c r="B14" t="s">
        <v>268</v>
      </c>
      <c r="C14" t="s">
        <v>269</v>
      </c>
      <c r="D14" s="183" t="s">
        <v>363</v>
      </c>
      <c r="E14" s="183"/>
      <c r="F14" t="s">
        <v>265</v>
      </c>
      <c r="H14" t="s">
        <v>264</v>
      </c>
      <c r="I14" t="s">
        <v>368</v>
      </c>
    </row>
    <row r="15" spans="2:10" x14ac:dyDescent="0.2">
      <c r="B15" t="s">
        <v>270</v>
      </c>
      <c r="C15" t="s">
        <v>271</v>
      </c>
      <c r="D15" s="183" t="s">
        <v>363</v>
      </c>
      <c r="E15" s="183"/>
      <c r="F15" t="s">
        <v>265</v>
      </c>
      <c r="H15" t="s">
        <v>264</v>
      </c>
    </row>
    <row r="16" spans="2:10" x14ac:dyDescent="0.2">
      <c r="B16" t="s">
        <v>357</v>
      </c>
      <c r="C16" t="s">
        <v>365</v>
      </c>
      <c r="D16" s="183" t="s">
        <v>365</v>
      </c>
      <c r="E16" s="183"/>
      <c r="F16" t="s">
        <v>265</v>
      </c>
      <c r="H16" t="s">
        <v>264</v>
      </c>
      <c r="J16" t="s">
        <v>364</v>
      </c>
    </row>
    <row r="19" spans="1:51" ht="22" customHeight="1" x14ac:dyDescent="0.2"/>
    <row r="20" spans="1:51" x14ac:dyDescent="0.2">
      <c r="A20" s="13"/>
      <c r="B20" s="182" t="s">
        <v>276</v>
      </c>
      <c r="C20" s="182"/>
      <c r="D20" s="182"/>
      <c r="E20" s="182"/>
      <c r="F20" s="182"/>
      <c r="G20" s="13"/>
      <c r="H20" s="182" t="s">
        <v>277</v>
      </c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3"/>
      <c r="AD20" s="182" t="s">
        <v>278</v>
      </c>
      <c r="AE20" s="182"/>
      <c r="AF20" s="182"/>
      <c r="AG20" s="182"/>
      <c r="AH20" s="182"/>
      <c r="AI20" s="182"/>
      <c r="AJ20" s="182"/>
      <c r="AK20" s="182"/>
      <c r="AL20" s="182"/>
      <c r="AM20" s="182"/>
      <c r="AN20" s="182"/>
      <c r="AO20" s="182"/>
      <c r="AP20" s="182"/>
      <c r="AQ20" s="182"/>
      <c r="AR20" s="182"/>
      <c r="AS20" s="182"/>
      <c r="AT20" s="182"/>
      <c r="AU20" s="182"/>
      <c r="AV20" s="182"/>
      <c r="AW20" s="182"/>
      <c r="AX20" s="182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340</v>
      </c>
      <c r="C22" s="23" t="s">
        <v>341</v>
      </c>
      <c r="D22" s="23" t="s">
        <v>342</v>
      </c>
      <c r="E22" s="23" t="s">
        <v>354</v>
      </c>
      <c r="F22" s="23" t="s">
        <v>355</v>
      </c>
      <c r="G22" s="22"/>
      <c r="H22" s="21" t="s">
        <v>320</v>
      </c>
      <c r="I22" s="21" t="s">
        <v>321</v>
      </c>
      <c r="J22" s="21" t="s">
        <v>322</v>
      </c>
      <c r="K22" s="21" t="s">
        <v>323</v>
      </c>
      <c r="L22" s="21" t="s">
        <v>329</v>
      </c>
      <c r="M22" s="21" t="s">
        <v>328</v>
      </c>
      <c r="N22" s="21" t="s">
        <v>310</v>
      </c>
      <c r="O22" s="21" t="s">
        <v>311</v>
      </c>
      <c r="P22" s="21" t="s">
        <v>324</v>
      </c>
      <c r="Q22" s="21" t="s">
        <v>325</v>
      </c>
      <c r="R22" s="21" t="s">
        <v>326</v>
      </c>
      <c r="S22" s="21" t="s">
        <v>327</v>
      </c>
      <c r="T22" s="21" t="s">
        <v>330</v>
      </c>
      <c r="U22" s="21" t="s">
        <v>331</v>
      </c>
      <c r="V22" s="21" t="s">
        <v>332</v>
      </c>
      <c r="W22" s="21" t="s">
        <v>333</v>
      </c>
      <c r="X22" s="21" t="s">
        <v>334</v>
      </c>
      <c r="Y22" s="21" t="s">
        <v>335</v>
      </c>
      <c r="Z22" s="21" t="s">
        <v>336</v>
      </c>
      <c r="AA22" s="21" t="s">
        <v>337</v>
      </c>
      <c r="AB22" s="21" t="s">
        <v>338</v>
      </c>
      <c r="AC22" s="22"/>
      <c r="AD22" s="23" t="s">
        <v>340</v>
      </c>
      <c r="AE22" s="23" t="s">
        <v>341</v>
      </c>
      <c r="AF22" s="23" t="s">
        <v>342</v>
      </c>
      <c r="AG22" s="23" t="s">
        <v>343</v>
      </c>
      <c r="AH22" s="23" t="s">
        <v>310</v>
      </c>
      <c r="AI22" s="23" t="s">
        <v>311</v>
      </c>
      <c r="AJ22" s="23" t="s">
        <v>331</v>
      </c>
      <c r="AK22" s="23" t="s">
        <v>332</v>
      </c>
      <c r="AL22" s="23" t="s">
        <v>333</v>
      </c>
      <c r="AM22" s="23" t="s">
        <v>346</v>
      </c>
      <c r="AN22" s="23" t="s">
        <v>347</v>
      </c>
      <c r="AO22" s="23" t="s">
        <v>348</v>
      </c>
      <c r="AP22" s="23" t="s">
        <v>304</v>
      </c>
      <c r="AQ22" s="23" t="s">
        <v>349</v>
      </c>
      <c r="AR22" s="23" t="s">
        <v>350</v>
      </c>
      <c r="AS22" s="23" t="s">
        <v>351</v>
      </c>
      <c r="AT22" s="23" t="s">
        <v>352</v>
      </c>
      <c r="AU22" s="23" t="s">
        <v>344</v>
      </c>
      <c r="AV22" s="23" t="s">
        <v>345</v>
      </c>
      <c r="AW22" s="23" t="s">
        <v>353</v>
      </c>
      <c r="AX22" s="23" t="s">
        <v>303</v>
      </c>
      <c r="AY22" s="22"/>
    </row>
    <row r="30" spans="1:51" x14ac:dyDescent="0.2">
      <c r="B30" t="s">
        <v>279</v>
      </c>
    </row>
    <row r="31" spans="1:51" x14ac:dyDescent="0.2">
      <c r="C31" s="18" t="s">
        <v>262</v>
      </c>
      <c r="D31" s="24" t="s">
        <v>355</v>
      </c>
      <c r="E31" s="18" t="s">
        <v>356</v>
      </c>
      <c r="F31" s="18">
        <v>1</v>
      </c>
      <c r="G31" s="18">
        <v>5</v>
      </c>
    </row>
    <row r="32" spans="1:51" x14ac:dyDescent="0.2">
      <c r="C32" s="18" t="s">
        <v>268</v>
      </c>
      <c r="D32" s="24" t="s">
        <v>305</v>
      </c>
      <c r="E32" s="18" t="s">
        <v>357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735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741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740</v>
      </c>
      <c r="P10">
        <f>HEX2DEC(O10)</f>
        <v>845</v>
      </c>
      <c r="Q10">
        <v>97</v>
      </c>
    </row>
    <row r="11" spans="15:17" x14ac:dyDescent="0.2">
      <c r="O11" t="s">
        <v>504</v>
      </c>
      <c r="P11">
        <f>HEX2DEC(O11)</f>
        <v>766</v>
      </c>
      <c r="Q11">
        <v>95.3</v>
      </c>
    </row>
    <row r="12" spans="15:17" x14ac:dyDescent="0.2">
      <c r="O12" t="s">
        <v>736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737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738</v>
      </c>
      <c r="P17">
        <f t="shared" si="1"/>
        <v>232</v>
      </c>
      <c r="Q17">
        <v>19</v>
      </c>
    </row>
    <row r="18" spans="15:17" x14ac:dyDescent="0.2">
      <c r="O18" t="s">
        <v>739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460</v>
      </c>
      <c r="C2" t="s">
        <v>461</v>
      </c>
      <c r="D2" t="s">
        <v>462</v>
      </c>
      <c r="E2" t="s">
        <v>463</v>
      </c>
      <c r="F2" t="s">
        <v>464</v>
      </c>
      <c r="G2" t="s">
        <v>469</v>
      </c>
      <c r="H2" t="s">
        <v>465</v>
      </c>
      <c r="I2" t="s">
        <v>466</v>
      </c>
      <c r="J2" t="s">
        <v>470</v>
      </c>
      <c r="K2" t="s">
        <v>467</v>
      </c>
      <c r="L2" t="s">
        <v>468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356</v>
      </c>
      <c r="L8" t="s">
        <v>471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474</v>
      </c>
      <c r="B1">
        <v>0.93951600000000002</v>
      </c>
    </row>
    <row r="2" spans="1:5" x14ac:dyDescent="0.2">
      <c r="A2" t="s">
        <v>472</v>
      </c>
    </row>
    <row r="3" spans="1:5" x14ac:dyDescent="0.2">
      <c r="A3" t="s">
        <v>473</v>
      </c>
    </row>
    <row r="4" spans="1:5" x14ac:dyDescent="0.2">
      <c r="A4" t="s">
        <v>474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472</v>
      </c>
      <c r="E5">
        <v>0.94032300000000002</v>
      </c>
    </row>
    <row r="6" spans="1:5" x14ac:dyDescent="0.2">
      <c r="A6" t="s">
        <v>473</v>
      </c>
      <c r="E6">
        <v>0.94064499999999995</v>
      </c>
    </row>
    <row r="7" spans="1:5" x14ac:dyDescent="0.2">
      <c r="A7" t="s">
        <v>474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472</v>
      </c>
      <c r="E8">
        <v>0.941774</v>
      </c>
    </row>
    <row r="9" spans="1:5" x14ac:dyDescent="0.2">
      <c r="A9" t="s">
        <v>473</v>
      </c>
      <c r="E9">
        <v>0.94225800000000004</v>
      </c>
    </row>
    <row r="10" spans="1:5" x14ac:dyDescent="0.2">
      <c r="A10" t="s">
        <v>474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472</v>
      </c>
      <c r="E11">
        <v>0.94274199999999997</v>
      </c>
    </row>
    <row r="12" spans="1:5" x14ac:dyDescent="0.2">
      <c r="A12" t="s">
        <v>473</v>
      </c>
      <c r="E12">
        <v>0.94241900000000001</v>
      </c>
    </row>
    <row r="13" spans="1:5" x14ac:dyDescent="0.2">
      <c r="A13" t="s">
        <v>474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472</v>
      </c>
      <c r="E14">
        <v>0.94080600000000003</v>
      </c>
    </row>
    <row r="15" spans="1:5" x14ac:dyDescent="0.2">
      <c r="A15" t="s">
        <v>473</v>
      </c>
      <c r="E15">
        <v>0.94064499999999995</v>
      </c>
    </row>
    <row r="16" spans="1:5" x14ac:dyDescent="0.2">
      <c r="A16" t="s">
        <v>474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472</v>
      </c>
      <c r="E17">
        <v>0.93983899999999998</v>
      </c>
    </row>
    <row r="18" spans="1:5" x14ac:dyDescent="0.2">
      <c r="A18" t="s">
        <v>473</v>
      </c>
      <c r="E18">
        <v>0.94</v>
      </c>
    </row>
    <row r="19" spans="1:5" x14ac:dyDescent="0.2">
      <c r="A19" t="s">
        <v>474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472</v>
      </c>
      <c r="E20">
        <v>0.94112899999999999</v>
      </c>
    </row>
    <row r="21" spans="1:5" x14ac:dyDescent="0.2">
      <c r="A21" t="s">
        <v>473</v>
      </c>
      <c r="E21">
        <v>0.94161300000000003</v>
      </c>
    </row>
    <row r="22" spans="1:5" x14ac:dyDescent="0.2">
      <c r="A22" t="s">
        <v>474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472</v>
      </c>
      <c r="E23">
        <v>0.94306400000000001</v>
      </c>
    </row>
    <row r="24" spans="1:5" x14ac:dyDescent="0.2">
      <c r="A24" t="s">
        <v>473</v>
      </c>
      <c r="E24">
        <v>0.94322600000000001</v>
      </c>
    </row>
    <row r="25" spans="1:5" x14ac:dyDescent="0.2">
      <c r="A25" t="s">
        <v>474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472</v>
      </c>
      <c r="E26">
        <v>0.94338699999999998</v>
      </c>
    </row>
    <row r="27" spans="1:5" x14ac:dyDescent="0.2">
      <c r="A27" t="s">
        <v>473</v>
      </c>
      <c r="E27">
        <v>0.94338699999999998</v>
      </c>
    </row>
    <row r="28" spans="1:5" x14ac:dyDescent="0.2">
      <c r="A28" t="s">
        <v>474</v>
      </c>
      <c r="B28">
        <v>0.94161300000000003</v>
      </c>
      <c r="C28">
        <f>B25-B28</f>
        <v>8.059999999999734E-4</v>
      </c>
    </row>
    <row r="29" spans="1:5" x14ac:dyDescent="0.2">
      <c r="A29" t="s">
        <v>472</v>
      </c>
    </row>
    <row r="30" spans="1:5" x14ac:dyDescent="0.2">
      <c r="A30" t="s">
        <v>473</v>
      </c>
    </row>
    <row r="31" spans="1:5" x14ac:dyDescent="0.2">
      <c r="A31" t="s">
        <v>474</v>
      </c>
      <c r="B31">
        <v>0.94080600000000003</v>
      </c>
      <c r="C31">
        <f>B28-B31</f>
        <v>8.0700000000000216E-4</v>
      </c>
    </row>
    <row r="32" spans="1:5" x14ac:dyDescent="0.2">
      <c r="A32" t="s">
        <v>472</v>
      </c>
    </row>
    <row r="33" spans="1:3" x14ac:dyDescent="0.2">
      <c r="A33" t="s">
        <v>473</v>
      </c>
    </row>
    <row r="34" spans="1:3" x14ac:dyDescent="0.2">
      <c r="A34" t="s">
        <v>474</v>
      </c>
      <c r="B34">
        <v>0.94064499999999995</v>
      </c>
      <c r="C34">
        <f>B31-B34</f>
        <v>1.6100000000007775E-4</v>
      </c>
    </row>
    <row r="35" spans="1:3" x14ac:dyDescent="0.2">
      <c r="A35" t="s">
        <v>472</v>
      </c>
    </row>
    <row r="36" spans="1:3" x14ac:dyDescent="0.2">
      <c r="A36" t="s">
        <v>473</v>
      </c>
    </row>
    <row r="37" spans="1:3" x14ac:dyDescent="0.2">
      <c r="A37" t="s">
        <v>474</v>
      </c>
      <c r="B37">
        <v>0.94016100000000002</v>
      </c>
      <c r="C37">
        <f>B34-B37</f>
        <v>4.8399999999992893E-4</v>
      </c>
    </row>
    <row r="38" spans="1:3" x14ac:dyDescent="0.2">
      <c r="A38" t="s">
        <v>472</v>
      </c>
    </row>
    <row r="39" spans="1:3" x14ac:dyDescent="0.2">
      <c r="A39" t="s">
        <v>473</v>
      </c>
    </row>
    <row r="40" spans="1:3" x14ac:dyDescent="0.2">
      <c r="A40" t="s">
        <v>474</v>
      </c>
      <c r="B40">
        <v>0.93983899999999998</v>
      </c>
      <c r="C40">
        <f>B37-B40</f>
        <v>3.2200000000004447E-4</v>
      </c>
    </row>
    <row r="41" spans="1:3" x14ac:dyDescent="0.2">
      <c r="A41" t="s">
        <v>472</v>
      </c>
    </row>
    <row r="42" spans="1:3" x14ac:dyDescent="0.2">
      <c r="A42" t="s">
        <v>473</v>
      </c>
    </row>
    <row r="43" spans="1:3" x14ac:dyDescent="0.2">
      <c r="A43" t="s">
        <v>474</v>
      </c>
      <c r="B43">
        <v>0.94</v>
      </c>
      <c r="C43">
        <f>B40-B43</f>
        <v>-1.6099999999996673E-4</v>
      </c>
    </row>
    <row r="44" spans="1:3" x14ac:dyDescent="0.2">
      <c r="A44" t="s">
        <v>472</v>
      </c>
    </row>
    <row r="45" spans="1:3" x14ac:dyDescent="0.2">
      <c r="A45" t="s">
        <v>473</v>
      </c>
    </row>
    <row r="46" spans="1:3" x14ac:dyDescent="0.2">
      <c r="A46" t="s">
        <v>474</v>
      </c>
      <c r="B46">
        <v>0.94064499999999995</v>
      </c>
      <c r="C46">
        <f>B43-B46</f>
        <v>-6.4500000000000668E-4</v>
      </c>
    </row>
    <row r="47" spans="1:3" x14ac:dyDescent="0.2">
      <c r="A47" t="s">
        <v>472</v>
      </c>
    </row>
    <row r="48" spans="1:3" x14ac:dyDescent="0.2">
      <c r="A48" t="s">
        <v>473</v>
      </c>
    </row>
    <row r="49" spans="1:29" x14ac:dyDescent="0.2">
      <c r="A49" t="s">
        <v>474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472</v>
      </c>
    </row>
    <row r="51" spans="1:29" x14ac:dyDescent="0.2">
      <c r="A51" t="s">
        <v>473</v>
      </c>
    </row>
    <row r="52" spans="1:29" x14ac:dyDescent="0.2">
      <c r="A52" t="s">
        <v>474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472</v>
      </c>
    </row>
    <row r="54" spans="1:29" x14ac:dyDescent="0.2">
      <c r="A54" t="s">
        <v>473</v>
      </c>
    </row>
    <row r="55" spans="1:29" x14ac:dyDescent="0.2">
      <c r="A55" t="s">
        <v>474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472</v>
      </c>
    </row>
    <row r="57" spans="1:29" x14ac:dyDescent="0.2">
      <c r="A57" t="s">
        <v>473</v>
      </c>
    </row>
    <row r="58" spans="1:29" x14ac:dyDescent="0.2">
      <c r="A58" t="s">
        <v>474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472</v>
      </c>
    </row>
    <row r="60" spans="1:29" x14ac:dyDescent="0.2">
      <c r="A60" t="s">
        <v>473</v>
      </c>
    </row>
    <row r="61" spans="1:29" x14ac:dyDescent="0.2">
      <c r="A61" t="s">
        <v>474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472</v>
      </c>
    </row>
    <row r="63" spans="1:29" x14ac:dyDescent="0.2">
      <c r="A63" t="s">
        <v>473</v>
      </c>
    </row>
    <row r="64" spans="1:29" x14ac:dyDescent="0.2">
      <c r="A64" t="s">
        <v>474</v>
      </c>
      <c r="B64">
        <v>0.94306400000000001</v>
      </c>
      <c r="C64">
        <f>B61-B64</f>
        <v>1.6199999999999548E-4</v>
      </c>
    </row>
    <row r="65" spans="1:26" x14ac:dyDescent="0.2">
      <c r="A65" t="s">
        <v>472</v>
      </c>
    </row>
    <row r="66" spans="1:26" x14ac:dyDescent="0.2">
      <c r="A66" t="s">
        <v>473</v>
      </c>
    </row>
    <row r="67" spans="1:26" x14ac:dyDescent="0.2">
      <c r="A67" t="s">
        <v>474</v>
      </c>
      <c r="B67">
        <v>0.94338699999999998</v>
      </c>
      <c r="C67">
        <f>B64-B67</f>
        <v>-3.2299999999996221E-4</v>
      </c>
    </row>
    <row r="68" spans="1:26" x14ac:dyDescent="0.2">
      <c r="A68" t="s">
        <v>472</v>
      </c>
    </row>
    <row r="69" spans="1:26" x14ac:dyDescent="0.2">
      <c r="A69" t="s">
        <v>473</v>
      </c>
    </row>
    <row r="70" spans="1:26" x14ac:dyDescent="0.2">
      <c r="A70" t="s">
        <v>474</v>
      </c>
      <c r="B70">
        <v>0.94338699999999998</v>
      </c>
      <c r="C70">
        <f>B67-B70</f>
        <v>0</v>
      </c>
    </row>
    <row r="71" spans="1:26" x14ac:dyDescent="0.2">
      <c r="A71" t="s">
        <v>472</v>
      </c>
    </row>
    <row r="72" spans="1:26" x14ac:dyDescent="0.2">
      <c r="A72" t="s">
        <v>473</v>
      </c>
    </row>
    <row r="73" spans="1:26" x14ac:dyDescent="0.2">
      <c r="A73" t="s">
        <v>474</v>
      </c>
      <c r="B73">
        <v>0.94290300000000005</v>
      </c>
      <c r="C73">
        <f>B70-B73</f>
        <v>4.8399999999992893E-4</v>
      </c>
    </row>
    <row r="74" spans="1:26" x14ac:dyDescent="0.2">
      <c r="A74" t="s">
        <v>472</v>
      </c>
    </row>
    <row r="75" spans="1:26" x14ac:dyDescent="0.2">
      <c r="A75" t="s">
        <v>473</v>
      </c>
    </row>
    <row r="76" spans="1:26" x14ac:dyDescent="0.2">
      <c r="A76" t="s">
        <v>474</v>
      </c>
      <c r="B76">
        <v>0.94209699999999996</v>
      </c>
      <c r="C76">
        <f>B73-B76</f>
        <v>8.0600000000008443E-4</v>
      </c>
    </row>
    <row r="77" spans="1:26" x14ac:dyDescent="0.2">
      <c r="A77" t="s">
        <v>472</v>
      </c>
    </row>
    <row r="78" spans="1:26" x14ac:dyDescent="0.2">
      <c r="A78" t="s">
        <v>473</v>
      </c>
      <c r="W78">
        <v>2.0739999999999998</v>
      </c>
      <c r="X78">
        <v>1.95</v>
      </c>
    </row>
    <row r="79" spans="1:26" x14ac:dyDescent="0.2">
      <c r="A79" t="s">
        <v>474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472</v>
      </c>
    </row>
    <row r="81" spans="1:26" x14ac:dyDescent="0.2">
      <c r="A81" t="s">
        <v>473</v>
      </c>
    </row>
    <row r="82" spans="1:26" x14ac:dyDescent="0.2">
      <c r="A82" t="s">
        <v>474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472</v>
      </c>
    </row>
    <row r="84" spans="1:26" x14ac:dyDescent="0.2">
      <c r="A84" t="s">
        <v>473</v>
      </c>
    </row>
    <row r="85" spans="1:26" x14ac:dyDescent="0.2">
      <c r="A85" t="s">
        <v>474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472</v>
      </c>
    </row>
    <row r="87" spans="1:26" x14ac:dyDescent="0.2">
      <c r="A87" t="s">
        <v>473</v>
      </c>
    </row>
    <row r="88" spans="1:26" x14ac:dyDescent="0.2">
      <c r="A88" t="s">
        <v>474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472</v>
      </c>
    </row>
    <row r="90" spans="1:26" x14ac:dyDescent="0.2">
      <c r="A90" t="s">
        <v>473</v>
      </c>
    </row>
    <row r="91" spans="1:26" x14ac:dyDescent="0.2">
      <c r="A91" t="s">
        <v>474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472</v>
      </c>
    </row>
    <row r="93" spans="1:26" x14ac:dyDescent="0.2">
      <c r="A93" t="s">
        <v>474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473</v>
      </c>
    </row>
    <row r="95" spans="1:26" x14ac:dyDescent="0.2">
      <c r="A95" t="s">
        <v>472</v>
      </c>
    </row>
    <row r="96" spans="1:26" x14ac:dyDescent="0.2">
      <c r="A96" t="s">
        <v>474</v>
      </c>
      <c r="B96">
        <v>0.93983899999999998</v>
      </c>
      <c r="C96">
        <f>B93-B96</f>
        <v>0</v>
      </c>
    </row>
    <row r="97" spans="1:23" x14ac:dyDescent="0.2">
      <c r="A97" t="s">
        <v>473</v>
      </c>
    </row>
    <row r="98" spans="1:23" x14ac:dyDescent="0.2">
      <c r="A98" t="s">
        <v>472</v>
      </c>
    </row>
    <row r="99" spans="1:23" x14ac:dyDescent="0.2">
      <c r="A99" t="s">
        <v>474</v>
      </c>
      <c r="B99">
        <v>0.94</v>
      </c>
    </row>
    <row r="100" spans="1:23" x14ac:dyDescent="0.2">
      <c r="A100" t="s">
        <v>473</v>
      </c>
    </row>
    <row r="101" spans="1:23" x14ac:dyDescent="0.2">
      <c r="A101" t="s">
        <v>472</v>
      </c>
    </row>
    <row r="102" spans="1:23" x14ac:dyDescent="0.2">
      <c r="A102" t="s">
        <v>474</v>
      </c>
      <c r="B102">
        <v>0.94032199999999999</v>
      </c>
      <c r="V102" t="s">
        <v>476</v>
      </c>
      <c r="W102">
        <v>0.34</v>
      </c>
    </row>
    <row r="103" spans="1:23" x14ac:dyDescent="0.2">
      <c r="A103" t="s">
        <v>473</v>
      </c>
    </row>
    <row r="104" spans="1:23" x14ac:dyDescent="0.2">
      <c r="A104" t="s">
        <v>472</v>
      </c>
    </row>
    <row r="105" spans="1:23" x14ac:dyDescent="0.2">
      <c r="A105" t="s">
        <v>474</v>
      </c>
      <c r="B105">
        <v>0.94048399999999999</v>
      </c>
      <c r="V105" t="s">
        <v>477</v>
      </c>
      <c r="W105">
        <v>9.6199999999999994E-2</v>
      </c>
    </row>
    <row r="106" spans="1:23" x14ac:dyDescent="0.2">
      <c r="A106" t="s">
        <v>473</v>
      </c>
    </row>
    <row r="107" spans="1:23" x14ac:dyDescent="0.2">
      <c r="A107" t="s">
        <v>472</v>
      </c>
    </row>
    <row r="108" spans="1:23" x14ac:dyDescent="0.2">
      <c r="A108" t="s">
        <v>474</v>
      </c>
      <c r="B108">
        <v>0.94064499999999995</v>
      </c>
    </row>
    <row r="109" spans="1:23" x14ac:dyDescent="0.2">
      <c r="A109" t="s">
        <v>473</v>
      </c>
    </row>
    <row r="110" spans="1:23" x14ac:dyDescent="0.2">
      <c r="A110" t="s">
        <v>472</v>
      </c>
    </row>
    <row r="111" spans="1:23" x14ac:dyDescent="0.2">
      <c r="A111" t="s">
        <v>474</v>
      </c>
      <c r="B111">
        <v>0.94064499999999995</v>
      </c>
      <c r="V111" s="29" t="s">
        <v>475</v>
      </c>
    </row>
    <row r="112" spans="1:23" x14ac:dyDescent="0.2">
      <c r="A112" t="s">
        <v>472</v>
      </c>
    </row>
    <row r="113" spans="1:22" x14ac:dyDescent="0.2">
      <c r="A113" t="s">
        <v>474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472</v>
      </c>
      <c r="V114">
        <f t="shared" ref="V114:V121" si="0">((E5-$W$102)/$W$105)+0.1</f>
        <v>6.3403638253638244</v>
      </c>
    </row>
    <row r="115" spans="1:22" x14ac:dyDescent="0.2">
      <c r="A115" t="s">
        <v>473</v>
      </c>
      <c r="V115">
        <f t="shared" si="0"/>
        <v>6.3437110187110175</v>
      </c>
    </row>
    <row r="116" spans="1:22" x14ac:dyDescent="0.2">
      <c r="A116" t="s">
        <v>473</v>
      </c>
      <c r="V116">
        <f t="shared" si="0"/>
        <v>6.3504158004157993</v>
      </c>
    </row>
    <row r="117" spans="1:22" x14ac:dyDescent="0.2">
      <c r="A117" t="s">
        <v>474</v>
      </c>
      <c r="B117">
        <v>0.93967699999999998</v>
      </c>
      <c r="V117">
        <f t="shared" si="0"/>
        <v>6.3554469854469859</v>
      </c>
    </row>
    <row r="118" spans="1:22" x14ac:dyDescent="0.2">
      <c r="A118" t="s">
        <v>473</v>
      </c>
      <c r="V118">
        <f t="shared" si="0"/>
        <v>6.3604781704781699</v>
      </c>
    </row>
    <row r="119" spans="1:22" x14ac:dyDescent="0.2">
      <c r="A119" t="s">
        <v>472</v>
      </c>
      <c r="V119">
        <f t="shared" si="0"/>
        <v>6.3638357588357595</v>
      </c>
    </row>
    <row r="120" spans="1:22" x14ac:dyDescent="0.2">
      <c r="A120" t="s">
        <v>474</v>
      </c>
      <c r="B120">
        <v>0.93935500000000005</v>
      </c>
      <c r="V120">
        <f t="shared" si="0"/>
        <v>6.3655093555093547</v>
      </c>
    </row>
    <row r="121" spans="1:22" x14ac:dyDescent="0.2">
      <c r="A121" t="s">
        <v>473</v>
      </c>
      <c r="V121">
        <f t="shared" si="0"/>
        <v>6.3621517671517678</v>
      </c>
    </row>
    <row r="122" spans="1:22" x14ac:dyDescent="0.2">
      <c r="A122" t="s">
        <v>472</v>
      </c>
    </row>
    <row r="123" spans="1:22" x14ac:dyDescent="0.2">
      <c r="A123" t="s">
        <v>474</v>
      </c>
      <c r="B123">
        <v>0.93903199999999998</v>
      </c>
    </row>
    <row r="124" spans="1:22" x14ac:dyDescent="0.2">
      <c r="A124" t="s">
        <v>473</v>
      </c>
    </row>
    <row r="125" spans="1:22" x14ac:dyDescent="0.2">
      <c r="A125" t="s">
        <v>472</v>
      </c>
    </row>
    <row r="126" spans="1:22" x14ac:dyDescent="0.2">
      <c r="A126" t="s">
        <v>474</v>
      </c>
      <c r="B126">
        <v>0.93838699999999997</v>
      </c>
    </row>
    <row r="127" spans="1:22" x14ac:dyDescent="0.2">
      <c r="A127" t="s">
        <v>473</v>
      </c>
    </row>
    <row r="128" spans="1:22" x14ac:dyDescent="0.2">
      <c r="A128" t="s">
        <v>472</v>
      </c>
    </row>
    <row r="129" spans="1:2" x14ac:dyDescent="0.2">
      <c r="A129" t="s">
        <v>474</v>
      </c>
      <c r="B129">
        <v>0.93774199999999996</v>
      </c>
    </row>
    <row r="130" spans="1:2" x14ac:dyDescent="0.2">
      <c r="A130" t="s">
        <v>473</v>
      </c>
    </row>
    <row r="131" spans="1:2" x14ac:dyDescent="0.2">
      <c r="A131" t="s">
        <v>472</v>
      </c>
    </row>
    <row r="132" spans="1:2" x14ac:dyDescent="0.2">
      <c r="A132" t="s">
        <v>474</v>
      </c>
      <c r="B132">
        <v>0.937581</v>
      </c>
    </row>
    <row r="133" spans="1:2" x14ac:dyDescent="0.2">
      <c r="A133" t="s">
        <v>472</v>
      </c>
    </row>
    <row r="134" spans="1:2" x14ac:dyDescent="0.2">
      <c r="A134" t="s">
        <v>473</v>
      </c>
    </row>
    <row r="135" spans="1:2" x14ac:dyDescent="0.2">
      <c r="A135" t="s">
        <v>474</v>
      </c>
      <c r="B135">
        <v>0.937581</v>
      </c>
    </row>
    <row r="136" spans="1:2" x14ac:dyDescent="0.2">
      <c r="A136" t="s">
        <v>472</v>
      </c>
    </row>
    <row r="137" spans="1:2" x14ac:dyDescent="0.2">
      <c r="A137" t="s">
        <v>473</v>
      </c>
    </row>
    <row r="138" spans="1:2" x14ac:dyDescent="0.2">
      <c r="A138" t="s">
        <v>474</v>
      </c>
      <c r="B138">
        <v>0.937419</v>
      </c>
    </row>
    <row r="139" spans="1:2" x14ac:dyDescent="0.2">
      <c r="A139" t="s">
        <v>472</v>
      </c>
    </row>
    <row r="140" spans="1:2" x14ac:dyDescent="0.2">
      <c r="A140" t="s">
        <v>473</v>
      </c>
    </row>
    <row r="141" spans="1:2" x14ac:dyDescent="0.2">
      <c r="A141" t="s">
        <v>474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F567"/>
  <sheetViews>
    <sheetView tabSelected="1" workbookViewId="0">
      <selection activeCell="L28" sqref="L28"/>
    </sheetView>
  </sheetViews>
  <sheetFormatPr baseColWidth="10" defaultRowHeight="16" x14ac:dyDescent="0.2"/>
  <cols>
    <col min="1" max="1" width="32.1640625" customWidth="1"/>
  </cols>
  <sheetData>
    <row r="1" spans="1:23" x14ac:dyDescent="0.2">
      <c r="K1" t="s">
        <v>579</v>
      </c>
      <c r="L1" s="33" t="s">
        <v>579</v>
      </c>
      <c r="N1" s="33" t="s">
        <v>580</v>
      </c>
    </row>
    <row r="2" spans="1:23" x14ac:dyDescent="0.2">
      <c r="A2" s="30" t="s">
        <v>486</v>
      </c>
      <c r="K2">
        <v>13</v>
      </c>
      <c r="L2" s="33">
        <f>HEX2DEC(K2)</f>
        <v>19</v>
      </c>
      <c r="M2" t="s">
        <v>502</v>
      </c>
      <c r="N2" s="33">
        <f>HEX2DEC(M2)</f>
        <v>3017</v>
      </c>
      <c r="O2" t="s">
        <v>503</v>
      </c>
      <c r="Q2">
        <f>((L2/(N2/1000))/0.5)/0.5</f>
        <v>25.190586675505468</v>
      </c>
      <c r="R2">
        <f>((Q2*0.00026417)/(N2/1000))</f>
        <v>2.205700126638475E-3</v>
      </c>
      <c r="S2">
        <f>R2*60</f>
        <v>0.1323420075983085</v>
      </c>
      <c r="T2">
        <f>S2*30</f>
        <v>3.9702602279492547</v>
      </c>
      <c r="U2">
        <f>S2</f>
        <v>0.1323420075983085</v>
      </c>
      <c r="V2">
        <f>R2*W2</f>
        <v>4.3865431752836762E-2</v>
      </c>
      <c r="W2">
        <f>60/(N2/1000)</f>
        <v>19.887305270135897</v>
      </c>
    </row>
    <row r="3" spans="1:23" x14ac:dyDescent="0.2">
      <c r="A3" s="30" t="s">
        <v>487</v>
      </c>
      <c r="K3" t="s">
        <v>511</v>
      </c>
      <c r="L3" s="33">
        <f t="shared" ref="L3:L62" si="0">HEX2DEC(K3)</f>
        <v>28</v>
      </c>
      <c r="M3" t="s">
        <v>512</v>
      </c>
      <c r="N3" s="33">
        <f t="shared" ref="N3:N62" si="1">HEX2DEC(M3)</f>
        <v>3015</v>
      </c>
      <c r="O3" t="s">
        <v>513</v>
      </c>
      <c r="Q3">
        <f>((L3/(N3/1000))/0.5)/0.5</f>
        <v>37.147595356550582</v>
      </c>
      <c r="R3">
        <f t="shared" ref="R3:R25" si="2">((Q3*0.00026417)/(N3/1000))</f>
        <v>3.2548193251542173E-3</v>
      </c>
      <c r="S3">
        <f t="shared" ref="S3:S62" si="3">R3*60</f>
        <v>0.19528915950925305</v>
      </c>
      <c r="T3">
        <f t="shared" ref="T3:T62" si="4">S3*30</f>
        <v>5.8586747852775911</v>
      </c>
      <c r="U3">
        <f>U2+S3</f>
        <v>0.32763116710756157</v>
      </c>
      <c r="V3">
        <f t="shared" ref="V3:V25" si="5">R3*W3</f>
        <v>6.4772523883666014E-2</v>
      </c>
      <c r="W3">
        <f t="shared" ref="W3:W25" si="6">60/(N3/1000)</f>
        <v>19.900497512437809</v>
      </c>
    </row>
    <row r="4" spans="1:23" x14ac:dyDescent="0.2">
      <c r="A4" s="30" t="s">
        <v>488</v>
      </c>
      <c r="K4" t="s">
        <v>516</v>
      </c>
      <c r="L4" s="33">
        <f t="shared" si="0"/>
        <v>122</v>
      </c>
      <c r="M4" t="s">
        <v>512</v>
      </c>
      <c r="N4" s="33">
        <f t="shared" si="1"/>
        <v>3015</v>
      </c>
      <c r="O4" t="s">
        <v>517</v>
      </c>
      <c r="Q4">
        <f t="shared" ref="Q4:Q25" si="7">((L4/(N4/1000))/0.5)/0.5</f>
        <v>161.85737976782752</v>
      </c>
      <c r="R4">
        <f t="shared" si="2"/>
        <v>1.4181712773886234E-2</v>
      </c>
      <c r="S4">
        <f t="shared" si="3"/>
        <v>0.85090276643317397</v>
      </c>
      <c r="T4">
        <f t="shared" si="4"/>
        <v>25.527082992995219</v>
      </c>
      <c r="U4">
        <f t="shared" ref="U4:U25" si="8">U3+S4</f>
        <v>1.1785339335407357</v>
      </c>
      <c r="V4">
        <f t="shared" si="5"/>
        <v>0.28222313977883051</v>
      </c>
      <c r="W4">
        <f t="shared" si="6"/>
        <v>19.900497512437809</v>
      </c>
    </row>
    <row r="5" spans="1:23" x14ac:dyDescent="0.2">
      <c r="A5" s="30" t="s">
        <v>489</v>
      </c>
      <c r="K5">
        <v>77</v>
      </c>
      <c r="L5" s="33">
        <f t="shared" si="0"/>
        <v>119</v>
      </c>
      <c r="M5" t="s">
        <v>502</v>
      </c>
      <c r="N5" s="33">
        <f t="shared" si="1"/>
        <v>3017</v>
      </c>
      <c r="O5" t="s">
        <v>517</v>
      </c>
      <c r="Q5">
        <f t="shared" si="7"/>
        <v>157.77262180974478</v>
      </c>
      <c r="R5">
        <f t="shared" si="2"/>
        <v>1.3814648161577818E-2</v>
      </c>
      <c r="S5">
        <f t="shared" si="3"/>
        <v>0.82887888969466905</v>
      </c>
      <c r="T5">
        <f t="shared" si="4"/>
        <v>24.866366690840071</v>
      </c>
      <c r="U5">
        <f t="shared" si="8"/>
        <v>2.0074128232354047</v>
      </c>
      <c r="V5">
        <f t="shared" si="5"/>
        <v>0.27473612518881974</v>
      </c>
      <c r="W5">
        <f t="shared" si="6"/>
        <v>19.887305270135897</v>
      </c>
    </row>
    <row r="6" spans="1:23" x14ac:dyDescent="0.2">
      <c r="A6" s="30" t="s">
        <v>490</v>
      </c>
      <c r="K6">
        <v>77</v>
      </c>
      <c r="L6" s="33">
        <f t="shared" si="0"/>
        <v>119</v>
      </c>
      <c r="M6" t="s">
        <v>520</v>
      </c>
      <c r="N6" s="33">
        <f t="shared" si="1"/>
        <v>3016</v>
      </c>
      <c r="O6" t="s">
        <v>521</v>
      </c>
      <c r="Q6">
        <f t="shared" si="7"/>
        <v>157.82493368700264</v>
      </c>
      <c r="R6">
        <f t="shared" si="2"/>
        <v>1.3823810587564817E-2</v>
      </c>
      <c r="S6">
        <f t="shared" si="3"/>
        <v>0.82942863525388899</v>
      </c>
      <c r="T6">
        <f t="shared" si="4"/>
        <v>24.88285905761667</v>
      </c>
      <c r="U6">
        <f t="shared" si="8"/>
        <v>2.8368414584892938</v>
      </c>
      <c r="V6">
        <f t="shared" si="5"/>
        <v>0.27500949444757594</v>
      </c>
      <c r="W6">
        <f t="shared" si="6"/>
        <v>19.893899204244033</v>
      </c>
    </row>
    <row r="7" spans="1:23" x14ac:dyDescent="0.2">
      <c r="A7" s="30" t="s">
        <v>478</v>
      </c>
      <c r="K7">
        <v>77</v>
      </c>
      <c r="L7" s="33">
        <f t="shared" si="0"/>
        <v>119</v>
      </c>
      <c r="M7" t="s">
        <v>520</v>
      </c>
      <c r="N7" s="33">
        <f t="shared" si="1"/>
        <v>3016</v>
      </c>
      <c r="O7" t="s">
        <v>518</v>
      </c>
      <c r="Q7">
        <f t="shared" si="7"/>
        <v>157.82493368700264</v>
      </c>
      <c r="R7">
        <f t="shared" si="2"/>
        <v>1.3823810587564817E-2</v>
      </c>
      <c r="S7">
        <f t="shared" si="3"/>
        <v>0.82942863525388899</v>
      </c>
      <c r="T7">
        <f t="shared" si="4"/>
        <v>24.88285905761667</v>
      </c>
      <c r="U7">
        <f t="shared" si="8"/>
        <v>3.6662700937431829</v>
      </c>
      <c r="V7">
        <f t="shared" si="5"/>
        <v>0.27500949444757594</v>
      </c>
      <c r="W7">
        <f t="shared" si="6"/>
        <v>19.893899204244033</v>
      </c>
    </row>
    <row r="8" spans="1:23" x14ac:dyDescent="0.2">
      <c r="A8" s="30" t="s">
        <v>488</v>
      </c>
      <c r="K8">
        <v>76</v>
      </c>
      <c r="L8" s="33">
        <f t="shared" si="0"/>
        <v>118</v>
      </c>
      <c r="M8" t="s">
        <v>520</v>
      </c>
      <c r="N8" s="33">
        <f t="shared" si="1"/>
        <v>3016</v>
      </c>
      <c r="O8" t="s">
        <v>524</v>
      </c>
      <c r="Q8">
        <f t="shared" si="7"/>
        <v>156.49867374005305</v>
      </c>
      <c r="R8">
        <f t="shared" si="2"/>
        <v>1.3707644112039062E-2</v>
      </c>
      <c r="S8">
        <f t="shared" si="3"/>
        <v>0.8224586467223437</v>
      </c>
      <c r="T8">
        <f t="shared" si="4"/>
        <v>24.67375940167031</v>
      </c>
      <c r="U8">
        <f t="shared" si="8"/>
        <v>4.4887287404655263</v>
      </c>
      <c r="V8">
        <f t="shared" si="5"/>
        <v>0.27269849029255427</v>
      </c>
      <c r="W8">
        <f t="shared" si="6"/>
        <v>19.893899204244033</v>
      </c>
    </row>
    <row r="9" spans="1:23" x14ac:dyDescent="0.2">
      <c r="A9" s="30" t="s">
        <v>479</v>
      </c>
      <c r="K9">
        <v>75</v>
      </c>
      <c r="L9" s="33">
        <f t="shared" si="0"/>
        <v>117</v>
      </c>
      <c r="M9" t="s">
        <v>520</v>
      </c>
      <c r="N9" s="33">
        <f t="shared" si="1"/>
        <v>3016</v>
      </c>
      <c r="O9" t="s">
        <v>528</v>
      </c>
      <c r="Q9">
        <f t="shared" si="7"/>
        <v>155.17241379310346</v>
      </c>
      <c r="R9">
        <f t="shared" si="2"/>
        <v>1.3591477636513308E-2</v>
      </c>
      <c r="S9">
        <f t="shared" si="3"/>
        <v>0.81548865819079852</v>
      </c>
      <c r="T9">
        <f t="shared" si="4"/>
        <v>24.464659745723957</v>
      </c>
      <c r="U9">
        <f t="shared" si="8"/>
        <v>5.3042173986563252</v>
      </c>
      <c r="V9">
        <f t="shared" si="5"/>
        <v>0.27038748613753266</v>
      </c>
      <c r="W9">
        <f t="shared" si="6"/>
        <v>19.893899204244033</v>
      </c>
    </row>
    <row r="10" spans="1:23" x14ac:dyDescent="0.2">
      <c r="A10" s="30" t="s">
        <v>491</v>
      </c>
      <c r="D10" s="33"/>
      <c r="E10" s="33"/>
      <c r="G10" s="33" t="s">
        <v>581</v>
      </c>
      <c r="K10">
        <v>74</v>
      </c>
      <c r="L10" s="33">
        <f t="shared" si="0"/>
        <v>116</v>
      </c>
      <c r="M10" t="s">
        <v>520</v>
      </c>
      <c r="N10" s="33">
        <f t="shared" si="1"/>
        <v>3016</v>
      </c>
      <c r="O10" t="s">
        <v>532</v>
      </c>
      <c r="Q10">
        <f t="shared" si="7"/>
        <v>153.84615384615384</v>
      </c>
      <c r="R10">
        <f t="shared" si="2"/>
        <v>1.3475311160987552E-2</v>
      </c>
      <c r="S10">
        <f t="shared" si="3"/>
        <v>0.80851866965925312</v>
      </c>
      <c r="T10">
        <f t="shared" si="4"/>
        <v>24.255560089777592</v>
      </c>
      <c r="U10">
        <f t="shared" si="8"/>
        <v>6.112736068315578</v>
      </c>
      <c r="V10">
        <f t="shared" si="5"/>
        <v>0.26807648198251099</v>
      </c>
      <c r="W10">
        <f t="shared" si="6"/>
        <v>19.893899204244033</v>
      </c>
    </row>
    <row r="11" spans="1:23" x14ac:dyDescent="0.2">
      <c r="A11" s="30" t="s">
        <v>492</v>
      </c>
      <c r="E11" s="33"/>
      <c r="K11">
        <v>71</v>
      </c>
      <c r="L11" s="33">
        <f t="shared" si="0"/>
        <v>113</v>
      </c>
      <c r="M11" t="s">
        <v>520</v>
      </c>
      <c r="N11" s="33">
        <f t="shared" si="1"/>
        <v>3016</v>
      </c>
      <c r="O11" t="s">
        <v>536</v>
      </c>
      <c r="Q11">
        <f t="shared" si="7"/>
        <v>149.86737400530504</v>
      </c>
      <c r="R11">
        <f t="shared" si="2"/>
        <v>1.3126811734410288E-2</v>
      </c>
      <c r="S11">
        <f t="shared" si="3"/>
        <v>0.78760870406461725</v>
      </c>
      <c r="T11">
        <f t="shared" si="4"/>
        <v>23.628261121938518</v>
      </c>
      <c r="U11">
        <f t="shared" si="8"/>
        <v>6.9003447723801949</v>
      </c>
      <c r="V11">
        <f t="shared" si="5"/>
        <v>0.26114346951744605</v>
      </c>
      <c r="W11">
        <f t="shared" si="6"/>
        <v>19.893899204244033</v>
      </c>
    </row>
    <row r="12" spans="1:23" x14ac:dyDescent="0.2">
      <c r="A12" s="35" t="s">
        <v>493</v>
      </c>
      <c r="B12" t="s">
        <v>582</v>
      </c>
      <c r="K12">
        <v>69</v>
      </c>
      <c r="L12" s="33">
        <f t="shared" si="0"/>
        <v>105</v>
      </c>
      <c r="M12" t="s">
        <v>520</v>
      </c>
      <c r="N12" s="33">
        <f t="shared" si="1"/>
        <v>3016</v>
      </c>
      <c r="O12">
        <v>118</v>
      </c>
      <c r="Q12">
        <f t="shared" si="7"/>
        <v>139.25729442970822</v>
      </c>
      <c r="R12">
        <f t="shared" si="2"/>
        <v>1.2197479930204251E-2</v>
      </c>
      <c r="S12">
        <f t="shared" si="3"/>
        <v>0.73184879581225504</v>
      </c>
      <c r="T12">
        <f t="shared" si="4"/>
        <v>21.955463874367652</v>
      </c>
      <c r="U12">
        <f t="shared" si="8"/>
        <v>7.6321935681924504</v>
      </c>
      <c r="V12">
        <f t="shared" si="5"/>
        <v>0.2426554362772729</v>
      </c>
      <c r="W12">
        <f t="shared" si="6"/>
        <v>19.893899204244033</v>
      </c>
    </row>
    <row r="13" spans="1:23" x14ac:dyDescent="0.2">
      <c r="A13" s="30" t="s">
        <v>494</v>
      </c>
      <c r="K13" t="s">
        <v>542</v>
      </c>
      <c r="L13" s="33">
        <f t="shared" si="0"/>
        <v>95</v>
      </c>
      <c r="M13" t="s">
        <v>520</v>
      </c>
      <c r="N13" s="33">
        <f t="shared" si="1"/>
        <v>3016</v>
      </c>
      <c r="O13">
        <v>126</v>
      </c>
      <c r="Q13">
        <f t="shared" si="7"/>
        <v>125.9946949602122</v>
      </c>
      <c r="R13">
        <f t="shared" si="2"/>
        <v>1.1035815174946702E-2</v>
      </c>
      <c r="S13">
        <f t="shared" si="3"/>
        <v>0.66214891049680213</v>
      </c>
      <c r="T13">
        <f t="shared" si="4"/>
        <v>19.864467314904065</v>
      </c>
      <c r="U13">
        <f t="shared" si="8"/>
        <v>8.2943424786892521</v>
      </c>
      <c r="V13">
        <f t="shared" si="5"/>
        <v>0.21954539472705642</v>
      </c>
      <c r="W13">
        <f t="shared" si="6"/>
        <v>19.893899204244033</v>
      </c>
    </row>
    <row r="14" spans="1:23" x14ac:dyDescent="0.2">
      <c r="A14" s="30" t="s">
        <v>495</v>
      </c>
      <c r="K14">
        <v>54</v>
      </c>
      <c r="L14" s="33">
        <f t="shared" si="0"/>
        <v>84</v>
      </c>
      <c r="M14" t="s">
        <v>512</v>
      </c>
      <c r="N14" s="33">
        <f t="shared" si="1"/>
        <v>3015</v>
      </c>
      <c r="O14">
        <v>134</v>
      </c>
      <c r="Q14">
        <f t="shared" si="7"/>
        <v>111.44278606965173</v>
      </c>
      <c r="R14">
        <f t="shared" si="2"/>
        <v>9.7644579754626523E-3</v>
      </c>
      <c r="S14">
        <f t="shared" si="3"/>
        <v>0.58586747852775911</v>
      </c>
      <c r="T14">
        <f t="shared" si="4"/>
        <v>17.576024355832772</v>
      </c>
      <c r="U14">
        <f t="shared" si="8"/>
        <v>8.8802099572170121</v>
      </c>
      <c r="V14">
        <f t="shared" si="5"/>
        <v>0.19431757165099803</v>
      </c>
      <c r="W14">
        <f t="shared" si="6"/>
        <v>19.900497512437809</v>
      </c>
    </row>
    <row r="15" spans="1:23" x14ac:dyDescent="0.2">
      <c r="A15" s="30" t="s">
        <v>496</v>
      </c>
      <c r="K15">
        <v>49</v>
      </c>
      <c r="L15" s="33">
        <f t="shared" si="0"/>
        <v>73</v>
      </c>
      <c r="M15" t="s">
        <v>512</v>
      </c>
      <c r="N15" s="33">
        <f t="shared" si="1"/>
        <v>3015</v>
      </c>
      <c r="O15" t="s">
        <v>548</v>
      </c>
      <c r="Q15">
        <f t="shared" si="7"/>
        <v>96.849087893864009</v>
      </c>
      <c r="R15">
        <f t="shared" si="2"/>
        <v>8.485778954866352E-3</v>
      </c>
      <c r="S15">
        <f t="shared" si="3"/>
        <v>0.50914673729198112</v>
      </c>
      <c r="T15">
        <f t="shared" si="4"/>
        <v>15.274402118759433</v>
      </c>
      <c r="U15">
        <f t="shared" si="8"/>
        <v>9.3893566945089937</v>
      </c>
      <c r="V15">
        <f t="shared" si="5"/>
        <v>0.16887122298241494</v>
      </c>
      <c r="W15">
        <f t="shared" si="6"/>
        <v>19.900497512437809</v>
      </c>
    </row>
    <row r="16" spans="1:23" x14ac:dyDescent="0.2">
      <c r="A16" s="30" t="s">
        <v>497</v>
      </c>
      <c r="K16">
        <v>44</v>
      </c>
      <c r="L16" s="33">
        <f t="shared" si="0"/>
        <v>68</v>
      </c>
      <c r="M16" t="s">
        <v>520</v>
      </c>
      <c r="N16" s="33">
        <f t="shared" si="1"/>
        <v>3016</v>
      </c>
      <c r="O16" t="s">
        <v>552</v>
      </c>
      <c r="Q16">
        <f t="shared" si="7"/>
        <v>90.185676392572944</v>
      </c>
      <c r="R16">
        <f t="shared" si="2"/>
        <v>7.8993203357513239E-3</v>
      </c>
      <c r="S16">
        <f t="shared" si="3"/>
        <v>0.47395922014507941</v>
      </c>
      <c r="T16">
        <f t="shared" si="4"/>
        <v>14.218776604352382</v>
      </c>
      <c r="U16">
        <f t="shared" si="8"/>
        <v>9.8633159146540734</v>
      </c>
      <c r="V16">
        <f t="shared" si="5"/>
        <v>0.15714828254147198</v>
      </c>
      <c r="W16">
        <f t="shared" si="6"/>
        <v>19.893899204244033</v>
      </c>
    </row>
    <row r="17" spans="1:23" x14ac:dyDescent="0.2">
      <c r="A17" s="30" t="s">
        <v>339</v>
      </c>
      <c r="K17">
        <v>43</v>
      </c>
      <c r="L17" s="33">
        <f t="shared" si="0"/>
        <v>67</v>
      </c>
      <c r="M17" t="s">
        <v>520</v>
      </c>
      <c r="N17" s="33">
        <f t="shared" si="1"/>
        <v>3016</v>
      </c>
      <c r="O17" t="s">
        <v>550</v>
      </c>
      <c r="Q17">
        <f t="shared" si="7"/>
        <v>88.859416445623339</v>
      </c>
      <c r="R17">
        <f t="shared" si="2"/>
        <v>7.7831538602255697E-3</v>
      </c>
      <c r="S17">
        <f t="shared" si="3"/>
        <v>0.46698923161353417</v>
      </c>
      <c r="T17">
        <f t="shared" si="4"/>
        <v>14.009676948406025</v>
      </c>
      <c r="U17">
        <f t="shared" si="8"/>
        <v>10.330305146267607</v>
      </c>
      <c r="V17">
        <f t="shared" si="5"/>
        <v>0.15483727838645034</v>
      </c>
      <c r="W17">
        <f t="shared" si="6"/>
        <v>19.893899204244033</v>
      </c>
    </row>
    <row r="18" spans="1:23" x14ac:dyDescent="0.2">
      <c r="A18" s="30" t="s">
        <v>498</v>
      </c>
      <c r="K18">
        <v>43</v>
      </c>
      <c r="L18" s="33">
        <f t="shared" si="0"/>
        <v>67</v>
      </c>
      <c r="M18" t="s">
        <v>512</v>
      </c>
      <c r="N18" s="33">
        <f t="shared" si="1"/>
        <v>3015</v>
      </c>
      <c r="O18" t="s">
        <v>558</v>
      </c>
      <c r="Q18">
        <f t="shared" si="7"/>
        <v>88.888888888888886</v>
      </c>
      <c r="R18">
        <f t="shared" si="2"/>
        <v>7.788317670904734E-3</v>
      </c>
      <c r="S18">
        <f t="shared" si="3"/>
        <v>0.46729906025428403</v>
      </c>
      <c r="T18">
        <f t="shared" si="4"/>
        <v>14.018971807628521</v>
      </c>
      <c r="U18">
        <f t="shared" si="8"/>
        <v>10.797604206521891</v>
      </c>
      <c r="V18">
        <f t="shared" si="5"/>
        <v>0.15499139643591509</v>
      </c>
      <c r="W18">
        <f t="shared" si="6"/>
        <v>19.900497512437809</v>
      </c>
    </row>
    <row r="19" spans="1:23" x14ac:dyDescent="0.2">
      <c r="A19" s="30" t="s">
        <v>499</v>
      </c>
      <c r="K19">
        <v>43</v>
      </c>
      <c r="L19" s="33">
        <f t="shared" si="0"/>
        <v>67</v>
      </c>
      <c r="M19" t="s">
        <v>512</v>
      </c>
      <c r="N19" s="33">
        <f t="shared" si="1"/>
        <v>3015</v>
      </c>
      <c r="O19">
        <v>140</v>
      </c>
      <c r="Q19">
        <f t="shared" si="7"/>
        <v>88.888888888888886</v>
      </c>
      <c r="R19">
        <f t="shared" si="2"/>
        <v>7.788317670904734E-3</v>
      </c>
      <c r="S19">
        <f t="shared" si="3"/>
        <v>0.46729906025428403</v>
      </c>
      <c r="T19">
        <f t="shared" si="4"/>
        <v>14.018971807628521</v>
      </c>
      <c r="U19">
        <f t="shared" si="8"/>
        <v>11.264903266776175</v>
      </c>
      <c r="V19">
        <f t="shared" si="5"/>
        <v>0.15499139643591509</v>
      </c>
      <c r="W19">
        <f t="shared" si="6"/>
        <v>19.900497512437809</v>
      </c>
    </row>
    <row r="20" spans="1:23" x14ac:dyDescent="0.2">
      <c r="A20" s="30" t="s">
        <v>500</v>
      </c>
      <c r="K20">
        <v>43</v>
      </c>
      <c r="L20" s="33">
        <f t="shared" si="0"/>
        <v>67</v>
      </c>
      <c r="M20" t="s">
        <v>520</v>
      </c>
      <c r="N20" s="33">
        <f t="shared" si="1"/>
        <v>3016</v>
      </c>
      <c r="O20" t="s">
        <v>558</v>
      </c>
      <c r="Q20">
        <f t="shared" si="7"/>
        <v>88.859416445623339</v>
      </c>
      <c r="R20">
        <f t="shared" si="2"/>
        <v>7.7831538602255697E-3</v>
      </c>
      <c r="S20">
        <f t="shared" si="3"/>
        <v>0.46698923161353417</v>
      </c>
      <c r="T20">
        <f t="shared" si="4"/>
        <v>14.009676948406025</v>
      </c>
      <c r="U20">
        <f t="shared" si="8"/>
        <v>11.731892498389708</v>
      </c>
      <c r="V20">
        <f t="shared" si="5"/>
        <v>0.15483727838645034</v>
      </c>
      <c r="W20">
        <f t="shared" si="6"/>
        <v>19.893899204244033</v>
      </c>
    </row>
    <row r="21" spans="1:23" x14ac:dyDescent="0.2">
      <c r="A21" s="30" t="s">
        <v>480</v>
      </c>
      <c r="K21">
        <v>43</v>
      </c>
      <c r="L21" s="33">
        <f t="shared" si="0"/>
        <v>67</v>
      </c>
      <c r="M21" t="s">
        <v>512</v>
      </c>
      <c r="N21" s="33">
        <f t="shared" si="1"/>
        <v>3015</v>
      </c>
      <c r="O21">
        <v>140</v>
      </c>
      <c r="Q21">
        <f t="shared" si="7"/>
        <v>88.888888888888886</v>
      </c>
      <c r="R21">
        <f t="shared" si="2"/>
        <v>7.788317670904734E-3</v>
      </c>
      <c r="S21">
        <f t="shared" si="3"/>
        <v>0.46729906025428403</v>
      </c>
      <c r="T21">
        <f t="shared" si="4"/>
        <v>14.018971807628521</v>
      </c>
      <c r="U21">
        <f t="shared" si="8"/>
        <v>12.199191558643992</v>
      </c>
      <c r="V21">
        <f t="shared" si="5"/>
        <v>0.15499139643591509</v>
      </c>
      <c r="W21">
        <f t="shared" si="6"/>
        <v>19.900497512437809</v>
      </c>
    </row>
    <row r="22" spans="1:23" x14ac:dyDescent="0.2">
      <c r="A22" s="30" t="s">
        <v>339</v>
      </c>
      <c r="K22">
        <v>43</v>
      </c>
      <c r="L22" s="33">
        <f t="shared" si="0"/>
        <v>67</v>
      </c>
      <c r="M22" t="s">
        <v>520</v>
      </c>
      <c r="N22" s="33">
        <f t="shared" si="1"/>
        <v>3016</v>
      </c>
      <c r="O22" t="s">
        <v>550</v>
      </c>
      <c r="Q22">
        <f t="shared" si="7"/>
        <v>88.859416445623339</v>
      </c>
      <c r="R22">
        <f t="shared" si="2"/>
        <v>7.7831538602255697E-3</v>
      </c>
      <c r="S22">
        <f t="shared" si="3"/>
        <v>0.46698923161353417</v>
      </c>
      <c r="T22">
        <f t="shared" si="4"/>
        <v>14.009676948406025</v>
      </c>
      <c r="U22">
        <f t="shared" si="8"/>
        <v>12.666180790257526</v>
      </c>
      <c r="V22">
        <f t="shared" si="5"/>
        <v>0.15483727838645034</v>
      </c>
      <c r="W22">
        <f t="shared" si="6"/>
        <v>19.893899204244033</v>
      </c>
    </row>
    <row r="23" spans="1:23" x14ac:dyDescent="0.2">
      <c r="A23" s="30" t="s">
        <v>501</v>
      </c>
      <c r="K23">
        <v>43</v>
      </c>
      <c r="L23" s="33">
        <f t="shared" si="0"/>
        <v>67</v>
      </c>
      <c r="M23" t="s">
        <v>520</v>
      </c>
      <c r="N23" s="33">
        <f t="shared" si="1"/>
        <v>3016</v>
      </c>
      <c r="O23" t="s">
        <v>550</v>
      </c>
      <c r="Q23">
        <f t="shared" si="7"/>
        <v>88.859416445623339</v>
      </c>
      <c r="R23">
        <f t="shared" si="2"/>
        <v>7.7831538602255697E-3</v>
      </c>
      <c r="S23">
        <f t="shared" si="3"/>
        <v>0.46698923161353417</v>
      </c>
      <c r="T23">
        <f t="shared" si="4"/>
        <v>14.009676948406025</v>
      </c>
      <c r="U23">
        <f t="shared" si="8"/>
        <v>13.133170021871059</v>
      </c>
      <c r="V23">
        <f t="shared" si="5"/>
        <v>0.15483727838645034</v>
      </c>
      <c r="W23">
        <f t="shared" si="6"/>
        <v>19.893899204244033</v>
      </c>
    </row>
    <row r="24" spans="1:23" x14ac:dyDescent="0.2">
      <c r="A24" s="30" t="s">
        <v>0</v>
      </c>
      <c r="K24">
        <v>43</v>
      </c>
      <c r="L24" s="33">
        <f t="shared" si="0"/>
        <v>67</v>
      </c>
      <c r="M24" t="s">
        <v>520</v>
      </c>
      <c r="N24" s="33">
        <f t="shared" si="1"/>
        <v>3016</v>
      </c>
      <c r="O24" t="s">
        <v>550</v>
      </c>
      <c r="Q24">
        <f t="shared" si="7"/>
        <v>88.859416445623339</v>
      </c>
      <c r="R24">
        <f t="shared" si="2"/>
        <v>7.7831538602255697E-3</v>
      </c>
      <c r="S24">
        <f t="shared" si="3"/>
        <v>0.46698923161353417</v>
      </c>
      <c r="T24">
        <f t="shared" si="4"/>
        <v>14.009676948406025</v>
      </c>
      <c r="U24">
        <f t="shared" si="8"/>
        <v>13.600159253484593</v>
      </c>
      <c r="V24">
        <f t="shared" si="5"/>
        <v>0.15483727838645034</v>
      </c>
      <c r="W24">
        <f t="shared" si="6"/>
        <v>19.893899204244033</v>
      </c>
    </row>
    <row r="25" spans="1:23" x14ac:dyDescent="0.2">
      <c r="A25" s="30" t="s">
        <v>481</v>
      </c>
      <c r="K25">
        <v>42</v>
      </c>
      <c r="L25" s="33">
        <f t="shared" si="0"/>
        <v>66</v>
      </c>
      <c r="M25" t="s">
        <v>575</v>
      </c>
      <c r="N25" s="33">
        <f t="shared" si="1"/>
        <v>3014</v>
      </c>
      <c r="O25" t="s">
        <v>550</v>
      </c>
      <c r="Q25">
        <f t="shared" si="7"/>
        <v>87.591240875912419</v>
      </c>
      <c r="R25">
        <f t="shared" si="2"/>
        <v>7.6771659264066967E-3</v>
      </c>
      <c r="S25">
        <f t="shared" si="3"/>
        <v>0.46062995558440178</v>
      </c>
      <c r="T25">
        <f t="shared" si="4"/>
        <v>13.818898667532054</v>
      </c>
      <c r="U25">
        <f t="shared" si="8"/>
        <v>14.060789209068995</v>
      </c>
      <c r="V25">
        <f t="shared" si="5"/>
        <v>0.15283011134187188</v>
      </c>
      <c r="W25">
        <f t="shared" si="6"/>
        <v>19.907100199071003</v>
      </c>
    </row>
    <row r="26" spans="1:23" x14ac:dyDescent="0.2">
      <c r="A26" s="30" t="s">
        <v>482</v>
      </c>
      <c r="K26">
        <v>14</v>
      </c>
      <c r="L26" s="36">
        <v>20</v>
      </c>
      <c r="M26" t="s">
        <v>583</v>
      </c>
      <c r="N26" s="36">
        <f t="shared" si="1"/>
        <v>2038</v>
      </c>
      <c r="Q26" s="36">
        <f>((L26/(N26/1000))/0.5)/0.5</f>
        <v>39.254170755642789</v>
      </c>
      <c r="R26" s="36">
        <f>((Q26*0.00026417)/(N26/1000))</f>
        <v>5.0882111327370735E-3</v>
      </c>
      <c r="S26" s="36">
        <f t="shared" si="3"/>
        <v>0.30529266796422438</v>
      </c>
      <c r="T26" s="36">
        <f t="shared" si="4"/>
        <v>9.1587800389267322</v>
      </c>
      <c r="U26" s="36">
        <f>S26</f>
        <v>0.30529266796422438</v>
      </c>
      <c r="V26" s="36">
        <f>R26*W26</f>
        <v>0.14980013148391777</v>
      </c>
      <c r="W26" s="36">
        <f>60/(N26/1000)</f>
        <v>29.440628066732092</v>
      </c>
    </row>
    <row r="27" spans="1:23" x14ac:dyDescent="0.2">
      <c r="A27" s="30" t="s">
        <v>483</v>
      </c>
      <c r="K27">
        <v>14</v>
      </c>
      <c r="L27" s="36">
        <f t="shared" si="0"/>
        <v>20</v>
      </c>
      <c r="M27" t="s">
        <v>583</v>
      </c>
      <c r="N27" s="36">
        <f t="shared" si="1"/>
        <v>2038</v>
      </c>
      <c r="Q27" s="36">
        <f>((L27/(N27/1000))/0.5)/0.5</f>
        <v>39.254170755642789</v>
      </c>
      <c r="R27" s="36">
        <f>((Q27*0.00026417)/(N27/1000))</f>
        <v>5.0882111327370735E-3</v>
      </c>
      <c r="S27" s="36">
        <f t="shared" si="3"/>
        <v>0.30529266796422438</v>
      </c>
      <c r="T27" s="36">
        <f t="shared" si="4"/>
        <v>9.1587800389267322</v>
      </c>
      <c r="U27" s="36">
        <f>S27+U26</f>
        <v>0.61058533592844877</v>
      </c>
      <c r="V27" s="36">
        <f>R27*W27</f>
        <v>0.14980013148391777</v>
      </c>
      <c r="W27" s="36">
        <f>60/(N27/1000)</f>
        <v>29.440628066732092</v>
      </c>
    </row>
    <row r="28" spans="1:23" x14ac:dyDescent="0.2">
      <c r="A28" s="30" t="s">
        <v>484</v>
      </c>
      <c r="K28">
        <v>14</v>
      </c>
      <c r="L28" s="36">
        <f t="shared" si="0"/>
        <v>20</v>
      </c>
      <c r="M28" t="s">
        <v>583</v>
      </c>
      <c r="N28" s="36">
        <f t="shared" si="1"/>
        <v>2038</v>
      </c>
      <c r="Q28" s="36">
        <f t="shared" ref="Q28:Q62" si="9">((L28/(N28/1000))/0.5)/0.5</f>
        <v>39.254170755642789</v>
      </c>
      <c r="R28" s="36">
        <f t="shared" ref="R28:R62" si="10">((Q28*0.00026417)/(N28/1000))</f>
        <v>5.0882111327370735E-3</v>
      </c>
      <c r="S28" s="36">
        <f t="shared" si="3"/>
        <v>0.30529266796422438</v>
      </c>
      <c r="T28" s="36">
        <f t="shared" si="4"/>
        <v>9.1587800389267322</v>
      </c>
      <c r="U28" s="36">
        <f t="shared" ref="U28:U62" si="11">S28+U27</f>
        <v>0.91587800389267315</v>
      </c>
      <c r="V28" s="36">
        <f t="shared" ref="V28:V62" si="12">R28*W28</f>
        <v>0.14980013148391777</v>
      </c>
      <c r="W28" s="36">
        <f t="shared" ref="W28:W62" si="13">60/(N28/1000)</f>
        <v>29.440628066732092</v>
      </c>
    </row>
    <row r="29" spans="1:23" x14ac:dyDescent="0.2">
      <c r="A29" s="30" t="s">
        <v>2</v>
      </c>
      <c r="K29">
        <v>14</v>
      </c>
      <c r="L29" s="36">
        <f t="shared" si="0"/>
        <v>20</v>
      </c>
      <c r="M29" t="s">
        <v>583</v>
      </c>
      <c r="N29" s="36">
        <f t="shared" si="1"/>
        <v>2038</v>
      </c>
      <c r="Q29" s="36">
        <f t="shared" si="9"/>
        <v>39.254170755642789</v>
      </c>
      <c r="R29" s="36">
        <f t="shared" si="10"/>
        <v>5.0882111327370735E-3</v>
      </c>
      <c r="S29" s="36">
        <f t="shared" si="3"/>
        <v>0.30529266796422438</v>
      </c>
      <c r="T29" s="36">
        <f t="shared" si="4"/>
        <v>9.1587800389267322</v>
      </c>
      <c r="U29" s="36">
        <f t="shared" si="11"/>
        <v>1.2211706718568975</v>
      </c>
      <c r="V29" s="36">
        <f t="shared" si="12"/>
        <v>0.14980013148391777</v>
      </c>
      <c r="W29" s="36">
        <f t="shared" si="13"/>
        <v>29.440628066732092</v>
      </c>
    </row>
    <row r="30" spans="1:23" x14ac:dyDescent="0.2">
      <c r="A30" s="30" t="s">
        <v>485</v>
      </c>
      <c r="K30">
        <v>14</v>
      </c>
      <c r="L30" s="36">
        <f t="shared" si="0"/>
        <v>20</v>
      </c>
      <c r="M30" t="s">
        <v>583</v>
      </c>
      <c r="N30" s="36">
        <f t="shared" si="1"/>
        <v>2038</v>
      </c>
      <c r="Q30" s="36">
        <f t="shared" si="9"/>
        <v>39.254170755642789</v>
      </c>
      <c r="R30" s="36">
        <f t="shared" si="10"/>
        <v>5.0882111327370735E-3</v>
      </c>
      <c r="S30" s="36">
        <f t="shared" si="3"/>
        <v>0.30529266796422438</v>
      </c>
      <c r="T30" s="36">
        <f t="shared" si="4"/>
        <v>9.1587800389267322</v>
      </c>
      <c r="U30" s="36">
        <f t="shared" si="11"/>
        <v>1.526463339821122</v>
      </c>
      <c r="V30" s="36">
        <f t="shared" si="12"/>
        <v>0.14980013148391777</v>
      </c>
      <c r="W30" s="36">
        <f t="shared" si="13"/>
        <v>29.440628066732092</v>
      </c>
    </row>
    <row r="31" spans="1:23" x14ac:dyDescent="0.2">
      <c r="A31" s="30"/>
      <c r="K31">
        <v>14</v>
      </c>
      <c r="L31" s="36">
        <f t="shared" si="0"/>
        <v>20</v>
      </c>
      <c r="M31" t="s">
        <v>583</v>
      </c>
      <c r="N31" s="36">
        <f t="shared" si="1"/>
        <v>2038</v>
      </c>
      <c r="Q31" s="36">
        <f t="shared" si="9"/>
        <v>39.254170755642789</v>
      </c>
      <c r="R31" s="36">
        <f t="shared" si="10"/>
        <v>5.0882111327370735E-3</v>
      </c>
      <c r="S31" s="36">
        <f t="shared" si="3"/>
        <v>0.30529266796422438</v>
      </c>
      <c r="T31" s="36">
        <f t="shared" si="4"/>
        <v>9.1587800389267322</v>
      </c>
      <c r="U31" s="36">
        <f t="shared" si="11"/>
        <v>1.8317560077853465</v>
      </c>
      <c r="V31" s="36">
        <f t="shared" si="12"/>
        <v>0.14980013148391777</v>
      </c>
      <c r="W31" s="36">
        <f t="shared" si="13"/>
        <v>29.440628066732092</v>
      </c>
    </row>
    <row r="32" spans="1:23" x14ac:dyDescent="0.2">
      <c r="A32" s="30"/>
      <c r="K32">
        <v>13</v>
      </c>
      <c r="L32" s="36">
        <f t="shared" si="0"/>
        <v>19</v>
      </c>
      <c r="M32" t="s">
        <v>583</v>
      </c>
      <c r="N32" s="36">
        <f t="shared" si="1"/>
        <v>2038</v>
      </c>
      <c r="Q32" s="36">
        <f t="shared" si="9"/>
        <v>37.291462217860648</v>
      </c>
      <c r="R32" s="36">
        <f t="shared" si="10"/>
        <v>4.8338005761002197E-3</v>
      </c>
      <c r="S32" s="36">
        <f t="shared" si="3"/>
        <v>0.29002803456601317</v>
      </c>
      <c r="T32" s="36">
        <f t="shared" si="4"/>
        <v>8.7008410369803943</v>
      </c>
      <c r="U32" s="36">
        <f t="shared" si="11"/>
        <v>2.1217840423513596</v>
      </c>
      <c r="V32" s="36">
        <f t="shared" si="12"/>
        <v>0.14231012490972189</v>
      </c>
      <c r="W32" s="36">
        <f t="shared" si="13"/>
        <v>29.440628066732092</v>
      </c>
    </row>
    <row r="33" spans="1:23" x14ac:dyDescent="0.2">
      <c r="A33" s="30"/>
      <c r="K33">
        <v>14</v>
      </c>
      <c r="L33" s="36">
        <f t="shared" si="0"/>
        <v>20</v>
      </c>
      <c r="M33" t="s">
        <v>583</v>
      </c>
      <c r="N33" s="36">
        <f t="shared" si="1"/>
        <v>2038</v>
      </c>
      <c r="Q33" s="36">
        <f t="shared" si="9"/>
        <v>39.254170755642789</v>
      </c>
      <c r="R33" s="36">
        <f t="shared" si="10"/>
        <v>5.0882111327370735E-3</v>
      </c>
      <c r="S33" s="36">
        <f t="shared" si="3"/>
        <v>0.30529266796422438</v>
      </c>
      <c r="T33" s="36">
        <f t="shared" si="4"/>
        <v>9.1587800389267322</v>
      </c>
      <c r="U33" s="36">
        <f t="shared" si="11"/>
        <v>2.4270767103155841</v>
      </c>
      <c r="V33" s="36">
        <f t="shared" si="12"/>
        <v>0.14980013148391777</v>
      </c>
      <c r="W33" s="36">
        <f t="shared" si="13"/>
        <v>29.440628066732092</v>
      </c>
    </row>
    <row r="34" spans="1:23" x14ac:dyDescent="0.2">
      <c r="A34" s="30"/>
      <c r="K34">
        <v>14</v>
      </c>
      <c r="L34" s="36">
        <f t="shared" si="0"/>
        <v>20</v>
      </c>
      <c r="M34" t="s">
        <v>583</v>
      </c>
      <c r="N34" s="36">
        <f t="shared" si="1"/>
        <v>2038</v>
      </c>
      <c r="Q34" s="36">
        <f t="shared" si="9"/>
        <v>39.254170755642789</v>
      </c>
      <c r="R34" s="36">
        <f t="shared" si="10"/>
        <v>5.0882111327370735E-3</v>
      </c>
      <c r="S34" s="36">
        <f t="shared" si="3"/>
        <v>0.30529266796422438</v>
      </c>
      <c r="T34" s="36">
        <f t="shared" si="4"/>
        <v>9.1587800389267322</v>
      </c>
      <c r="U34" s="36">
        <f t="shared" si="11"/>
        <v>2.7323693782798086</v>
      </c>
      <c r="V34" s="36">
        <f t="shared" si="12"/>
        <v>0.14980013148391777</v>
      </c>
      <c r="W34" s="36">
        <f t="shared" si="13"/>
        <v>29.440628066732092</v>
      </c>
    </row>
    <row r="35" spans="1:23" x14ac:dyDescent="0.2">
      <c r="A35" s="30"/>
      <c r="K35">
        <v>14</v>
      </c>
      <c r="L35" s="36">
        <f t="shared" si="0"/>
        <v>20</v>
      </c>
      <c r="M35" t="s">
        <v>628</v>
      </c>
      <c r="N35" s="36">
        <f t="shared" si="1"/>
        <v>2041</v>
      </c>
      <c r="Q35" s="36">
        <f t="shared" si="9"/>
        <v>39.196472317491427</v>
      </c>
      <c r="R35" s="36">
        <f t="shared" si="10"/>
        <v>5.0732641313629154E-3</v>
      </c>
      <c r="S35" s="36">
        <f t="shared" si="3"/>
        <v>0.30439584788177493</v>
      </c>
      <c r="T35" s="36">
        <f t="shared" si="4"/>
        <v>9.1318754364532477</v>
      </c>
      <c r="U35" s="36">
        <f t="shared" si="11"/>
        <v>3.0367652261615836</v>
      </c>
      <c r="V35" s="36">
        <f t="shared" si="12"/>
        <v>0.14914054281321654</v>
      </c>
      <c r="W35" s="36">
        <f t="shared" si="13"/>
        <v>29.39735423811857</v>
      </c>
    </row>
    <row r="36" spans="1:23" x14ac:dyDescent="0.2">
      <c r="A36" s="30"/>
      <c r="K36">
        <v>14</v>
      </c>
      <c r="L36" s="36">
        <f t="shared" si="0"/>
        <v>20</v>
      </c>
      <c r="M36" t="s">
        <v>633</v>
      </c>
      <c r="N36" s="36">
        <f t="shared" si="1"/>
        <v>2039</v>
      </c>
      <c r="Q36" s="36">
        <f t="shared" si="9"/>
        <v>39.234919077979399</v>
      </c>
      <c r="R36" s="36">
        <f t="shared" si="10"/>
        <v>5.0832214677929456E-3</v>
      </c>
      <c r="S36" s="36">
        <f t="shared" si="3"/>
        <v>0.30499328806757675</v>
      </c>
      <c r="T36" s="36">
        <f t="shared" si="4"/>
        <v>9.149798642027303</v>
      </c>
      <c r="U36" s="36">
        <f t="shared" si="11"/>
        <v>3.3417585142291601</v>
      </c>
      <c r="V36" s="36">
        <f t="shared" si="12"/>
        <v>0.1495798372082279</v>
      </c>
      <c r="W36" s="36">
        <f t="shared" si="13"/>
        <v>29.426189308484549</v>
      </c>
    </row>
    <row r="37" spans="1:23" x14ac:dyDescent="0.2">
      <c r="A37" s="30"/>
      <c r="K37">
        <v>14</v>
      </c>
      <c r="L37" s="36">
        <f t="shared" si="0"/>
        <v>20</v>
      </c>
      <c r="M37" t="s">
        <v>633</v>
      </c>
      <c r="N37" s="36">
        <f t="shared" si="1"/>
        <v>2039</v>
      </c>
      <c r="Q37" s="36">
        <f t="shared" si="9"/>
        <v>39.234919077979399</v>
      </c>
      <c r="R37" s="36">
        <f t="shared" si="10"/>
        <v>5.0832214677929456E-3</v>
      </c>
      <c r="S37" s="36">
        <f t="shared" si="3"/>
        <v>0.30499328806757675</v>
      </c>
      <c r="T37" s="36">
        <f t="shared" si="4"/>
        <v>9.149798642027303</v>
      </c>
      <c r="U37" s="36">
        <f t="shared" si="11"/>
        <v>3.6467518022967367</v>
      </c>
      <c r="V37" s="36">
        <f t="shared" si="12"/>
        <v>0.1495798372082279</v>
      </c>
      <c r="W37" s="36">
        <f t="shared" si="13"/>
        <v>29.426189308484549</v>
      </c>
    </row>
    <row r="38" spans="1:23" x14ac:dyDescent="0.2">
      <c r="A38" s="30"/>
      <c r="K38">
        <v>14</v>
      </c>
      <c r="L38" s="36">
        <f t="shared" si="0"/>
        <v>20</v>
      </c>
      <c r="M38" t="s">
        <v>583</v>
      </c>
      <c r="N38" s="36">
        <f t="shared" si="1"/>
        <v>2038</v>
      </c>
      <c r="Q38" s="36">
        <f t="shared" si="9"/>
        <v>39.254170755642789</v>
      </c>
      <c r="R38" s="36">
        <f t="shared" si="10"/>
        <v>5.0882111327370735E-3</v>
      </c>
      <c r="S38" s="36">
        <f t="shared" si="3"/>
        <v>0.30529266796422438</v>
      </c>
      <c r="T38" s="36">
        <f t="shared" si="4"/>
        <v>9.1587800389267322</v>
      </c>
      <c r="U38" s="36">
        <f t="shared" si="11"/>
        <v>3.9520444702609612</v>
      </c>
      <c r="V38" s="36">
        <f t="shared" si="12"/>
        <v>0.14980013148391777</v>
      </c>
      <c r="W38" s="36">
        <f t="shared" si="13"/>
        <v>29.440628066732092</v>
      </c>
    </row>
    <row r="39" spans="1:23" x14ac:dyDescent="0.2">
      <c r="A39" s="30"/>
      <c r="K39">
        <v>13</v>
      </c>
      <c r="L39" s="36">
        <f t="shared" si="0"/>
        <v>19</v>
      </c>
      <c r="M39" t="s">
        <v>583</v>
      </c>
      <c r="N39" s="36">
        <f t="shared" si="1"/>
        <v>2038</v>
      </c>
      <c r="Q39" s="36">
        <f t="shared" si="9"/>
        <v>37.291462217860648</v>
      </c>
      <c r="R39" s="36">
        <f t="shared" si="10"/>
        <v>4.8338005761002197E-3</v>
      </c>
      <c r="S39" s="36">
        <f t="shared" si="3"/>
        <v>0.29002803456601317</v>
      </c>
      <c r="T39" s="36">
        <f t="shared" si="4"/>
        <v>8.7008410369803943</v>
      </c>
      <c r="U39" s="36">
        <f t="shared" si="11"/>
        <v>4.2420725048269743</v>
      </c>
      <c r="V39" s="36">
        <f t="shared" si="12"/>
        <v>0.14231012490972189</v>
      </c>
      <c r="W39" s="36">
        <f t="shared" si="13"/>
        <v>29.440628066732092</v>
      </c>
    </row>
    <row r="40" spans="1:23" x14ac:dyDescent="0.2">
      <c r="A40" s="30"/>
      <c r="K40">
        <v>14</v>
      </c>
      <c r="L40" s="36">
        <f t="shared" si="0"/>
        <v>20</v>
      </c>
      <c r="M40" t="s">
        <v>583</v>
      </c>
      <c r="N40" s="36">
        <f t="shared" si="1"/>
        <v>2038</v>
      </c>
      <c r="Q40" s="36">
        <f t="shared" si="9"/>
        <v>39.254170755642789</v>
      </c>
      <c r="R40" s="36">
        <f t="shared" si="10"/>
        <v>5.0882111327370735E-3</v>
      </c>
      <c r="S40" s="36">
        <f t="shared" si="3"/>
        <v>0.30529266796422438</v>
      </c>
      <c r="T40" s="36">
        <f t="shared" si="4"/>
        <v>9.1587800389267322</v>
      </c>
      <c r="U40" s="36">
        <f t="shared" si="11"/>
        <v>4.5473651727911983</v>
      </c>
      <c r="V40" s="36">
        <f t="shared" si="12"/>
        <v>0.14980013148391777</v>
      </c>
      <c r="W40" s="36">
        <f t="shared" si="13"/>
        <v>29.440628066732092</v>
      </c>
    </row>
    <row r="41" spans="1:23" x14ac:dyDescent="0.2">
      <c r="A41" s="30"/>
      <c r="K41">
        <v>14</v>
      </c>
      <c r="L41" s="36">
        <f t="shared" si="0"/>
        <v>20</v>
      </c>
      <c r="M41" t="s">
        <v>583</v>
      </c>
      <c r="N41" s="36">
        <f t="shared" si="1"/>
        <v>2038</v>
      </c>
      <c r="Q41" s="36">
        <f t="shared" si="9"/>
        <v>39.254170755642789</v>
      </c>
      <c r="R41" s="36">
        <f t="shared" si="10"/>
        <v>5.0882111327370735E-3</v>
      </c>
      <c r="S41" s="36">
        <f t="shared" si="3"/>
        <v>0.30529266796422438</v>
      </c>
      <c r="T41" s="36">
        <f t="shared" si="4"/>
        <v>9.1587800389267322</v>
      </c>
      <c r="U41" s="36">
        <f t="shared" si="11"/>
        <v>4.8526578407554224</v>
      </c>
      <c r="V41" s="36">
        <f t="shared" si="12"/>
        <v>0.14980013148391777</v>
      </c>
      <c r="W41" s="36">
        <f t="shared" si="13"/>
        <v>29.440628066732092</v>
      </c>
    </row>
    <row r="42" spans="1:23" x14ac:dyDescent="0.2">
      <c r="A42" s="30"/>
      <c r="K42">
        <v>14</v>
      </c>
      <c r="L42" s="36">
        <f t="shared" si="0"/>
        <v>20</v>
      </c>
      <c r="M42" t="s">
        <v>583</v>
      </c>
      <c r="N42" s="36">
        <f t="shared" si="1"/>
        <v>2038</v>
      </c>
      <c r="Q42" s="36">
        <f t="shared" si="9"/>
        <v>39.254170755642789</v>
      </c>
      <c r="R42" s="36">
        <f t="shared" si="10"/>
        <v>5.0882111327370735E-3</v>
      </c>
      <c r="S42" s="36">
        <f t="shared" si="3"/>
        <v>0.30529266796422438</v>
      </c>
      <c r="T42" s="36">
        <f t="shared" si="4"/>
        <v>9.1587800389267322</v>
      </c>
      <c r="U42" s="36">
        <f t="shared" si="11"/>
        <v>5.1579505087196464</v>
      </c>
      <c r="V42" s="36">
        <f t="shared" si="12"/>
        <v>0.14980013148391777</v>
      </c>
      <c r="W42" s="36">
        <f t="shared" si="13"/>
        <v>29.440628066732092</v>
      </c>
    </row>
    <row r="43" spans="1:23" x14ac:dyDescent="0.2">
      <c r="A43" s="30"/>
      <c r="K43">
        <v>14</v>
      </c>
      <c r="L43" s="36">
        <f t="shared" si="0"/>
        <v>20</v>
      </c>
      <c r="M43" t="s">
        <v>583</v>
      </c>
      <c r="N43" s="36">
        <f t="shared" si="1"/>
        <v>2038</v>
      </c>
      <c r="Q43" s="36">
        <f t="shared" si="9"/>
        <v>39.254170755642789</v>
      </c>
      <c r="R43" s="36">
        <f t="shared" si="10"/>
        <v>5.0882111327370735E-3</v>
      </c>
      <c r="S43" s="36">
        <f t="shared" si="3"/>
        <v>0.30529266796422438</v>
      </c>
      <c r="T43" s="36">
        <f t="shared" si="4"/>
        <v>9.1587800389267322</v>
      </c>
      <c r="U43" s="36">
        <f t="shared" si="11"/>
        <v>5.4632431766838705</v>
      </c>
      <c r="V43" s="36">
        <f t="shared" si="12"/>
        <v>0.14980013148391777</v>
      </c>
      <c r="W43" s="36">
        <f t="shared" si="13"/>
        <v>29.440628066732092</v>
      </c>
    </row>
    <row r="44" spans="1:23" x14ac:dyDescent="0.2">
      <c r="A44" s="30"/>
      <c r="K44">
        <v>13</v>
      </c>
      <c r="L44" s="36">
        <f t="shared" si="0"/>
        <v>19</v>
      </c>
      <c r="M44" t="s">
        <v>583</v>
      </c>
      <c r="N44" s="36">
        <f t="shared" si="1"/>
        <v>2038</v>
      </c>
      <c r="Q44" s="36">
        <f t="shared" si="9"/>
        <v>37.291462217860648</v>
      </c>
      <c r="R44" s="36">
        <f t="shared" si="10"/>
        <v>4.8338005761002197E-3</v>
      </c>
      <c r="S44" s="36">
        <f t="shared" si="3"/>
        <v>0.29002803456601317</v>
      </c>
      <c r="T44" s="36">
        <f t="shared" si="4"/>
        <v>8.7008410369803943</v>
      </c>
      <c r="U44" s="36">
        <f t="shared" si="11"/>
        <v>5.7532712112498841</v>
      </c>
      <c r="V44" s="36">
        <f t="shared" si="12"/>
        <v>0.14231012490972189</v>
      </c>
      <c r="W44" s="36">
        <f t="shared" si="13"/>
        <v>29.440628066732092</v>
      </c>
    </row>
    <row r="45" spans="1:23" x14ac:dyDescent="0.2">
      <c r="A45" s="30"/>
      <c r="K45">
        <v>14</v>
      </c>
      <c r="L45" s="36">
        <f t="shared" si="0"/>
        <v>20</v>
      </c>
      <c r="M45" t="s">
        <v>583</v>
      </c>
      <c r="N45" s="36">
        <f t="shared" si="1"/>
        <v>2038</v>
      </c>
      <c r="Q45" s="36">
        <f t="shared" si="9"/>
        <v>39.254170755642789</v>
      </c>
      <c r="R45" s="36">
        <f t="shared" si="10"/>
        <v>5.0882111327370735E-3</v>
      </c>
      <c r="S45" s="36">
        <f t="shared" si="3"/>
        <v>0.30529266796422438</v>
      </c>
      <c r="T45" s="36">
        <f t="shared" si="4"/>
        <v>9.1587800389267322</v>
      </c>
      <c r="U45" s="36">
        <f t="shared" si="11"/>
        <v>6.0585638792141081</v>
      </c>
      <c r="V45" s="36">
        <f t="shared" si="12"/>
        <v>0.14980013148391777</v>
      </c>
      <c r="W45" s="36">
        <f t="shared" si="13"/>
        <v>29.440628066732092</v>
      </c>
    </row>
    <row r="46" spans="1:23" x14ac:dyDescent="0.2">
      <c r="A46" s="30"/>
      <c r="K46">
        <v>13</v>
      </c>
      <c r="L46" s="36">
        <f t="shared" si="0"/>
        <v>19</v>
      </c>
      <c r="M46" t="s">
        <v>583</v>
      </c>
      <c r="N46" s="36">
        <f t="shared" si="1"/>
        <v>2038</v>
      </c>
      <c r="Q46" s="36">
        <f t="shared" si="9"/>
        <v>37.291462217860648</v>
      </c>
      <c r="R46" s="36">
        <f t="shared" si="10"/>
        <v>4.8338005761002197E-3</v>
      </c>
      <c r="S46" s="36">
        <f t="shared" si="3"/>
        <v>0.29002803456601317</v>
      </c>
      <c r="T46" s="36">
        <f t="shared" si="4"/>
        <v>8.7008410369803943</v>
      </c>
      <c r="U46" s="36">
        <f t="shared" si="11"/>
        <v>6.3485919137801217</v>
      </c>
      <c r="V46" s="36">
        <f t="shared" si="12"/>
        <v>0.14231012490972189</v>
      </c>
      <c r="W46" s="36">
        <f t="shared" si="13"/>
        <v>29.440628066732092</v>
      </c>
    </row>
    <row r="47" spans="1:23" x14ac:dyDescent="0.2">
      <c r="A47" s="30"/>
      <c r="K47">
        <v>14</v>
      </c>
      <c r="L47" s="36">
        <f t="shared" si="0"/>
        <v>20</v>
      </c>
      <c r="M47" t="s">
        <v>583</v>
      </c>
      <c r="N47" s="36">
        <f t="shared" si="1"/>
        <v>2038</v>
      </c>
      <c r="Q47" s="36">
        <f t="shared" si="9"/>
        <v>39.254170755642789</v>
      </c>
      <c r="R47" s="36">
        <f t="shared" si="10"/>
        <v>5.0882111327370735E-3</v>
      </c>
      <c r="S47" s="36">
        <f t="shared" si="3"/>
        <v>0.30529266796422438</v>
      </c>
      <c r="T47" s="36">
        <f t="shared" si="4"/>
        <v>9.1587800389267322</v>
      </c>
      <c r="U47" s="36">
        <f t="shared" si="11"/>
        <v>6.6538845817443457</v>
      </c>
      <c r="V47" s="36">
        <f t="shared" si="12"/>
        <v>0.14980013148391777</v>
      </c>
      <c r="W47" s="36">
        <f t="shared" si="13"/>
        <v>29.440628066732092</v>
      </c>
    </row>
    <row r="48" spans="1:23" x14ac:dyDescent="0.2">
      <c r="A48" s="30"/>
      <c r="K48">
        <v>14</v>
      </c>
      <c r="L48" s="36">
        <f t="shared" si="0"/>
        <v>20</v>
      </c>
      <c r="M48" t="s">
        <v>653</v>
      </c>
      <c r="N48" s="36">
        <f t="shared" si="1"/>
        <v>2040</v>
      </c>
      <c r="Q48" s="36">
        <f t="shared" si="9"/>
        <v>39.215686274509807</v>
      </c>
      <c r="R48" s="36">
        <f t="shared" si="10"/>
        <v>5.0782391387927716E-3</v>
      </c>
      <c r="S48" s="36">
        <f t="shared" si="3"/>
        <v>0.30469434832756631</v>
      </c>
      <c r="T48" s="36">
        <f t="shared" si="4"/>
        <v>9.1408304498269892</v>
      </c>
      <c r="U48" s="36">
        <f t="shared" si="11"/>
        <v>6.9585789300719121</v>
      </c>
      <c r="V48" s="36">
        <f t="shared" si="12"/>
        <v>0.14935997467037562</v>
      </c>
      <c r="W48" s="36">
        <f t="shared" si="13"/>
        <v>29.411764705882351</v>
      </c>
    </row>
    <row r="49" spans="1:23" x14ac:dyDescent="0.2">
      <c r="A49" s="30"/>
      <c r="K49">
        <v>14</v>
      </c>
      <c r="L49" s="36">
        <f t="shared" si="0"/>
        <v>20</v>
      </c>
      <c r="M49" t="s">
        <v>633</v>
      </c>
      <c r="N49" s="36">
        <f t="shared" si="1"/>
        <v>2039</v>
      </c>
      <c r="Q49" s="36">
        <f t="shared" si="9"/>
        <v>39.234919077979399</v>
      </c>
      <c r="R49" s="36">
        <f t="shared" si="10"/>
        <v>5.0832214677929456E-3</v>
      </c>
      <c r="S49" s="36">
        <f t="shared" si="3"/>
        <v>0.30499328806757675</v>
      </c>
      <c r="T49" s="36">
        <f t="shared" si="4"/>
        <v>9.149798642027303</v>
      </c>
      <c r="U49" s="36">
        <f t="shared" si="11"/>
        <v>7.2635722181394886</v>
      </c>
      <c r="V49" s="36">
        <f t="shared" si="12"/>
        <v>0.1495798372082279</v>
      </c>
      <c r="W49" s="36">
        <f t="shared" si="13"/>
        <v>29.426189308484549</v>
      </c>
    </row>
    <row r="50" spans="1:23" x14ac:dyDescent="0.2">
      <c r="A50" s="30"/>
      <c r="K50">
        <v>14</v>
      </c>
      <c r="L50" s="36">
        <f t="shared" si="0"/>
        <v>20</v>
      </c>
      <c r="M50" t="s">
        <v>583</v>
      </c>
      <c r="N50" s="36">
        <f t="shared" si="1"/>
        <v>2038</v>
      </c>
      <c r="Q50" s="36">
        <f t="shared" si="9"/>
        <v>39.254170755642789</v>
      </c>
      <c r="R50" s="36">
        <f t="shared" si="10"/>
        <v>5.0882111327370735E-3</v>
      </c>
      <c r="S50" s="36">
        <f t="shared" si="3"/>
        <v>0.30529266796422438</v>
      </c>
      <c r="T50" s="36">
        <f t="shared" si="4"/>
        <v>9.1587800389267322</v>
      </c>
      <c r="U50" s="36">
        <f t="shared" si="11"/>
        <v>7.5688648861037127</v>
      </c>
      <c r="V50" s="36">
        <f t="shared" si="12"/>
        <v>0.14980013148391777</v>
      </c>
      <c r="W50" s="36">
        <f t="shared" si="13"/>
        <v>29.440628066732092</v>
      </c>
    </row>
    <row r="51" spans="1:23" x14ac:dyDescent="0.2">
      <c r="A51" s="30"/>
      <c r="K51">
        <v>13</v>
      </c>
      <c r="L51" s="36">
        <f t="shared" si="0"/>
        <v>19</v>
      </c>
      <c r="M51" t="s">
        <v>583</v>
      </c>
      <c r="N51" s="36">
        <f t="shared" si="1"/>
        <v>2038</v>
      </c>
      <c r="Q51" s="36">
        <f t="shared" si="9"/>
        <v>37.291462217860648</v>
      </c>
      <c r="R51" s="36">
        <f t="shared" si="10"/>
        <v>4.8338005761002197E-3</v>
      </c>
      <c r="S51" s="36">
        <f t="shared" si="3"/>
        <v>0.29002803456601317</v>
      </c>
      <c r="T51" s="36">
        <f t="shared" si="4"/>
        <v>8.7008410369803943</v>
      </c>
      <c r="U51" s="36">
        <f t="shared" si="11"/>
        <v>7.8588929206697262</v>
      </c>
      <c r="V51" s="36">
        <f t="shared" si="12"/>
        <v>0.14231012490972189</v>
      </c>
      <c r="W51" s="36">
        <f t="shared" si="13"/>
        <v>29.440628066732092</v>
      </c>
    </row>
    <row r="52" spans="1:23" x14ac:dyDescent="0.2">
      <c r="A52" s="30"/>
      <c r="K52">
        <v>14</v>
      </c>
      <c r="L52" s="36">
        <f t="shared" si="0"/>
        <v>20</v>
      </c>
      <c r="M52" t="s">
        <v>633</v>
      </c>
      <c r="N52" s="36">
        <f t="shared" si="1"/>
        <v>2039</v>
      </c>
      <c r="Q52" s="36">
        <f t="shared" si="9"/>
        <v>39.234919077979399</v>
      </c>
      <c r="R52" s="36">
        <f t="shared" si="10"/>
        <v>5.0832214677929456E-3</v>
      </c>
      <c r="S52" s="36">
        <f t="shared" si="3"/>
        <v>0.30499328806757675</v>
      </c>
      <c r="T52" s="36">
        <f t="shared" si="4"/>
        <v>9.149798642027303</v>
      </c>
      <c r="U52" s="36">
        <f t="shared" si="11"/>
        <v>8.1638862087373028</v>
      </c>
      <c r="V52" s="36">
        <f t="shared" si="12"/>
        <v>0.1495798372082279</v>
      </c>
      <c r="W52" s="36">
        <f t="shared" si="13"/>
        <v>29.426189308484549</v>
      </c>
    </row>
    <row r="53" spans="1:23" x14ac:dyDescent="0.2">
      <c r="A53" s="30"/>
      <c r="K53">
        <v>14</v>
      </c>
      <c r="L53" s="36">
        <f t="shared" si="0"/>
        <v>20</v>
      </c>
      <c r="M53" t="s">
        <v>583</v>
      </c>
      <c r="N53" s="36">
        <f t="shared" si="1"/>
        <v>2038</v>
      </c>
      <c r="Q53" s="36">
        <f t="shared" si="9"/>
        <v>39.254170755642789</v>
      </c>
      <c r="R53" s="36">
        <f t="shared" si="10"/>
        <v>5.0882111327370735E-3</v>
      </c>
      <c r="S53" s="36">
        <f t="shared" si="3"/>
        <v>0.30529266796422438</v>
      </c>
      <c r="T53" s="36">
        <f t="shared" si="4"/>
        <v>9.1587800389267322</v>
      </c>
      <c r="U53" s="36">
        <f t="shared" si="11"/>
        <v>8.4691788767015268</v>
      </c>
      <c r="V53" s="36">
        <f t="shared" si="12"/>
        <v>0.14980013148391777</v>
      </c>
      <c r="W53" s="36">
        <f t="shared" si="13"/>
        <v>29.440628066732092</v>
      </c>
    </row>
    <row r="54" spans="1:23" x14ac:dyDescent="0.2">
      <c r="A54" s="30"/>
      <c r="K54">
        <v>14</v>
      </c>
      <c r="L54" s="36">
        <f t="shared" si="0"/>
        <v>20</v>
      </c>
      <c r="M54" t="s">
        <v>583</v>
      </c>
      <c r="N54" s="36">
        <f t="shared" si="1"/>
        <v>2038</v>
      </c>
      <c r="Q54" s="36">
        <f t="shared" si="9"/>
        <v>39.254170755642789</v>
      </c>
      <c r="R54" s="36">
        <f t="shared" si="10"/>
        <v>5.0882111327370735E-3</v>
      </c>
      <c r="S54" s="36">
        <f t="shared" si="3"/>
        <v>0.30529266796422438</v>
      </c>
      <c r="T54" s="36">
        <f t="shared" si="4"/>
        <v>9.1587800389267322</v>
      </c>
      <c r="U54" s="36">
        <f t="shared" si="11"/>
        <v>8.7744715446657509</v>
      </c>
      <c r="V54" s="36">
        <f t="shared" si="12"/>
        <v>0.14980013148391777</v>
      </c>
      <c r="W54" s="36">
        <f t="shared" si="13"/>
        <v>29.440628066732092</v>
      </c>
    </row>
    <row r="55" spans="1:23" x14ac:dyDescent="0.2">
      <c r="A55" s="30"/>
      <c r="K55">
        <v>14</v>
      </c>
      <c r="L55" s="36">
        <f t="shared" si="0"/>
        <v>20</v>
      </c>
      <c r="M55" t="s">
        <v>583</v>
      </c>
      <c r="N55" s="36">
        <f t="shared" si="1"/>
        <v>2038</v>
      </c>
      <c r="Q55" s="36">
        <f t="shared" si="9"/>
        <v>39.254170755642789</v>
      </c>
      <c r="R55" s="36">
        <f t="shared" si="10"/>
        <v>5.0882111327370735E-3</v>
      </c>
      <c r="S55" s="36">
        <f t="shared" si="3"/>
        <v>0.30529266796422438</v>
      </c>
      <c r="T55" s="36">
        <f t="shared" si="4"/>
        <v>9.1587800389267322</v>
      </c>
      <c r="U55" s="36">
        <f t="shared" si="11"/>
        <v>9.0797642126299749</v>
      </c>
      <c r="V55" s="36">
        <f t="shared" si="12"/>
        <v>0.14980013148391777</v>
      </c>
      <c r="W55" s="36">
        <f t="shared" si="13"/>
        <v>29.440628066732092</v>
      </c>
    </row>
    <row r="56" spans="1:23" x14ac:dyDescent="0.2">
      <c r="A56" s="30"/>
      <c r="K56">
        <v>13</v>
      </c>
      <c r="L56" s="36">
        <f t="shared" si="0"/>
        <v>19</v>
      </c>
      <c r="M56" t="s">
        <v>583</v>
      </c>
      <c r="N56" s="36">
        <f t="shared" si="1"/>
        <v>2038</v>
      </c>
      <c r="Q56" s="36">
        <f t="shared" si="9"/>
        <v>37.291462217860648</v>
      </c>
      <c r="R56" s="36">
        <f t="shared" si="10"/>
        <v>4.8338005761002197E-3</v>
      </c>
      <c r="S56" s="36">
        <f t="shared" si="3"/>
        <v>0.29002803456601317</v>
      </c>
      <c r="T56" s="36">
        <f t="shared" si="4"/>
        <v>8.7008410369803943</v>
      </c>
      <c r="U56" s="36">
        <f t="shared" si="11"/>
        <v>9.3697922471959885</v>
      </c>
      <c r="V56" s="36">
        <f t="shared" si="12"/>
        <v>0.14231012490972189</v>
      </c>
      <c r="W56" s="36">
        <f t="shared" si="13"/>
        <v>29.440628066732092</v>
      </c>
    </row>
    <row r="57" spans="1:23" x14ac:dyDescent="0.2">
      <c r="A57" s="30"/>
      <c r="K57">
        <v>14</v>
      </c>
      <c r="L57" s="36">
        <f t="shared" si="0"/>
        <v>20</v>
      </c>
      <c r="M57" t="s">
        <v>583</v>
      </c>
      <c r="N57" s="36">
        <f t="shared" si="1"/>
        <v>2038</v>
      </c>
      <c r="Q57" s="36">
        <f t="shared" si="9"/>
        <v>39.254170755642789</v>
      </c>
      <c r="R57" s="36">
        <f t="shared" si="10"/>
        <v>5.0882111327370735E-3</v>
      </c>
      <c r="S57" s="36">
        <f t="shared" si="3"/>
        <v>0.30529266796422438</v>
      </c>
      <c r="T57" s="36">
        <f t="shared" si="4"/>
        <v>9.1587800389267322</v>
      </c>
      <c r="U57" s="36">
        <f t="shared" si="11"/>
        <v>9.6750849151602125</v>
      </c>
      <c r="V57" s="36">
        <f t="shared" si="12"/>
        <v>0.14980013148391777</v>
      </c>
      <c r="W57" s="36">
        <f t="shared" si="13"/>
        <v>29.440628066732092</v>
      </c>
    </row>
    <row r="58" spans="1:23" x14ac:dyDescent="0.2">
      <c r="A58" s="30"/>
      <c r="K58">
        <v>14</v>
      </c>
      <c r="L58" s="36">
        <f t="shared" si="0"/>
        <v>20</v>
      </c>
      <c r="M58" t="s">
        <v>583</v>
      </c>
      <c r="N58" s="36">
        <f t="shared" si="1"/>
        <v>2038</v>
      </c>
      <c r="Q58" s="36">
        <f t="shared" si="9"/>
        <v>39.254170755642789</v>
      </c>
      <c r="R58" s="36">
        <f t="shared" si="10"/>
        <v>5.0882111327370735E-3</v>
      </c>
      <c r="S58" s="36">
        <f t="shared" si="3"/>
        <v>0.30529266796422438</v>
      </c>
      <c r="T58" s="36">
        <f t="shared" si="4"/>
        <v>9.1587800389267322</v>
      </c>
      <c r="U58" s="36">
        <f t="shared" si="11"/>
        <v>9.9803775831244366</v>
      </c>
      <c r="V58" s="36">
        <f t="shared" si="12"/>
        <v>0.14980013148391777</v>
      </c>
      <c r="W58" s="36">
        <f t="shared" si="13"/>
        <v>29.440628066732092</v>
      </c>
    </row>
    <row r="59" spans="1:23" x14ac:dyDescent="0.2">
      <c r="A59" s="30"/>
      <c r="K59">
        <v>14</v>
      </c>
      <c r="L59" s="36">
        <f t="shared" si="0"/>
        <v>20</v>
      </c>
      <c r="M59" t="s">
        <v>633</v>
      </c>
      <c r="N59" s="36">
        <f t="shared" si="1"/>
        <v>2039</v>
      </c>
      <c r="Q59" s="36">
        <f t="shared" si="9"/>
        <v>39.234919077979399</v>
      </c>
      <c r="R59" s="36">
        <f t="shared" si="10"/>
        <v>5.0832214677929456E-3</v>
      </c>
      <c r="S59" s="36">
        <f t="shared" si="3"/>
        <v>0.30499328806757675</v>
      </c>
      <c r="T59" s="36">
        <f t="shared" si="4"/>
        <v>9.149798642027303</v>
      </c>
      <c r="U59" s="36">
        <f t="shared" si="11"/>
        <v>10.285370871192013</v>
      </c>
      <c r="V59" s="36">
        <f t="shared" si="12"/>
        <v>0.1495798372082279</v>
      </c>
      <c r="W59" s="36">
        <f t="shared" si="13"/>
        <v>29.426189308484549</v>
      </c>
    </row>
    <row r="60" spans="1:23" x14ac:dyDescent="0.2">
      <c r="A60" s="30"/>
      <c r="K60">
        <v>14</v>
      </c>
      <c r="L60" s="36">
        <f t="shared" si="0"/>
        <v>20</v>
      </c>
      <c r="M60" t="s">
        <v>633</v>
      </c>
      <c r="N60" s="36">
        <f t="shared" si="1"/>
        <v>2039</v>
      </c>
      <c r="Q60" s="36">
        <f t="shared" si="9"/>
        <v>39.234919077979399</v>
      </c>
      <c r="R60" s="36">
        <f t="shared" si="10"/>
        <v>5.0832214677929456E-3</v>
      </c>
      <c r="S60" s="36">
        <f t="shared" si="3"/>
        <v>0.30499328806757675</v>
      </c>
      <c r="T60" s="36">
        <f t="shared" si="4"/>
        <v>9.149798642027303</v>
      </c>
      <c r="U60" s="36">
        <f t="shared" si="11"/>
        <v>10.59036415925959</v>
      </c>
      <c r="V60" s="36">
        <f t="shared" si="12"/>
        <v>0.1495798372082279</v>
      </c>
      <c r="W60" s="36">
        <f t="shared" si="13"/>
        <v>29.426189308484549</v>
      </c>
    </row>
    <row r="61" spans="1:23" x14ac:dyDescent="0.2">
      <c r="A61" s="30"/>
      <c r="K61">
        <v>14</v>
      </c>
      <c r="L61" s="36">
        <f t="shared" si="0"/>
        <v>20</v>
      </c>
      <c r="M61" t="s">
        <v>628</v>
      </c>
      <c r="N61" s="36">
        <f t="shared" si="1"/>
        <v>2041</v>
      </c>
      <c r="Q61" s="36">
        <f t="shared" si="9"/>
        <v>39.196472317491427</v>
      </c>
      <c r="R61" s="36">
        <f t="shared" si="10"/>
        <v>5.0732641313629154E-3</v>
      </c>
      <c r="S61" s="36">
        <f t="shared" si="3"/>
        <v>0.30439584788177493</v>
      </c>
      <c r="T61" s="36">
        <f t="shared" si="4"/>
        <v>9.1318754364532477</v>
      </c>
      <c r="U61" s="36">
        <f t="shared" si="11"/>
        <v>10.894760007141365</v>
      </c>
      <c r="V61" s="36">
        <f t="shared" si="12"/>
        <v>0.14914054281321654</v>
      </c>
      <c r="W61" s="36">
        <f t="shared" si="13"/>
        <v>29.39735423811857</v>
      </c>
    </row>
    <row r="62" spans="1:23" x14ac:dyDescent="0.2">
      <c r="A62" s="30"/>
      <c r="K62">
        <v>14</v>
      </c>
      <c r="L62" s="36">
        <f t="shared" si="0"/>
        <v>20</v>
      </c>
      <c r="M62" t="s">
        <v>633</v>
      </c>
      <c r="N62" s="36">
        <f t="shared" si="1"/>
        <v>2039</v>
      </c>
      <c r="Q62" s="36">
        <f t="shared" si="9"/>
        <v>39.234919077979399</v>
      </c>
      <c r="R62" s="36">
        <f t="shared" si="10"/>
        <v>5.0832214677929456E-3</v>
      </c>
      <c r="S62" s="36">
        <f t="shared" si="3"/>
        <v>0.30499328806757675</v>
      </c>
      <c r="T62" s="36">
        <f t="shared" si="4"/>
        <v>9.149798642027303</v>
      </c>
      <c r="U62" s="36">
        <f t="shared" si="11"/>
        <v>11.199753295208941</v>
      </c>
      <c r="V62" s="36">
        <f t="shared" si="12"/>
        <v>0.1495798372082279</v>
      </c>
      <c r="W62" s="36">
        <f t="shared" si="13"/>
        <v>29.426189308484549</v>
      </c>
    </row>
    <row r="63" spans="1:23" x14ac:dyDescent="0.2">
      <c r="A63" s="30"/>
    </row>
    <row r="64" spans="1:23" x14ac:dyDescent="0.2">
      <c r="A64" s="30"/>
    </row>
    <row r="65" spans="1:27" x14ac:dyDescent="0.2">
      <c r="A65" s="30"/>
    </row>
    <row r="66" spans="1:27" x14ac:dyDescent="0.2">
      <c r="A66" s="30"/>
    </row>
    <row r="67" spans="1:27" x14ac:dyDescent="0.2">
      <c r="A67" s="30"/>
    </row>
    <row r="68" spans="1:27" x14ac:dyDescent="0.2">
      <c r="A68" s="30"/>
    </row>
    <row r="69" spans="1:27" x14ac:dyDescent="0.2">
      <c r="A69" s="30"/>
    </row>
    <row r="70" spans="1:27" x14ac:dyDescent="0.2">
      <c r="A70" s="30"/>
    </row>
    <row r="71" spans="1:27" x14ac:dyDescent="0.2">
      <c r="A71" s="30"/>
    </row>
    <row r="72" spans="1:27" x14ac:dyDescent="0.2">
      <c r="A72" s="30"/>
    </row>
    <row r="73" spans="1:27" x14ac:dyDescent="0.2">
      <c r="A73" s="30"/>
    </row>
    <row r="74" spans="1:27" x14ac:dyDescent="0.2">
      <c r="A74" s="30"/>
    </row>
    <row r="75" spans="1:27" x14ac:dyDescent="0.2">
      <c r="A75" s="30"/>
    </row>
    <row r="76" spans="1:27" x14ac:dyDescent="0.2">
      <c r="A76" s="30"/>
    </row>
    <row r="77" spans="1:27" x14ac:dyDescent="0.2">
      <c r="A77" s="30"/>
    </row>
    <row r="78" spans="1:27" x14ac:dyDescent="0.2">
      <c r="A78" s="30"/>
    </row>
    <row r="80" spans="1:27" x14ac:dyDescent="0.2">
      <c r="A80" s="33">
        <v>13</v>
      </c>
      <c r="B80" t="s">
        <v>502</v>
      </c>
      <c r="C80">
        <v>1</v>
      </c>
      <c r="D80" t="s">
        <v>503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504</v>
      </c>
      <c r="N80">
        <v>0</v>
      </c>
      <c r="O80">
        <v>0</v>
      </c>
      <c r="P80">
        <v>0</v>
      </c>
      <c r="Q80">
        <v>0</v>
      </c>
      <c r="R80" t="s">
        <v>505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506</v>
      </c>
    </row>
    <row r="81" spans="1:32" hidden="1" x14ac:dyDescent="0.2">
      <c r="A81" t="s">
        <v>507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472</v>
      </c>
    </row>
    <row r="82" spans="1:32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508</v>
      </c>
      <c r="AC82" t="s">
        <v>509</v>
      </c>
      <c r="AD82">
        <v>3</v>
      </c>
      <c r="AE82" s="34">
        <v>0.55931712962962965</v>
      </c>
      <c r="AF82">
        <v>2023</v>
      </c>
    </row>
    <row r="83" spans="1:32" hidden="1" x14ac:dyDescent="0.2">
      <c r="A83" t="s">
        <v>507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 t="s">
        <v>472</v>
      </c>
    </row>
    <row r="84" spans="1:32" hidden="1" x14ac:dyDescent="0.2">
      <c r="A84">
        <v>13</v>
      </c>
      <c r="B84" t="s">
        <v>502</v>
      </c>
      <c r="C84">
        <v>0</v>
      </c>
      <c r="D84" t="s">
        <v>503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510</v>
      </c>
      <c r="N84">
        <v>0</v>
      </c>
      <c r="O84">
        <v>0</v>
      </c>
      <c r="P84">
        <v>0</v>
      </c>
      <c r="Q84">
        <v>0</v>
      </c>
      <c r="R84" t="s">
        <v>505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 t="s">
        <v>506</v>
      </c>
    </row>
    <row r="85" spans="1:32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508</v>
      </c>
      <c r="AC85" t="s">
        <v>509</v>
      </c>
      <c r="AD85">
        <v>3</v>
      </c>
      <c r="AE85" s="31">
        <v>0.55932870370370369</v>
      </c>
      <c r="AF85">
        <v>2023</v>
      </c>
    </row>
    <row r="86" spans="1:32" hidden="1" x14ac:dyDescent="0.2">
      <c r="A86" t="s">
        <v>507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 t="s">
        <v>472</v>
      </c>
    </row>
    <row r="87" spans="1:32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508</v>
      </c>
      <c r="AC87" t="s">
        <v>509</v>
      </c>
      <c r="AD87">
        <v>3</v>
      </c>
      <c r="AE87" s="31">
        <v>0.55934027777777773</v>
      </c>
      <c r="AF87">
        <v>2023</v>
      </c>
    </row>
    <row r="88" spans="1:32" x14ac:dyDescent="0.2">
      <c r="A88" t="s">
        <v>511</v>
      </c>
      <c r="B88" t="s">
        <v>512</v>
      </c>
      <c r="C88">
        <v>1</v>
      </c>
      <c r="D88" t="s">
        <v>513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P88">
        <v>0</v>
      </c>
      <c r="Q88">
        <v>0</v>
      </c>
      <c r="R88" t="s">
        <v>514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506</v>
      </c>
    </row>
    <row r="89" spans="1:32" hidden="1" x14ac:dyDescent="0.2">
      <c r="A89" t="s">
        <v>507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472</v>
      </c>
    </row>
    <row r="90" spans="1:32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508</v>
      </c>
      <c r="AC90" t="s">
        <v>509</v>
      </c>
      <c r="AD90">
        <v>3</v>
      </c>
      <c r="AE90" s="31">
        <v>0.55935185185185188</v>
      </c>
      <c r="AF90">
        <v>2023</v>
      </c>
    </row>
    <row r="91" spans="1:32" hidden="1" x14ac:dyDescent="0.2">
      <c r="A91" t="s">
        <v>507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472</v>
      </c>
    </row>
    <row r="92" spans="1:32" hidden="1" x14ac:dyDescent="0.2">
      <c r="A92" t="s">
        <v>511</v>
      </c>
      <c r="B92" t="s">
        <v>512</v>
      </c>
      <c r="C92">
        <v>0</v>
      </c>
      <c r="D92" t="s">
        <v>515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P92">
        <v>0</v>
      </c>
      <c r="Q92">
        <v>0</v>
      </c>
      <c r="R92" t="s">
        <v>514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506</v>
      </c>
    </row>
    <row r="93" spans="1:32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508</v>
      </c>
      <c r="AC93" t="s">
        <v>509</v>
      </c>
      <c r="AD93">
        <v>3</v>
      </c>
      <c r="AE93" s="31">
        <v>0.55936342592592592</v>
      </c>
      <c r="AF93">
        <v>2023</v>
      </c>
    </row>
    <row r="94" spans="1:32" hidden="1" x14ac:dyDescent="0.2">
      <c r="A94" t="s">
        <v>507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472</v>
      </c>
    </row>
    <row r="95" spans="1:32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508</v>
      </c>
      <c r="AC95" t="s">
        <v>509</v>
      </c>
      <c r="AD95">
        <v>3</v>
      </c>
      <c r="AE95" s="31">
        <v>0.55937500000000007</v>
      </c>
      <c r="AF95">
        <v>2023</v>
      </c>
    </row>
    <row r="96" spans="1:32" x14ac:dyDescent="0.2">
      <c r="A96" t="s">
        <v>516</v>
      </c>
      <c r="B96" t="s">
        <v>512</v>
      </c>
      <c r="C96">
        <v>1</v>
      </c>
      <c r="D96" t="s">
        <v>517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P96">
        <v>0</v>
      </c>
      <c r="Q96">
        <v>0</v>
      </c>
      <c r="R96" t="s">
        <v>514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506</v>
      </c>
    </row>
    <row r="97" spans="1:32" hidden="1" x14ac:dyDescent="0.2">
      <c r="A97" t="s">
        <v>507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 t="s">
        <v>472</v>
      </c>
    </row>
    <row r="98" spans="1:32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508</v>
      </c>
      <c r="AC98" t="s">
        <v>509</v>
      </c>
      <c r="AD98">
        <v>3</v>
      </c>
      <c r="AE98" s="31">
        <v>0.55938657407407411</v>
      </c>
      <c r="AF98">
        <v>2023</v>
      </c>
    </row>
    <row r="99" spans="1:32" hidden="1" x14ac:dyDescent="0.2">
      <c r="A99" t="s">
        <v>507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 t="s">
        <v>472</v>
      </c>
    </row>
    <row r="100" spans="1:32" hidden="1" x14ac:dyDescent="0.2">
      <c r="A100" t="s">
        <v>516</v>
      </c>
      <c r="B100" t="s">
        <v>512</v>
      </c>
      <c r="C100">
        <v>0</v>
      </c>
      <c r="D100" t="s">
        <v>518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P100">
        <v>0</v>
      </c>
      <c r="Q100">
        <v>0</v>
      </c>
      <c r="R100" t="s">
        <v>514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 t="s">
        <v>506</v>
      </c>
    </row>
    <row r="101" spans="1:32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508</v>
      </c>
      <c r="AC101" t="s">
        <v>509</v>
      </c>
      <c r="AD101">
        <v>3</v>
      </c>
      <c r="AE101" s="31">
        <v>0.55939814814814814</v>
      </c>
      <c r="AF101">
        <v>2023</v>
      </c>
    </row>
    <row r="102" spans="1:32" hidden="1" x14ac:dyDescent="0.2">
      <c r="A102" t="s">
        <v>507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 t="s">
        <v>472</v>
      </c>
    </row>
    <row r="103" spans="1:32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508</v>
      </c>
      <c r="AC103" t="s">
        <v>509</v>
      </c>
      <c r="AD103">
        <v>3</v>
      </c>
      <c r="AE103" s="31">
        <v>0.55940972222222218</v>
      </c>
      <c r="AF103">
        <v>2023</v>
      </c>
    </row>
    <row r="104" spans="1:32" x14ac:dyDescent="0.2">
      <c r="A104">
        <v>77</v>
      </c>
      <c r="B104" t="s">
        <v>502</v>
      </c>
      <c r="C104">
        <v>1</v>
      </c>
      <c r="D104" t="s">
        <v>517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P104">
        <v>0</v>
      </c>
      <c r="Q104">
        <v>0</v>
      </c>
      <c r="R104" t="s">
        <v>505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506</v>
      </c>
    </row>
    <row r="105" spans="1:32" hidden="1" x14ac:dyDescent="0.2">
      <c r="A105" t="s">
        <v>507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472</v>
      </c>
    </row>
    <row r="106" spans="1:32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508</v>
      </c>
      <c r="AC106" t="s">
        <v>509</v>
      </c>
      <c r="AD106">
        <v>3</v>
      </c>
      <c r="AE106" s="31">
        <v>0.55942129629629633</v>
      </c>
      <c r="AF106">
        <v>2023</v>
      </c>
    </row>
    <row r="107" spans="1:32" hidden="1" x14ac:dyDescent="0.2">
      <c r="A107" t="s">
        <v>507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 t="s">
        <v>472</v>
      </c>
    </row>
    <row r="108" spans="1:32" hidden="1" x14ac:dyDescent="0.2">
      <c r="A108">
        <v>77</v>
      </c>
      <c r="B108" t="s">
        <v>502</v>
      </c>
      <c r="C108">
        <v>0</v>
      </c>
      <c r="D108" t="s">
        <v>519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P108">
        <v>0</v>
      </c>
      <c r="Q108">
        <v>0</v>
      </c>
      <c r="R108" t="s">
        <v>505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506</v>
      </c>
    </row>
    <row r="109" spans="1:32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508</v>
      </c>
      <c r="AC109" t="s">
        <v>509</v>
      </c>
      <c r="AD109">
        <v>3</v>
      </c>
      <c r="AE109" s="31">
        <v>0.55943287037037037</v>
      </c>
      <c r="AF109">
        <v>2023</v>
      </c>
    </row>
    <row r="110" spans="1:32" hidden="1" x14ac:dyDescent="0.2">
      <c r="A110" t="s">
        <v>507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472</v>
      </c>
    </row>
    <row r="111" spans="1:32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508</v>
      </c>
      <c r="AC111" t="s">
        <v>509</v>
      </c>
      <c r="AD111">
        <v>3</v>
      </c>
      <c r="AE111" s="31">
        <v>0.55944444444444441</v>
      </c>
      <c r="AF111">
        <v>2023</v>
      </c>
    </row>
    <row r="112" spans="1:32" x14ac:dyDescent="0.2">
      <c r="A112">
        <v>77</v>
      </c>
      <c r="B112" t="s">
        <v>520</v>
      </c>
      <c r="C112">
        <v>1</v>
      </c>
      <c r="D112" t="s">
        <v>521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P112">
        <v>0</v>
      </c>
      <c r="Q112">
        <v>0</v>
      </c>
      <c r="R112" t="s">
        <v>522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506</v>
      </c>
    </row>
    <row r="113" spans="1:32" hidden="1" x14ac:dyDescent="0.2">
      <c r="A113" t="s">
        <v>507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472</v>
      </c>
    </row>
    <row r="114" spans="1:32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508</v>
      </c>
      <c r="AC114" t="s">
        <v>509</v>
      </c>
      <c r="AD114">
        <v>3</v>
      </c>
      <c r="AE114" s="31">
        <v>0.55945601851851856</v>
      </c>
      <c r="AF114">
        <v>2023</v>
      </c>
    </row>
    <row r="115" spans="1:32" hidden="1" x14ac:dyDescent="0.2">
      <c r="A115" t="s">
        <v>507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 t="s">
        <v>472</v>
      </c>
    </row>
    <row r="116" spans="1:32" hidden="1" x14ac:dyDescent="0.2">
      <c r="A116">
        <v>77</v>
      </c>
      <c r="B116" t="s">
        <v>520</v>
      </c>
      <c r="C116">
        <v>0</v>
      </c>
      <c r="D116" t="s">
        <v>519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P116">
        <v>0</v>
      </c>
      <c r="Q116">
        <v>0</v>
      </c>
      <c r="R116" t="s">
        <v>522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 t="s">
        <v>506</v>
      </c>
    </row>
    <row r="117" spans="1:32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508</v>
      </c>
      <c r="AC117" t="s">
        <v>509</v>
      </c>
      <c r="AD117">
        <v>3</v>
      </c>
      <c r="AE117" s="31">
        <v>0.5594675925925926</v>
      </c>
      <c r="AF117">
        <v>2023</v>
      </c>
    </row>
    <row r="118" spans="1:32" hidden="1" x14ac:dyDescent="0.2">
      <c r="A118" t="s">
        <v>507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472</v>
      </c>
    </row>
    <row r="119" spans="1:32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508</v>
      </c>
      <c r="AC119" t="s">
        <v>509</v>
      </c>
      <c r="AD119">
        <v>3</v>
      </c>
      <c r="AE119" s="31">
        <v>0.55947916666666664</v>
      </c>
      <c r="AF119">
        <v>2023</v>
      </c>
    </row>
    <row r="120" spans="1:32" x14ac:dyDescent="0.2">
      <c r="A120">
        <v>77</v>
      </c>
      <c r="B120" t="s">
        <v>520</v>
      </c>
      <c r="C120">
        <v>1</v>
      </c>
      <c r="D120" t="s">
        <v>518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P120">
        <v>0</v>
      </c>
      <c r="Q120">
        <v>0</v>
      </c>
      <c r="R120" t="s">
        <v>523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506</v>
      </c>
    </row>
    <row r="121" spans="1:32" hidden="1" x14ac:dyDescent="0.2">
      <c r="A121" t="s">
        <v>507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472</v>
      </c>
    </row>
    <row r="122" spans="1:32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508</v>
      </c>
      <c r="AC122" t="s">
        <v>509</v>
      </c>
      <c r="AD122">
        <v>3</v>
      </c>
      <c r="AE122" s="31">
        <v>0.55949074074074068</v>
      </c>
      <c r="AF122">
        <v>2023</v>
      </c>
    </row>
    <row r="123" spans="1:32" hidden="1" x14ac:dyDescent="0.2">
      <c r="A123" t="s">
        <v>507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 t="s">
        <v>472</v>
      </c>
    </row>
    <row r="124" spans="1:32" hidden="1" x14ac:dyDescent="0.2">
      <c r="A124">
        <v>77</v>
      </c>
      <c r="B124" t="s">
        <v>520</v>
      </c>
      <c r="C124">
        <v>0</v>
      </c>
      <c r="D124" t="s">
        <v>518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P124">
        <v>0</v>
      </c>
      <c r="Q124">
        <v>0</v>
      </c>
      <c r="R124" t="s">
        <v>523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506</v>
      </c>
    </row>
    <row r="125" spans="1:32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">
        <v>508</v>
      </c>
      <c r="AC125" t="s">
        <v>509</v>
      </c>
      <c r="AD125">
        <v>3</v>
      </c>
      <c r="AE125" s="31">
        <v>0.55950231481481483</v>
      </c>
      <c r="AF125">
        <v>2023</v>
      </c>
    </row>
    <row r="126" spans="1:32" hidden="1" x14ac:dyDescent="0.2">
      <c r="A126" t="s">
        <v>507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472</v>
      </c>
    </row>
    <row r="127" spans="1:32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">
        <v>508</v>
      </c>
      <c r="AC127" t="s">
        <v>509</v>
      </c>
      <c r="AD127">
        <v>3</v>
      </c>
      <c r="AE127" s="31">
        <v>0.55951388888888887</v>
      </c>
      <c r="AF127">
        <v>2023</v>
      </c>
    </row>
    <row r="128" spans="1:32" x14ac:dyDescent="0.2">
      <c r="A128">
        <v>76</v>
      </c>
      <c r="B128" t="s">
        <v>520</v>
      </c>
      <c r="C128">
        <v>1</v>
      </c>
      <c r="D128" t="s">
        <v>524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525</v>
      </c>
      <c r="N128">
        <v>0</v>
      </c>
      <c r="O128">
        <v>0</v>
      </c>
      <c r="P128">
        <v>0</v>
      </c>
      <c r="Q128">
        <v>0</v>
      </c>
      <c r="R128" t="s">
        <v>523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 t="s">
        <v>506</v>
      </c>
    </row>
    <row r="129" spans="1:32" hidden="1" x14ac:dyDescent="0.2">
      <c r="A129" t="s">
        <v>507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472</v>
      </c>
    </row>
    <row r="130" spans="1:32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508</v>
      </c>
      <c r="AC130" t="s">
        <v>509</v>
      </c>
      <c r="AD130">
        <v>3</v>
      </c>
      <c r="AE130" s="31">
        <v>0.55952546296296302</v>
      </c>
      <c r="AF130">
        <v>2023</v>
      </c>
    </row>
    <row r="131" spans="1:32" hidden="1" x14ac:dyDescent="0.2">
      <c r="A131" t="s">
        <v>507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472</v>
      </c>
    </row>
    <row r="132" spans="1:32" hidden="1" x14ac:dyDescent="0.2">
      <c r="A132">
        <v>76</v>
      </c>
      <c r="B132" t="s">
        <v>520</v>
      </c>
      <c r="C132">
        <v>0</v>
      </c>
      <c r="D132" t="s">
        <v>519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526</v>
      </c>
      <c r="N132">
        <v>0</v>
      </c>
      <c r="O132">
        <v>0</v>
      </c>
      <c r="P132">
        <v>0</v>
      </c>
      <c r="Q132">
        <v>0</v>
      </c>
      <c r="R132" t="s">
        <v>527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506</v>
      </c>
    </row>
    <row r="133" spans="1:32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">
        <v>508</v>
      </c>
      <c r="AC133" t="s">
        <v>509</v>
      </c>
      <c r="AD133">
        <v>3</v>
      </c>
      <c r="AE133" s="31">
        <v>0.55953703703703705</v>
      </c>
      <c r="AF133">
        <v>2023</v>
      </c>
    </row>
    <row r="134" spans="1:32" hidden="1" x14ac:dyDescent="0.2">
      <c r="A134" t="s">
        <v>507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472</v>
      </c>
    </row>
    <row r="135" spans="1:32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">
        <v>508</v>
      </c>
      <c r="AC135" t="s">
        <v>509</v>
      </c>
      <c r="AD135">
        <v>3</v>
      </c>
      <c r="AE135" s="31">
        <v>0.55954861111111109</v>
      </c>
      <c r="AF135">
        <v>2023</v>
      </c>
    </row>
    <row r="136" spans="1:32" x14ac:dyDescent="0.2">
      <c r="A136">
        <v>75</v>
      </c>
      <c r="B136" t="s">
        <v>520</v>
      </c>
      <c r="C136">
        <v>1</v>
      </c>
      <c r="D136" t="s">
        <v>528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529</v>
      </c>
      <c r="N136">
        <v>0</v>
      </c>
      <c r="O136">
        <v>0</v>
      </c>
      <c r="P136">
        <v>0</v>
      </c>
      <c r="Q136">
        <v>0</v>
      </c>
      <c r="R136" t="s">
        <v>530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506</v>
      </c>
    </row>
    <row r="137" spans="1:32" hidden="1" x14ac:dyDescent="0.2">
      <c r="A137" t="s">
        <v>507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472</v>
      </c>
    </row>
    <row r="138" spans="1:32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">
        <v>508</v>
      </c>
      <c r="AC138" t="s">
        <v>509</v>
      </c>
      <c r="AD138">
        <v>3</v>
      </c>
      <c r="AE138" s="31">
        <v>0.55956018518518513</v>
      </c>
      <c r="AF138">
        <v>2023</v>
      </c>
    </row>
    <row r="139" spans="1:32" hidden="1" x14ac:dyDescent="0.2">
      <c r="A139" t="s">
        <v>507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t="s">
        <v>472</v>
      </c>
    </row>
    <row r="140" spans="1:32" hidden="1" x14ac:dyDescent="0.2">
      <c r="A140">
        <v>75</v>
      </c>
      <c r="B140" t="s">
        <v>520</v>
      </c>
      <c r="C140">
        <v>0</v>
      </c>
      <c r="D140" t="s">
        <v>524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531</v>
      </c>
      <c r="N140">
        <v>0</v>
      </c>
      <c r="O140">
        <v>0</v>
      </c>
      <c r="P140">
        <v>0</v>
      </c>
      <c r="Q140">
        <v>0</v>
      </c>
      <c r="R140" t="s">
        <v>530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 t="s">
        <v>506</v>
      </c>
    </row>
    <row r="141" spans="1:32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">
        <v>508</v>
      </c>
      <c r="AC141" t="s">
        <v>509</v>
      </c>
      <c r="AD141">
        <v>3</v>
      </c>
      <c r="AE141" s="31">
        <v>0.55957175925925928</v>
      </c>
      <c r="AF141">
        <v>2023</v>
      </c>
    </row>
    <row r="142" spans="1:32" hidden="1" x14ac:dyDescent="0.2">
      <c r="A142" t="s">
        <v>507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 t="s">
        <v>472</v>
      </c>
    </row>
    <row r="143" spans="1:32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508</v>
      </c>
      <c r="AC143" t="s">
        <v>509</v>
      </c>
      <c r="AD143">
        <v>3</v>
      </c>
      <c r="AE143" s="31">
        <v>0.55958333333333332</v>
      </c>
      <c r="AF143">
        <v>2023</v>
      </c>
    </row>
    <row r="144" spans="1:32" x14ac:dyDescent="0.2">
      <c r="A144">
        <v>74</v>
      </c>
      <c r="B144" t="s">
        <v>520</v>
      </c>
      <c r="C144">
        <v>1</v>
      </c>
      <c r="D144" t="s">
        <v>532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533</v>
      </c>
      <c r="N144">
        <v>0</v>
      </c>
      <c r="O144">
        <v>0</v>
      </c>
      <c r="P144">
        <v>0</v>
      </c>
      <c r="Q144">
        <v>0</v>
      </c>
      <c r="R144" t="s">
        <v>530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506</v>
      </c>
    </row>
    <row r="145" spans="1:32" hidden="1" x14ac:dyDescent="0.2">
      <c r="A145" t="s">
        <v>507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 t="s">
        <v>472</v>
      </c>
    </row>
    <row r="146" spans="1:32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">
        <v>508</v>
      </c>
      <c r="AC146" t="s">
        <v>509</v>
      </c>
      <c r="AD146">
        <v>3</v>
      </c>
      <c r="AE146" s="31">
        <v>0.55959490740740747</v>
      </c>
      <c r="AF146">
        <v>2023</v>
      </c>
    </row>
    <row r="147" spans="1:32" hidden="1" x14ac:dyDescent="0.2">
      <c r="A147" t="s">
        <v>507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472</v>
      </c>
    </row>
    <row r="148" spans="1:32" hidden="1" x14ac:dyDescent="0.2">
      <c r="A148">
        <v>74</v>
      </c>
      <c r="B148" t="s">
        <v>520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534</v>
      </c>
      <c r="N148">
        <v>0</v>
      </c>
      <c r="O148">
        <v>0</v>
      </c>
      <c r="P148">
        <v>0</v>
      </c>
      <c r="Q148">
        <v>0</v>
      </c>
      <c r="R148" t="s">
        <v>535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506</v>
      </c>
    </row>
    <row r="149" spans="1:32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">
        <v>508</v>
      </c>
      <c r="AC149" t="s">
        <v>509</v>
      </c>
      <c r="AD149">
        <v>3</v>
      </c>
      <c r="AE149" s="31">
        <v>0.55960648148148151</v>
      </c>
      <c r="AF149">
        <v>2023</v>
      </c>
    </row>
    <row r="150" spans="1:32" hidden="1" x14ac:dyDescent="0.2">
      <c r="A150" t="s">
        <v>507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472</v>
      </c>
    </row>
    <row r="151" spans="1:32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508</v>
      </c>
      <c r="AC151" t="s">
        <v>509</v>
      </c>
      <c r="AD151">
        <v>3</v>
      </c>
      <c r="AE151" s="31">
        <v>0.55961805555555555</v>
      </c>
      <c r="AF151">
        <v>2023</v>
      </c>
    </row>
    <row r="152" spans="1:32" x14ac:dyDescent="0.2">
      <c r="A152">
        <v>71</v>
      </c>
      <c r="B152" t="s">
        <v>520</v>
      </c>
      <c r="C152">
        <v>1</v>
      </c>
      <c r="D152" t="s">
        <v>536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P152">
        <v>0</v>
      </c>
      <c r="Q152">
        <v>0</v>
      </c>
      <c r="R152" t="s">
        <v>537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506</v>
      </c>
    </row>
    <row r="153" spans="1:32" hidden="1" x14ac:dyDescent="0.2">
      <c r="A153" t="s">
        <v>507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472</v>
      </c>
    </row>
    <row r="154" spans="1:32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">
        <v>508</v>
      </c>
      <c r="AC154" t="s">
        <v>509</v>
      </c>
      <c r="AD154">
        <v>3</v>
      </c>
      <c r="AE154" s="31">
        <v>0.55962962962962959</v>
      </c>
      <c r="AF154">
        <v>2023</v>
      </c>
    </row>
    <row r="155" spans="1:32" hidden="1" x14ac:dyDescent="0.2">
      <c r="A155" t="s">
        <v>507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t="s">
        <v>472</v>
      </c>
    </row>
    <row r="156" spans="1:32" hidden="1" x14ac:dyDescent="0.2">
      <c r="A156">
        <v>71</v>
      </c>
      <c r="B156" t="s">
        <v>520</v>
      </c>
      <c r="C156">
        <v>0</v>
      </c>
      <c r="D156" t="s">
        <v>538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P156">
        <v>0</v>
      </c>
      <c r="Q156">
        <v>0</v>
      </c>
      <c r="R156" t="s">
        <v>539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 t="s">
        <v>506</v>
      </c>
    </row>
    <row r="157" spans="1:32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">
        <v>508</v>
      </c>
      <c r="AC157" t="s">
        <v>509</v>
      </c>
      <c r="AD157">
        <v>3</v>
      </c>
      <c r="AE157" s="31">
        <v>0.55964120370370374</v>
      </c>
      <c r="AF157">
        <v>2023</v>
      </c>
    </row>
    <row r="158" spans="1:32" hidden="1" x14ac:dyDescent="0.2">
      <c r="A158" t="s">
        <v>507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472</v>
      </c>
    </row>
    <row r="159" spans="1:32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">
        <v>508</v>
      </c>
      <c r="AC159" t="s">
        <v>509</v>
      </c>
      <c r="AD159">
        <v>3</v>
      </c>
      <c r="AE159" s="31">
        <v>0.55965277777777778</v>
      </c>
      <c r="AF159">
        <v>2023</v>
      </c>
    </row>
    <row r="160" spans="1:32" x14ac:dyDescent="0.2">
      <c r="A160">
        <v>69</v>
      </c>
      <c r="B160" t="s">
        <v>520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P160">
        <v>0</v>
      </c>
      <c r="Q160">
        <v>0</v>
      </c>
      <c r="R160" t="s">
        <v>540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506</v>
      </c>
    </row>
    <row r="161" spans="1:32" hidden="1" x14ac:dyDescent="0.2">
      <c r="A161" t="s">
        <v>507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 t="s">
        <v>472</v>
      </c>
    </row>
    <row r="162" spans="1:32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">
        <v>508</v>
      </c>
      <c r="AC162" t="s">
        <v>509</v>
      </c>
      <c r="AD162">
        <v>3</v>
      </c>
      <c r="AE162" s="31">
        <v>0.55966435185185182</v>
      </c>
      <c r="AF162">
        <v>2023</v>
      </c>
    </row>
    <row r="163" spans="1:32" hidden="1" x14ac:dyDescent="0.2">
      <c r="A163" t="s">
        <v>507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 t="s">
        <v>472</v>
      </c>
    </row>
    <row r="164" spans="1:32" hidden="1" x14ac:dyDescent="0.2">
      <c r="A164">
        <v>69</v>
      </c>
      <c r="B164" t="s">
        <v>520</v>
      </c>
      <c r="C164">
        <v>0</v>
      </c>
      <c r="D164" t="s">
        <v>541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P164">
        <v>0</v>
      </c>
      <c r="Q164">
        <v>0</v>
      </c>
      <c r="R164" t="s">
        <v>540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 t="s">
        <v>506</v>
      </c>
    </row>
    <row r="165" spans="1:32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">
        <v>508</v>
      </c>
      <c r="AC165" t="s">
        <v>509</v>
      </c>
      <c r="AD165">
        <v>3</v>
      </c>
      <c r="AE165" s="31">
        <v>0.55967592592592597</v>
      </c>
      <c r="AF165">
        <v>2023</v>
      </c>
    </row>
    <row r="166" spans="1:32" hidden="1" x14ac:dyDescent="0.2">
      <c r="A166" t="s">
        <v>507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472</v>
      </c>
    </row>
    <row r="167" spans="1:32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">
        <v>508</v>
      </c>
      <c r="AC167" t="s">
        <v>509</v>
      </c>
      <c r="AD167">
        <v>3</v>
      </c>
      <c r="AE167" s="31">
        <v>0.5596875</v>
      </c>
      <c r="AF167">
        <v>2023</v>
      </c>
    </row>
    <row r="168" spans="1:32" x14ac:dyDescent="0.2">
      <c r="A168" t="s">
        <v>542</v>
      </c>
      <c r="B168" t="s">
        <v>520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P168">
        <v>0</v>
      </c>
      <c r="Q168">
        <v>0</v>
      </c>
      <c r="R168" t="s">
        <v>543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506</v>
      </c>
    </row>
    <row r="169" spans="1:32" hidden="1" x14ac:dyDescent="0.2">
      <c r="A169" t="s">
        <v>507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472</v>
      </c>
    </row>
    <row r="170" spans="1:32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">
        <v>508</v>
      </c>
      <c r="AC170" t="s">
        <v>509</v>
      </c>
      <c r="AD170">
        <v>3</v>
      </c>
      <c r="AE170" s="31">
        <v>0.55969907407407404</v>
      </c>
      <c r="AF170">
        <v>2023</v>
      </c>
    </row>
    <row r="171" spans="1:32" hidden="1" x14ac:dyDescent="0.2">
      <c r="A171" t="s">
        <v>507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 t="s">
        <v>472</v>
      </c>
    </row>
    <row r="172" spans="1:32" hidden="1" x14ac:dyDescent="0.2">
      <c r="A172" t="s">
        <v>542</v>
      </c>
      <c r="B172" t="s">
        <v>520</v>
      </c>
      <c r="C172">
        <v>0</v>
      </c>
      <c r="D172" t="s">
        <v>544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P172">
        <v>0</v>
      </c>
      <c r="Q172">
        <v>0</v>
      </c>
      <c r="R172" t="s">
        <v>545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506</v>
      </c>
    </row>
    <row r="173" spans="1:32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">
        <v>508</v>
      </c>
      <c r="AC173" t="s">
        <v>509</v>
      </c>
      <c r="AD173">
        <v>3</v>
      </c>
      <c r="AE173" s="31">
        <v>0.55971064814814808</v>
      </c>
      <c r="AF173">
        <v>2023</v>
      </c>
    </row>
    <row r="174" spans="1:32" hidden="1" x14ac:dyDescent="0.2">
      <c r="A174" t="s">
        <v>507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472</v>
      </c>
    </row>
    <row r="175" spans="1:32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">
        <v>508</v>
      </c>
      <c r="AC175" t="s">
        <v>509</v>
      </c>
      <c r="AD175">
        <v>3</v>
      </c>
      <c r="AE175" s="31">
        <v>0.55972222222222223</v>
      </c>
      <c r="AF175">
        <v>2023</v>
      </c>
    </row>
    <row r="176" spans="1:32" x14ac:dyDescent="0.2">
      <c r="A176">
        <v>54</v>
      </c>
      <c r="B176" t="s">
        <v>512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P176">
        <v>0</v>
      </c>
      <c r="Q176">
        <v>0</v>
      </c>
      <c r="R176" t="s">
        <v>546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506</v>
      </c>
    </row>
    <row r="177" spans="1:32" hidden="1" x14ac:dyDescent="0.2">
      <c r="A177" t="s">
        <v>507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472</v>
      </c>
    </row>
    <row r="178" spans="1:32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">
        <v>508</v>
      </c>
      <c r="AC178" t="s">
        <v>509</v>
      </c>
      <c r="AD178">
        <v>3</v>
      </c>
      <c r="AE178" s="31">
        <v>0.55973379629629627</v>
      </c>
      <c r="AF178">
        <v>2023</v>
      </c>
    </row>
    <row r="179" spans="1:32" hidden="1" x14ac:dyDescent="0.2">
      <c r="A179" t="s">
        <v>507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 t="s">
        <v>472</v>
      </c>
    </row>
    <row r="180" spans="1:32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">
        <v>508</v>
      </c>
      <c r="AC180" t="s">
        <v>509</v>
      </c>
      <c r="AD180">
        <v>3</v>
      </c>
      <c r="AE180" s="31">
        <v>0.55974537037037042</v>
      </c>
      <c r="AF180">
        <v>2023</v>
      </c>
    </row>
    <row r="181" spans="1:32" hidden="1" x14ac:dyDescent="0.2">
      <c r="A181">
        <v>54</v>
      </c>
      <c r="B181" t="s">
        <v>512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P181">
        <v>0</v>
      </c>
      <c r="Q181">
        <v>0</v>
      </c>
      <c r="R181" t="s">
        <v>547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506</v>
      </c>
    </row>
    <row r="182" spans="1:32" hidden="1" x14ac:dyDescent="0.2">
      <c r="A182" t="s">
        <v>507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 t="s">
        <v>472</v>
      </c>
    </row>
    <row r="183" spans="1:32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">
        <v>508</v>
      </c>
      <c r="AC183" t="s">
        <v>509</v>
      </c>
      <c r="AD183">
        <v>3</v>
      </c>
      <c r="AE183" s="31">
        <v>0.55975694444444446</v>
      </c>
      <c r="AF183">
        <v>2023</v>
      </c>
    </row>
    <row r="184" spans="1:32" hidden="1" x14ac:dyDescent="0.2">
      <c r="A184" t="s">
        <v>507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472</v>
      </c>
    </row>
    <row r="185" spans="1:32" x14ac:dyDescent="0.2">
      <c r="A185">
        <v>49</v>
      </c>
      <c r="B185" t="s">
        <v>512</v>
      </c>
      <c r="C185">
        <v>1</v>
      </c>
      <c r="D185" t="s">
        <v>548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P185">
        <v>0</v>
      </c>
      <c r="Q185">
        <v>0</v>
      </c>
      <c r="R185" t="s">
        <v>549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 t="s">
        <v>506</v>
      </c>
    </row>
    <row r="186" spans="1:32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">
        <v>508</v>
      </c>
      <c r="AC186" t="s">
        <v>509</v>
      </c>
      <c r="AD186">
        <v>3</v>
      </c>
      <c r="AE186" s="31">
        <v>0.5597685185185185</v>
      </c>
      <c r="AF186">
        <v>2023</v>
      </c>
    </row>
    <row r="187" spans="1:32" hidden="1" x14ac:dyDescent="0.2">
      <c r="A187" t="s">
        <v>507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472</v>
      </c>
    </row>
    <row r="188" spans="1:32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">
        <v>508</v>
      </c>
      <c r="AC188" t="s">
        <v>509</v>
      </c>
      <c r="AD188">
        <v>3</v>
      </c>
      <c r="AE188" s="31">
        <v>0.55978009259259254</v>
      </c>
      <c r="AF188">
        <v>2023</v>
      </c>
    </row>
    <row r="189" spans="1:32" hidden="1" x14ac:dyDescent="0.2">
      <c r="A189">
        <v>49</v>
      </c>
      <c r="B189" t="s">
        <v>512</v>
      </c>
      <c r="C189">
        <v>0</v>
      </c>
      <c r="D189" t="s">
        <v>550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P189">
        <v>0</v>
      </c>
      <c r="Q189">
        <v>0</v>
      </c>
      <c r="R189" t="s">
        <v>551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 t="s">
        <v>506</v>
      </c>
    </row>
    <row r="190" spans="1:32" hidden="1" x14ac:dyDescent="0.2">
      <c r="A190" t="s">
        <v>507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472</v>
      </c>
    </row>
    <row r="191" spans="1:32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">
        <v>508</v>
      </c>
      <c r="AC191" t="s">
        <v>509</v>
      </c>
      <c r="AD191">
        <v>3</v>
      </c>
      <c r="AE191" s="31">
        <v>0.55979166666666669</v>
      </c>
      <c r="AF191">
        <v>2023</v>
      </c>
    </row>
    <row r="192" spans="1:32" hidden="1" x14ac:dyDescent="0.2">
      <c r="A192" t="s">
        <v>507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 t="s">
        <v>472</v>
      </c>
    </row>
    <row r="193" spans="1:32" x14ac:dyDescent="0.2">
      <c r="A193">
        <v>44</v>
      </c>
      <c r="B193" t="s">
        <v>520</v>
      </c>
      <c r="C193">
        <v>1</v>
      </c>
      <c r="D193" t="s">
        <v>552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553</v>
      </c>
      <c r="N193">
        <v>0</v>
      </c>
      <c r="O193">
        <v>0</v>
      </c>
      <c r="P193">
        <v>0</v>
      </c>
      <c r="Q193">
        <v>0</v>
      </c>
      <c r="R193" t="s">
        <v>554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506</v>
      </c>
    </row>
    <row r="194" spans="1:32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">
        <v>508</v>
      </c>
      <c r="AC194" t="s">
        <v>509</v>
      </c>
      <c r="AD194">
        <v>3</v>
      </c>
      <c r="AE194" s="31">
        <v>0.55980324074074073</v>
      </c>
      <c r="AF194">
        <v>2023</v>
      </c>
    </row>
    <row r="195" spans="1:32" hidden="1" x14ac:dyDescent="0.2">
      <c r="A195" t="s">
        <v>507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472</v>
      </c>
    </row>
    <row r="196" spans="1:32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">
        <v>508</v>
      </c>
      <c r="AC196" t="s">
        <v>509</v>
      </c>
      <c r="AD196">
        <v>3</v>
      </c>
      <c r="AE196" s="31">
        <v>0.55981481481481488</v>
      </c>
      <c r="AF196">
        <v>2023</v>
      </c>
    </row>
    <row r="197" spans="1:32" hidden="1" x14ac:dyDescent="0.2">
      <c r="A197">
        <v>44</v>
      </c>
      <c r="B197" t="s">
        <v>520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555</v>
      </c>
      <c r="N197">
        <v>0</v>
      </c>
      <c r="O197">
        <v>0</v>
      </c>
      <c r="P197">
        <v>0</v>
      </c>
      <c r="Q197">
        <v>0</v>
      </c>
      <c r="R197" t="s">
        <v>554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506</v>
      </c>
    </row>
    <row r="198" spans="1:32" hidden="1" x14ac:dyDescent="0.2">
      <c r="A198" t="s">
        <v>507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472</v>
      </c>
    </row>
    <row r="199" spans="1:32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">
        <v>508</v>
      </c>
      <c r="AC199" t="s">
        <v>509</v>
      </c>
      <c r="AD199">
        <v>3</v>
      </c>
      <c r="AE199" s="31">
        <v>0.55982638888888892</v>
      </c>
      <c r="AF199">
        <v>2023</v>
      </c>
    </row>
    <row r="200" spans="1:32" hidden="1" x14ac:dyDescent="0.2">
      <c r="A200" t="s">
        <v>507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472</v>
      </c>
    </row>
    <row r="201" spans="1:32" x14ac:dyDescent="0.2">
      <c r="A201">
        <v>43</v>
      </c>
      <c r="B201" t="s">
        <v>520</v>
      </c>
      <c r="C201">
        <v>1</v>
      </c>
      <c r="D201" t="s">
        <v>550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556</v>
      </c>
      <c r="N201">
        <v>0</v>
      </c>
      <c r="O201">
        <v>0</v>
      </c>
      <c r="P201">
        <v>0</v>
      </c>
      <c r="Q201">
        <v>0</v>
      </c>
      <c r="R201" t="s">
        <v>557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 t="s">
        <v>506</v>
      </c>
    </row>
    <row r="202" spans="1:32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">
        <v>508</v>
      </c>
      <c r="AC202" t="s">
        <v>509</v>
      </c>
      <c r="AD202">
        <v>3</v>
      </c>
      <c r="AE202" s="31">
        <v>0.55983796296296295</v>
      </c>
      <c r="AF202">
        <v>2023</v>
      </c>
    </row>
    <row r="203" spans="1:32" hidden="1" x14ac:dyDescent="0.2">
      <c r="A203" t="s">
        <v>507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472</v>
      </c>
    </row>
    <row r="204" spans="1:32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">
        <v>508</v>
      </c>
      <c r="AC204" t="s">
        <v>509</v>
      </c>
      <c r="AD204">
        <v>3</v>
      </c>
      <c r="AE204" s="31">
        <v>0.55984953703703699</v>
      </c>
      <c r="AF204">
        <v>2023</v>
      </c>
    </row>
    <row r="205" spans="1:32" hidden="1" x14ac:dyDescent="0.2">
      <c r="A205">
        <v>43</v>
      </c>
      <c r="B205" t="s">
        <v>520</v>
      </c>
      <c r="C205">
        <v>0</v>
      </c>
      <c r="D205" t="s">
        <v>558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559</v>
      </c>
      <c r="N205">
        <v>0</v>
      </c>
      <c r="O205">
        <v>0</v>
      </c>
      <c r="P205">
        <v>0</v>
      </c>
      <c r="Q205">
        <v>0</v>
      </c>
      <c r="R205" t="s">
        <v>560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 t="s">
        <v>506</v>
      </c>
    </row>
    <row r="206" spans="1:32" hidden="1" x14ac:dyDescent="0.2">
      <c r="A206" t="s">
        <v>507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472</v>
      </c>
    </row>
    <row r="207" spans="1:32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">
        <v>508</v>
      </c>
      <c r="AC207" t="s">
        <v>509</v>
      </c>
      <c r="AD207">
        <v>3</v>
      </c>
      <c r="AE207" s="31">
        <v>0.55986111111111114</v>
      </c>
      <c r="AF207">
        <v>2023</v>
      </c>
    </row>
    <row r="208" spans="1:32" hidden="1" x14ac:dyDescent="0.2">
      <c r="A208" t="s">
        <v>507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472</v>
      </c>
    </row>
    <row r="209" spans="1:32" x14ac:dyDescent="0.2">
      <c r="A209">
        <v>43</v>
      </c>
      <c r="B209" t="s">
        <v>512</v>
      </c>
      <c r="C209">
        <v>1</v>
      </c>
      <c r="D209" t="s">
        <v>558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561</v>
      </c>
      <c r="N209">
        <v>0</v>
      </c>
      <c r="O209">
        <v>0</v>
      </c>
      <c r="P209">
        <v>0</v>
      </c>
      <c r="Q209">
        <v>0</v>
      </c>
      <c r="R209" t="s">
        <v>560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506</v>
      </c>
    </row>
    <row r="210" spans="1:32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508</v>
      </c>
      <c r="AC210" t="s">
        <v>509</v>
      </c>
      <c r="AD210">
        <v>3</v>
      </c>
      <c r="AE210" s="31">
        <v>0.55987268518518518</v>
      </c>
      <c r="AF210">
        <v>2023</v>
      </c>
    </row>
    <row r="211" spans="1:32" hidden="1" x14ac:dyDescent="0.2">
      <c r="A211" t="s">
        <v>507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 t="s">
        <v>472</v>
      </c>
    </row>
    <row r="212" spans="1:32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">
        <v>508</v>
      </c>
      <c r="AC212" t="s">
        <v>509</v>
      </c>
      <c r="AD212">
        <v>3</v>
      </c>
      <c r="AE212" s="31">
        <v>0.55988425925925933</v>
      </c>
      <c r="AF212">
        <v>2023</v>
      </c>
    </row>
    <row r="213" spans="1:32" hidden="1" x14ac:dyDescent="0.2">
      <c r="A213">
        <v>43</v>
      </c>
      <c r="B213" t="s">
        <v>512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562</v>
      </c>
      <c r="N213">
        <v>0</v>
      </c>
      <c r="O213">
        <v>0</v>
      </c>
      <c r="P213">
        <v>0</v>
      </c>
      <c r="Q213">
        <v>0</v>
      </c>
      <c r="R213" t="s">
        <v>563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506</v>
      </c>
    </row>
    <row r="214" spans="1:32" hidden="1" x14ac:dyDescent="0.2">
      <c r="A214" t="s">
        <v>507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472</v>
      </c>
    </row>
    <row r="215" spans="1:32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">
        <v>508</v>
      </c>
      <c r="AC215" t="s">
        <v>509</v>
      </c>
      <c r="AD215">
        <v>3</v>
      </c>
      <c r="AE215" s="31">
        <v>0.55989583333333337</v>
      </c>
      <c r="AF215">
        <v>2023</v>
      </c>
    </row>
    <row r="216" spans="1:32" hidden="1" x14ac:dyDescent="0.2">
      <c r="A216" t="s">
        <v>507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472</v>
      </c>
    </row>
    <row r="217" spans="1:32" x14ac:dyDescent="0.2">
      <c r="A217">
        <v>43</v>
      </c>
      <c r="B217" t="s">
        <v>512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P217">
        <v>0</v>
      </c>
      <c r="Q217">
        <v>0</v>
      </c>
      <c r="R217" t="s">
        <v>564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 t="s">
        <v>506</v>
      </c>
    </row>
    <row r="218" spans="1:32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">
        <v>508</v>
      </c>
      <c r="AC218" t="s">
        <v>509</v>
      </c>
      <c r="AD218">
        <v>3</v>
      </c>
      <c r="AE218" s="31">
        <v>0.55990740740740741</v>
      </c>
      <c r="AF218">
        <v>2023</v>
      </c>
    </row>
    <row r="219" spans="1:32" hidden="1" x14ac:dyDescent="0.2">
      <c r="A219" t="s">
        <v>507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472</v>
      </c>
    </row>
    <row r="220" spans="1:32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">
        <v>508</v>
      </c>
      <c r="AC220" t="s">
        <v>509</v>
      </c>
      <c r="AD220">
        <v>3</v>
      </c>
      <c r="AE220" s="31">
        <v>0.55991898148148145</v>
      </c>
      <c r="AF220">
        <v>2023</v>
      </c>
    </row>
    <row r="221" spans="1:32" hidden="1" x14ac:dyDescent="0.2">
      <c r="A221">
        <v>43</v>
      </c>
      <c r="B221" t="s">
        <v>512</v>
      </c>
      <c r="C221">
        <v>0</v>
      </c>
      <c r="D221" t="s">
        <v>550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P221">
        <v>0</v>
      </c>
      <c r="Q221">
        <v>0</v>
      </c>
      <c r="R221" t="s">
        <v>565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506</v>
      </c>
    </row>
    <row r="222" spans="1:32" hidden="1" x14ac:dyDescent="0.2">
      <c r="A222" t="s">
        <v>507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 t="s">
        <v>472</v>
      </c>
    </row>
    <row r="223" spans="1:32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">
        <v>508</v>
      </c>
      <c r="AC223" t="s">
        <v>509</v>
      </c>
      <c r="AD223">
        <v>3</v>
      </c>
      <c r="AE223" s="31">
        <v>0.55993055555555549</v>
      </c>
      <c r="AF223">
        <v>2023</v>
      </c>
    </row>
    <row r="224" spans="1:32" hidden="1" x14ac:dyDescent="0.2">
      <c r="A224" t="s">
        <v>507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472</v>
      </c>
    </row>
    <row r="225" spans="1:32" x14ac:dyDescent="0.2">
      <c r="A225">
        <v>43</v>
      </c>
      <c r="B225" t="s">
        <v>520</v>
      </c>
      <c r="C225">
        <v>1</v>
      </c>
      <c r="D225" t="s">
        <v>558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P225">
        <v>0</v>
      </c>
      <c r="Q225">
        <v>0</v>
      </c>
      <c r="R225" s="32" t="s">
        <v>566</v>
      </c>
      <c r="S225" s="32"/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506</v>
      </c>
    </row>
    <row r="226" spans="1:32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508</v>
      </c>
      <c r="AC226" t="s">
        <v>509</v>
      </c>
      <c r="AD226">
        <v>3</v>
      </c>
      <c r="AE226" s="31">
        <v>0.55994212962962964</v>
      </c>
      <c r="AF226">
        <v>2023</v>
      </c>
    </row>
    <row r="227" spans="1:32" hidden="1" x14ac:dyDescent="0.2">
      <c r="A227" t="s">
        <v>507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472</v>
      </c>
    </row>
    <row r="228" spans="1:32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">
        <v>508</v>
      </c>
      <c r="AC228" t="s">
        <v>509</v>
      </c>
      <c r="AD228">
        <v>3</v>
      </c>
      <c r="AE228" s="31">
        <v>0.55995370370370368</v>
      </c>
      <c r="AF228">
        <v>2023</v>
      </c>
    </row>
    <row r="229" spans="1:32" hidden="1" x14ac:dyDescent="0.2">
      <c r="A229">
        <v>43</v>
      </c>
      <c r="B229" t="s">
        <v>520</v>
      </c>
      <c r="C229">
        <v>0</v>
      </c>
      <c r="D229" t="s">
        <v>550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P229">
        <v>0</v>
      </c>
      <c r="Q229">
        <v>0</v>
      </c>
      <c r="R229" s="32" t="s">
        <v>567</v>
      </c>
      <c r="S229" s="32"/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506</v>
      </c>
    </row>
    <row r="230" spans="1:32" hidden="1" x14ac:dyDescent="0.2">
      <c r="A230" t="s">
        <v>507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 t="s">
        <v>472</v>
      </c>
    </row>
    <row r="231" spans="1:32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508</v>
      </c>
      <c r="AC231" t="s">
        <v>509</v>
      </c>
      <c r="AD231">
        <v>3</v>
      </c>
      <c r="AE231" s="31">
        <v>0.55996527777777783</v>
      </c>
      <c r="AF231">
        <v>2023</v>
      </c>
    </row>
    <row r="232" spans="1:32" hidden="1" x14ac:dyDescent="0.2">
      <c r="A232" t="s">
        <v>507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 t="s">
        <v>472</v>
      </c>
    </row>
    <row r="233" spans="1:32" x14ac:dyDescent="0.2">
      <c r="A233">
        <v>43</v>
      </c>
      <c r="B233" t="s">
        <v>512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P233">
        <v>0</v>
      </c>
      <c r="Q233">
        <v>0</v>
      </c>
      <c r="R233" s="32" t="s">
        <v>567</v>
      </c>
      <c r="S233" s="32"/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506</v>
      </c>
    </row>
    <row r="234" spans="1:32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">
        <v>508</v>
      </c>
      <c r="AC234" t="s">
        <v>509</v>
      </c>
      <c r="AD234">
        <v>3</v>
      </c>
      <c r="AE234" s="31">
        <v>0.55997685185185186</v>
      </c>
      <c r="AF234">
        <v>2023</v>
      </c>
    </row>
    <row r="235" spans="1:32" hidden="1" x14ac:dyDescent="0.2">
      <c r="A235" t="s">
        <v>507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472</v>
      </c>
    </row>
    <row r="236" spans="1:32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">
        <v>508</v>
      </c>
      <c r="AC236" t="s">
        <v>509</v>
      </c>
      <c r="AD236">
        <v>3</v>
      </c>
      <c r="AE236" s="31">
        <v>0.5599884259259259</v>
      </c>
      <c r="AF236">
        <v>2023</v>
      </c>
    </row>
    <row r="237" spans="1:32" hidden="1" x14ac:dyDescent="0.2">
      <c r="A237">
        <v>43</v>
      </c>
      <c r="B237" t="s">
        <v>512</v>
      </c>
      <c r="C237">
        <v>0</v>
      </c>
      <c r="D237" t="s">
        <v>552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P237">
        <v>0</v>
      </c>
      <c r="Q237">
        <v>0</v>
      </c>
      <c r="R237" t="s">
        <v>568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 t="s">
        <v>506</v>
      </c>
    </row>
    <row r="238" spans="1:32" hidden="1" x14ac:dyDescent="0.2">
      <c r="A238" t="s">
        <v>507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472</v>
      </c>
    </row>
    <row r="239" spans="1:32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">
        <v>508</v>
      </c>
      <c r="AC239" t="s">
        <v>509</v>
      </c>
      <c r="AD239">
        <v>3</v>
      </c>
      <c r="AE239" s="31">
        <v>0.55999999999999994</v>
      </c>
      <c r="AF239">
        <v>2023</v>
      </c>
    </row>
    <row r="240" spans="1:32" hidden="1" x14ac:dyDescent="0.2">
      <c r="A240" t="s">
        <v>507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472</v>
      </c>
    </row>
    <row r="241" spans="1:32" x14ac:dyDescent="0.2">
      <c r="A241">
        <v>43</v>
      </c>
      <c r="B241" t="s">
        <v>520</v>
      </c>
      <c r="C241">
        <v>1</v>
      </c>
      <c r="D241" t="s">
        <v>550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P241">
        <v>0</v>
      </c>
      <c r="Q241">
        <v>0</v>
      </c>
      <c r="R241" t="s">
        <v>569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506</v>
      </c>
    </row>
    <row r="242" spans="1:32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">
        <v>508</v>
      </c>
      <c r="AC242" t="s">
        <v>509</v>
      </c>
      <c r="AD242">
        <v>3</v>
      </c>
      <c r="AE242" s="31">
        <v>0.56001157407407409</v>
      </c>
      <c r="AF242">
        <v>2023</v>
      </c>
    </row>
    <row r="243" spans="1:32" hidden="1" x14ac:dyDescent="0.2">
      <c r="A243" t="s">
        <v>507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472</v>
      </c>
    </row>
    <row r="244" spans="1:32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">
        <v>508</v>
      </c>
      <c r="AC244" t="s">
        <v>509</v>
      </c>
      <c r="AD244">
        <v>3</v>
      </c>
      <c r="AE244" s="31">
        <v>0.56002314814814813</v>
      </c>
      <c r="AF244">
        <v>2023</v>
      </c>
    </row>
    <row r="245" spans="1:32" hidden="1" x14ac:dyDescent="0.2">
      <c r="A245">
        <v>43</v>
      </c>
      <c r="B245" t="s">
        <v>520</v>
      </c>
      <c r="C245">
        <v>0</v>
      </c>
      <c r="D245" t="s">
        <v>550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P245">
        <v>0</v>
      </c>
      <c r="Q245">
        <v>0</v>
      </c>
      <c r="R245" t="s">
        <v>570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 t="s">
        <v>506</v>
      </c>
    </row>
    <row r="246" spans="1:32" hidden="1" x14ac:dyDescent="0.2">
      <c r="A246" t="s">
        <v>507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472</v>
      </c>
    </row>
    <row r="247" spans="1:32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">
        <v>508</v>
      </c>
      <c r="AC247" t="s">
        <v>509</v>
      </c>
      <c r="AD247">
        <v>3</v>
      </c>
      <c r="AE247" s="31">
        <v>0.56003472222222228</v>
      </c>
      <c r="AF247">
        <v>2023</v>
      </c>
    </row>
    <row r="248" spans="1:32" hidden="1" x14ac:dyDescent="0.2">
      <c r="A248" t="s">
        <v>507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472</v>
      </c>
    </row>
    <row r="249" spans="1:32" x14ac:dyDescent="0.2">
      <c r="A249">
        <v>43</v>
      </c>
      <c r="B249" t="s">
        <v>520</v>
      </c>
      <c r="C249">
        <v>1</v>
      </c>
      <c r="D249" t="s">
        <v>550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P249">
        <v>0</v>
      </c>
      <c r="Q249">
        <v>0</v>
      </c>
      <c r="R249" t="s">
        <v>570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506</v>
      </c>
    </row>
    <row r="250" spans="1:32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">
        <v>508</v>
      </c>
      <c r="AC250" t="s">
        <v>509</v>
      </c>
      <c r="AD250">
        <v>3</v>
      </c>
      <c r="AE250" s="31">
        <v>0.56004629629629632</v>
      </c>
      <c r="AF250">
        <v>2023</v>
      </c>
    </row>
    <row r="251" spans="1:32" hidden="1" x14ac:dyDescent="0.2">
      <c r="A251" t="s">
        <v>507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472</v>
      </c>
    </row>
    <row r="252" spans="1:32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508</v>
      </c>
      <c r="AC252" t="s">
        <v>509</v>
      </c>
      <c r="AD252">
        <v>3</v>
      </c>
      <c r="AE252" s="31">
        <v>0.56005787037037036</v>
      </c>
      <c r="AF252">
        <v>2023</v>
      </c>
    </row>
    <row r="253" spans="1:32" hidden="1" x14ac:dyDescent="0.2">
      <c r="A253">
        <v>43</v>
      </c>
      <c r="B253" t="s">
        <v>520</v>
      </c>
      <c r="C253">
        <v>0</v>
      </c>
      <c r="D253" t="s">
        <v>552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P253">
        <v>0</v>
      </c>
      <c r="Q253">
        <v>0</v>
      </c>
      <c r="R253" t="s">
        <v>571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 t="s">
        <v>506</v>
      </c>
    </row>
    <row r="254" spans="1:32" hidden="1" x14ac:dyDescent="0.2">
      <c r="A254" t="s">
        <v>507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 t="s">
        <v>472</v>
      </c>
    </row>
    <row r="255" spans="1:32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">
        <v>508</v>
      </c>
      <c r="AC255" t="s">
        <v>509</v>
      </c>
      <c r="AD255">
        <v>3</v>
      </c>
      <c r="AE255" s="31">
        <v>0.5600694444444444</v>
      </c>
      <c r="AF255">
        <v>2023</v>
      </c>
    </row>
    <row r="256" spans="1:32" hidden="1" x14ac:dyDescent="0.2">
      <c r="A256" t="s">
        <v>507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 t="s">
        <v>472</v>
      </c>
    </row>
    <row r="257" spans="1:32" x14ac:dyDescent="0.2">
      <c r="A257">
        <v>43</v>
      </c>
      <c r="B257" t="s">
        <v>520</v>
      </c>
      <c r="C257">
        <v>1</v>
      </c>
      <c r="D257" t="s">
        <v>550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572</v>
      </c>
      <c r="N257">
        <v>0</v>
      </c>
      <c r="O257">
        <v>0</v>
      </c>
      <c r="P257">
        <v>0</v>
      </c>
      <c r="Q257">
        <v>0</v>
      </c>
      <c r="R257" t="s">
        <v>571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506</v>
      </c>
    </row>
    <row r="258" spans="1:32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">
        <v>508</v>
      </c>
      <c r="AC258" t="s">
        <v>509</v>
      </c>
      <c r="AD258">
        <v>3</v>
      </c>
      <c r="AE258" s="31">
        <v>0.56008101851851855</v>
      </c>
      <c r="AF258">
        <v>2023</v>
      </c>
    </row>
    <row r="259" spans="1:32" hidden="1" x14ac:dyDescent="0.2">
      <c r="A259" t="s">
        <v>507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472</v>
      </c>
    </row>
    <row r="260" spans="1:32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">
        <v>508</v>
      </c>
      <c r="AC260" t="s">
        <v>509</v>
      </c>
      <c r="AD260">
        <v>3</v>
      </c>
      <c r="AE260" s="31">
        <v>0.56009259259259259</v>
      </c>
      <c r="AF260">
        <v>2023</v>
      </c>
    </row>
    <row r="261" spans="1:32" hidden="1" x14ac:dyDescent="0.2">
      <c r="A261">
        <v>43</v>
      </c>
      <c r="B261" t="s">
        <v>520</v>
      </c>
      <c r="C261">
        <v>0</v>
      </c>
      <c r="D261" t="s">
        <v>558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573</v>
      </c>
      <c r="N261">
        <v>0</v>
      </c>
      <c r="O261">
        <v>0</v>
      </c>
      <c r="P261">
        <v>0</v>
      </c>
      <c r="Q261">
        <v>0</v>
      </c>
      <c r="R261" t="s">
        <v>574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506</v>
      </c>
    </row>
    <row r="262" spans="1:32" hidden="1" x14ac:dyDescent="0.2">
      <c r="A262" t="s">
        <v>507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472</v>
      </c>
    </row>
    <row r="263" spans="1:32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">
        <v>508</v>
      </c>
      <c r="AC263" t="s">
        <v>509</v>
      </c>
      <c r="AD263">
        <v>3</v>
      </c>
      <c r="AE263" s="31">
        <v>0.56010416666666674</v>
      </c>
      <c r="AF263">
        <v>2023</v>
      </c>
    </row>
    <row r="264" spans="1:32" hidden="1" x14ac:dyDescent="0.2">
      <c r="A264" t="s">
        <v>507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 t="s">
        <v>472</v>
      </c>
    </row>
    <row r="265" spans="1:32" x14ac:dyDescent="0.2">
      <c r="A265" s="33">
        <v>42</v>
      </c>
      <c r="B265" t="s">
        <v>575</v>
      </c>
      <c r="C265">
        <v>1</v>
      </c>
      <c r="D265" t="s">
        <v>550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576</v>
      </c>
      <c r="N265">
        <v>0</v>
      </c>
      <c r="O265">
        <v>0</v>
      </c>
      <c r="P265">
        <v>0</v>
      </c>
      <c r="Q265">
        <v>0</v>
      </c>
      <c r="R265" t="s">
        <v>577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506</v>
      </c>
    </row>
    <row r="266" spans="1:32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">
        <v>508</v>
      </c>
      <c r="AC266" t="s">
        <v>509</v>
      </c>
      <c r="AD266">
        <v>3</v>
      </c>
      <c r="AE266" s="34">
        <v>0.56011574074074078</v>
      </c>
      <c r="AF266">
        <v>2023</v>
      </c>
    </row>
    <row r="267" spans="1:32" hidden="1" x14ac:dyDescent="0.2">
      <c r="A267" t="s">
        <v>507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472</v>
      </c>
    </row>
    <row r="268" spans="1:32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">
        <v>508</v>
      </c>
      <c r="AC268" t="s">
        <v>509</v>
      </c>
      <c r="AD268">
        <v>3</v>
      </c>
      <c r="AE268" s="31">
        <v>0.56012731481481481</v>
      </c>
      <c r="AF268">
        <v>2023</v>
      </c>
    </row>
    <row r="269" spans="1:32" hidden="1" x14ac:dyDescent="0.2">
      <c r="A269">
        <v>42</v>
      </c>
      <c r="B269" t="s">
        <v>575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578</v>
      </c>
      <c r="N269">
        <v>0</v>
      </c>
      <c r="O269">
        <v>0</v>
      </c>
      <c r="P269">
        <v>0</v>
      </c>
      <c r="Q269">
        <v>0</v>
      </c>
      <c r="R269" t="s">
        <v>577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506</v>
      </c>
    </row>
    <row r="270" spans="1:32" hidden="1" x14ac:dyDescent="0.2">
      <c r="A270" t="s">
        <v>507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 t="s">
        <v>472</v>
      </c>
    </row>
    <row r="271" spans="1:32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">
        <v>508</v>
      </c>
      <c r="AC271" t="s">
        <v>509</v>
      </c>
      <c r="AD271">
        <v>3</v>
      </c>
      <c r="AE271" s="31">
        <v>0.56013888888888885</v>
      </c>
      <c r="AF271">
        <v>2023</v>
      </c>
    </row>
    <row r="272" spans="1:32" x14ac:dyDescent="0.2">
      <c r="A272">
        <v>14</v>
      </c>
      <c r="B272" t="s">
        <v>583</v>
      </c>
      <c r="C272">
        <v>1</v>
      </c>
      <c r="D272" t="s">
        <v>584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585</v>
      </c>
      <c r="N272">
        <v>0</v>
      </c>
      <c r="O272">
        <v>0</v>
      </c>
      <c r="P272">
        <v>0</v>
      </c>
      <c r="Q272">
        <v>0</v>
      </c>
      <c r="R272" t="s">
        <v>586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 t="s">
        <v>473</v>
      </c>
    </row>
    <row r="273" spans="1:31" hidden="1" x14ac:dyDescent="0.2">
      <c r="A273" t="s">
        <v>587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t="s">
        <v>472</v>
      </c>
    </row>
    <row r="274" spans="1:31" hidden="1" x14ac:dyDescent="0.2">
      <c r="A274" t="s">
        <v>588</v>
      </c>
      <c r="B274" t="s">
        <v>589</v>
      </c>
      <c r="C274" t="s">
        <v>590</v>
      </c>
      <c r="D274" t="s">
        <v>591</v>
      </c>
      <c r="E274">
        <v>1.837901</v>
      </c>
    </row>
    <row r="275" spans="1:31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592</v>
      </c>
      <c r="AB275" t="s">
        <v>509</v>
      </c>
      <c r="AC275">
        <v>4</v>
      </c>
      <c r="AD275" s="31">
        <v>0.35936342592592596</v>
      </c>
      <c r="AE275">
        <v>2023</v>
      </c>
    </row>
    <row r="276" spans="1:31" hidden="1" x14ac:dyDescent="0.2">
      <c r="A276">
        <v>14</v>
      </c>
      <c r="B276" t="s">
        <v>583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593</v>
      </c>
      <c r="N276">
        <v>0</v>
      </c>
      <c r="O276">
        <v>0</v>
      </c>
      <c r="P276">
        <v>0</v>
      </c>
      <c r="Q276">
        <v>0</v>
      </c>
      <c r="R276" t="s">
        <v>586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t="s">
        <v>473</v>
      </c>
    </row>
    <row r="277" spans="1:31" hidden="1" x14ac:dyDescent="0.2">
      <c r="A277" t="s">
        <v>587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t="s">
        <v>472</v>
      </c>
    </row>
    <row r="278" spans="1:31" hidden="1" x14ac:dyDescent="0.2">
      <c r="A278" t="s">
        <v>588</v>
      </c>
      <c r="B278" t="s">
        <v>594</v>
      </c>
      <c r="C278" t="s">
        <v>590</v>
      </c>
      <c r="D278" t="s">
        <v>591</v>
      </c>
      <c r="E278">
        <v>1.837261</v>
      </c>
    </row>
    <row r="279" spans="1:31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P279">
        <v>1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 t="s">
        <v>592</v>
      </c>
      <c r="AB279" t="s">
        <v>509</v>
      </c>
      <c r="AC279">
        <v>4</v>
      </c>
      <c r="AD279" s="31">
        <v>0.359375</v>
      </c>
      <c r="AE279">
        <v>2023</v>
      </c>
    </row>
    <row r="280" spans="1:31" x14ac:dyDescent="0.2">
      <c r="A280">
        <v>14</v>
      </c>
      <c r="B280" t="s">
        <v>583</v>
      </c>
      <c r="C280">
        <v>1</v>
      </c>
      <c r="D280" t="s">
        <v>595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596</v>
      </c>
      <c r="N280">
        <v>0</v>
      </c>
      <c r="O280">
        <v>0</v>
      </c>
      <c r="P280">
        <v>0</v>
      </c>
      <c r="Q280">
        <v>0</v>
      </c>
      <c r="R280" t="s">
        <v>586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t="s">
        <v>473</v>
      </c>
    </row>
    <row r="281" spans="1:31" hidden="1" x14ac:dyDescent="0.2">
      <c r="A281" t="s">
        <v>587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 t="s">
        <v>472</v>
      </c>
    </row>
    <row r="282" spans="1:31" hidden="1" x14ac:dyDescent="0.2">
      <c r="A282" t="s">
        <v>588</v>
      </c>
      <c r="B282" t="s">
        <v>597</v>
      </c>
      <c r="C282" t="s">
        <v>590</v>
      </c>
      <c r="D282" t="s">
        <v>591</v>
      </c>
      <c r="E282">
        <v>1.8364339999999999</v>
      </c>
    </row>
    <row r="283" spans="1:31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P283">
        <v>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592</v>
      </c>
      <c r="AB283" t="s">
        <v>509</v>
      </c>
      <c r="AC283">
        <v>4</v>
      </c>
      <c r="AD283" s="31">
        <v>0.35938657407407404</v>
      </c>
      <c r="AE283">
        <v>2023</v>
      </c>
    </row>
    <row r="284" spans="1:31" hidden="1" x14ac:dyDescent="0.2">
      <c r="A284">
        <v>14</v>
      </c>
      <c r="B284" t="s">
        <v>583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598</v>
      </c>
      <c r="N284">
        <v>0</v>
      </c>
      <c r="O284">
        <v>0</v>
      </c>
      <c r="P284">
        <v>0</v>
      </c>
      <c r="Q284">
        <v>0</v>
      </c>
      <c r="R284" t="s">
        <v>586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t="s">
        <v>473</v>
      </c>
    </row>
    <row r="285" spans="1:31" hidden="1" x14ac:dyDescent="0.2">
      <c r="A285" t="s">
        <v>587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 t="s">
        <v>472</v>
      </c>
    </row>
    <row r="286" spans="1:31" hidden="1" x14ac:dyDescent="0.2">
      <c r="A286" t="s">
        <v>588</v>
      </c>
      <c r="B286" t="s">
        <v>599</v>
      </c>
      <c r="C286" t="s">
        <v>590</v>
      </c>
      <c r="D286" t="s">
        <v>591</v>
      </c>
      <c r="E286">
        <v>1.835782</v>
      </c>
    </row>
    <row r="287" spans="1:31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592</v>
      </c>
      <c r="AB287" t="s">
        <v>509</v>
      </c>
      <c r="AC287">
        <v>4</v>
      </c>
      <c r="AD287" s="31">
        <v>0.35939814814814813</v>
      </c>
      <c r="AE287">
        <v>2023</v>
      </c>
    </row>
    <row r="288" spans="1:31" x14ac:dyDescent="0.2">
      <c r="A288">
        <v>14</v>
      </c>
      <c r="B288" t="s">
        <v>583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600</v>
      </c>
      <c r="N288">
        <v>0</v>
      </c>
      <c r="O288">
        <v>0</v>
      </c>
      <c r="P288">
        <v>0</v>
      </c>
      <c r="Q288">
        <v>0</v>
      </c>
      <c r="R288" t="s">
        <v>586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t="s">
        <v>473</v>
      </c>
    </row>
    <row r="289" spans="1:31" hidden="1" x14ac:dyDescent="0.2">
      <c r="A289" t="s">
        <v>587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 t="s">
        <v>472</v>
      </c>
    </row>
    <row r="290" spans="1:31" hidden="1" x14ac:dyDescent="0.2">
      <c r="A290" t="s">
        <v>588</v>
      </c>
      <c r="B290" t="s">
        <v>601</v>
      </c>
      <c r="C290" t="s">
        <v>590</v>
      </c>
      <c r="D290" t="s">
        <v>591</v>
      </c>
      <c r="E290">
        <v>1.835834</v>
      </c>
    </row>
    <row r="291" spans="1:31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592</v>
      </c>
      <c r="AB291" t="s">
        <v>509</v>
      </c>
      <c r="AC291">
        <v>4</v>
      </c>
      <c r="AD291" s="31">
        <v>0.35940972222222217</v>
      </c>
      <c r="AE291">
        <v>2023</v>
      </c>
    </row>
    <row r="292" spans="1:31" hidden="1" x14ac:dyDescent="0.2">
      <c r="A292">
        <v>14</v>
      </c>
      <c r="B292" t="s">
        <v>583</v>
      </c>
      <c r="C292">
        <v>0</v>
      </c>
      <c r="D292" t="s">
        <v>584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602</v>
      </c>
      <c r="N292">
        <v>0</v>
      </c>
      <c r="O292">
        <v>0</v>
      </c>
      <c r="P292">
        <v>0</v>
      </c>
      <c r="Q292">
        <v>0</v>
      </c>
      <c r="R292" t="s">
        <v>603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 t="s">
        <v>473</v>
      </c>
    </row>
    <row r="293" spans="1:31" hidden="1" x14ac:dyDescent="0.2">
      <c r="A293" t="s">
        <v>587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 t="s">
        <v>472</v>
      </c>
    </row>
    <row r="294" spans="1:31" hidden="1" x14ac:dyDescent="0.2">
      <c r="A294" t="s">
        <v>588</v>
      </c>
      <c r="B294" t="s">
        <v>589</v>
      </c>
      <c r="C294" t="s">
        <v>590</v>
      </c>
      <c r="D294" t="s">
        <v>591</v>
      </c>
      <c r="E294">
        <v>1.836519</v>
      </c>
    </row>
    <row r="295" spans="1:31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P295">
        <v>1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 t="s">
        <v>592</v>
      </c>
      <c r="AB295" t="s">
        <v>509</v>
      </c>
      <c r="AC295">
        <v>4</v>
      </c>
      <c r="AD295" s="31">
        <v>0.35942129629629632</v>
      </c>
      <c r="AE295">
        <v>2023</v>
      </c>
    </row>
    <row r="296" spans="1:31" x14ac:dyDescent="0.2">
      <c r="A296">
        <v>14</v>
      </c>
      <c r="B296" t="s">
        <v>583</v>
      </c>
      <c r="C296">
        <v>1</v>
      </c>
      <c r="D296" t="s">
        <v>604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605</v>
      </c>
      <c r="N296">
        <v>0</v>
      </c>
      <c r="O296">
        <v>0</v>
      </c>
      <c r="P296">
        <v>0</v>
      </c>
      <c r="Q296">
        <v>0</v>
      </c>
      <c r="R296" t="s">
        <v>586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 t="s">
        <v>473</v>
      </c>
    </row>
    <row r="297" spans="1:31" hidden="1" x14ac:dyDescent="0.2">
      <c r="A297" t="s">
        <v>587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 t="s">
        <v>472</v>
      </c>
    </row>
    <row r="298" spans="1:31" hidden="1" x14ac:dyDescent="0.2">
      <c r="A298" t="s">
        <v>588</v>
      </c>
      <c r="B298" t="s">
        <v>606</v>
      </c>
      <c r="C298" t="s">
        <v>590</v>
      </c>
      <c r="D298" t="s">
        <v>591</v>
      </c>
      <c r="E298">
        <v>1.837056</v>
      </c>
    </row>
    <row r="299" spans="1:31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P299">
        <v>1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 t="s">
        <v>592</v>
      </c>
      <c r="AB299" t="s">
        <v>509</v>
      </c>
      <c r="AC299">
        <v>4</v>
      </c>
      <c r="AD299" s="31">
        <v>0.35943287037037036</v>
      </c>
      <c r="AE299">
        <v>2023</v>
      </c>
    </row>
    <row r="300" spans="1:31" hidden="1" x14ac:dyDescent="0.2">
      <c r="A300">
        <v>14</v>
      </c>
      <c r="B300" t="s">
        <v>583</v>
      </c>
      <c r="C300">
        <v>0</v>
      </c>
      <c r="D300" t="s">
        <v>607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608</v>
      </c>
      <c r="N300">
        <v>0</v>
      </c>
      <c r="O300">
        <v>0</v>
      </c>
      <c r="P300">
        <v>0</v>
      </c>
      <c r="Q300">
        <v>0</v>
      </c>
      <c r="R300" t="s">
        <v>586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 t="s">
        <v>473</v>
      </c>
    </row>
    <row r="301" spans="1:31" hidden="1" x14ac:dyDescent="0.2">
      <c r="A301" t="s">
        <v>587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 t="s">
        <v>472</v>
      </c>
    </row>
    <row r="302" spans="1:31" hidden="1" x14ac:dyDescent="0.2">
      <c r="A302" t="s">
        <v>588</v>
      </c>
      <c r="B302" t="s">
        <v>609</v>
      </c>
      <c r="C302" t="s">
        <v>590</v>
      </c>
      <c r="D302" t="s">
        <v>591</v>
      </c>
      <c r="E302">
        <v>1.837459</v>
      </c>
    </row>
    <row r="303" spans="1:31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P303">
        <v>1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 t="s">
        <v>592</v>
      </c>
      <c r="AB303" t="s">
        <v>509</v>
      </c>
      <c r="AC303">
        <v>4</v>
      </c>
      <c r="AD303" s="31">
        <v>0.35944444444444446</v>
      </c>
      <c r="AE303">
        <v>2023</v>
      </c>
    </row>
    <row r="304" spans="1:31" x14ac:dyDescent="0.2">
      <c r="A304">
        <v>14</v>
      </c>
      <c r="B304" t="s">
        <v>583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610</v>
      </c>
      <c r="N304">
        <v>0</v>
      </c>
      <c r="O304">
        <v>0</v>
      </c>
      <c r="P304">
        <v>0</v>
      </c>
      <c r="Q304">
        <v>0</v>
      </c>
      <c r="R304" t="s">
        <v>586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 t="s">
        <v>473</v>
      </c>
    </row>
    <row r="305" spans="1:31" hidden="1" x14ac:dyDescent="0.2">
      <c r="A305" t="s">
        <v>587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 t="s">
        <v>472</v>
      </c>
    </row>
    <row r="306" spans="1:31" hidden="1" x14ac:dyDescent="0.2">
      <c r="A306" t="s">
        <v>588</v>
      </c>
      <c r="B306" t="s">
        <v>594</v>
      </c>
      <c r="C306" t="s">
        <v>590</v>
      </c>
      <c r="D306" t="s">
        <v>591</v>
      </c>
      <c r="E306">
        <v>1.836973</v>
      </c>
    </row>
    <row r="307" spans="1:31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P307">
        <v>1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592</v>
      </c>
      <c r="AB307" t="s">
        <v>509</v>
      </c>
      <c r="AC307">
        <v>4</v>
      </c>
      <c r="AD307" s="31">
        <v>0.35945601851851849</v>
      </c>
      <c r="AE307">
        <v>2023</v>
      </c>
    </row>
    <row r="308" spans="1:31" hidden="1" x14ac:dyDescent="0.2">
      <c r="A308">
        <v>14</v>
      </c>
      <c r="B308" t="s">
        <v>583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611</v>
      </c>
      <c r="N308">
        <v>0</v>
      </c>
      <c r="O308">
        <v>0</v>
      </c>
      <c r="P308">
        <v>0</v>
      </c>
      <c r="Q308">
        <v>0</v>
      </c>
      <c r="R308" t="s">
        <v>586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t="s">
        <v>473</v>
      </c>
    </row>
    <row r="309" spans="1:31" hidden="1" x14ac:dyDescent="0.2">
      <c r="A309" t="s">
        <v>587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 t="s">
        <v>472</v>
      </c>
    </row>
    <row r="310" spans="1:31" hidden="1" x14ac:dyDescent="0.2">
      <c r="A310" t="s">
        <v>588</v>
      </c>
      <c r="B310" t="s">
        <v>612</v>
      </c>
      <c r="C310" t="s">
        <v>590</v>
      </c>
      <c r="D310" t="s">
        <v>591</v>
      </c>
      <c r="E310">
        <v>1.8366089999999999</v>
      </c>
    </row>
    <row r="311" spans="1:31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P311">
        <v>1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592</v>
      </c>
      <c r="AB311" t="s">
        <v>509</v>
      </c>
      <c r="AC311">
        <v>4</v>
      </c>
      <c r="AD311" s="31">
        <v>0.35946759259259259</v>
      </c>
      <c r="AE311">
        <v>2023</v>
      </c>
    </row>
    <row r="312" spans="1:31" x14ac:dyDescent="0.2">
      <c r="A312">
        <v>14</v>
      </c>
      <c r="B312" t="s">
        <v>583</v>
      </c>
      <c r="C312">
        <v>1</v>
      </c>
      <c r="D312" t="s">
        <v>613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614</v>
      </c>
      <c r="N312">
        <v>0</v>
      </c>
      <c r="O312">
        <v>0</v>
      </c>
      <c r="P312">
        <v>0</v>
      </c>
      <c r="Q312">
        <v>0</v>
      </c>
      <c r="R312" t="s">
        <v>586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 t="s">
        <v>473</v>
      </c>
    </row>
    <row r="313" spans="1:31" hidden="1" x14ac:dyDescent="0.2">
      <c r="A313" t="s">
        <v>587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t="s">
        <v>472</v>
      </c>
    </row>
    <row r="314" spans="1:31" hidden="1" x14ac:dyDescent="0.2">
      <c r="A314" t="s">
        <v>588</v>
      </c>
      <c r="B314" t="s">
        <v>615</v>
      </c>
      <c r="C314" t="s">
        <v>590</v>
      </c>
      <c r="D314" t="s">
        <v>591</v>
      </c>
      <c r="E314">
        <v>1.835815</v>
      </c>
    </row>
    <row r="315" spans="1:31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P315">
        <v>1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592</v>
      </c>
      <c r="AB315" t="s">
        <v>509</v>
      </c>
      <c r="AC315">
        <v>4</v>
      </c>
      <c r="AD315" s="31">
        <v>0.35947916666666663</v>
      </c>
      <c r="AE315">
        <v>2023</v>
      </c>
    </row>
    <row r="316" spans="1:31" hidden="1" x14ac:dyDescent="0.2">
      <c r="A316">
        <v>14</v>
      </c>
      <c r="B316" t="s">
        <v>583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616</v>
      </c>
      <c r="N316">
        <v>0</v>
      </c>
      <c r="O316">
        <v>0</v>
      </c>
      <c r="P316">
        <v>0</v>
      </c>
      <c r="Q316">
        <v>0</v>
      </c>
      <c r="R316" t="s">
        <v>586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t="s">
        <v>473</v>
      </c>
    </row>
    <row r="317" spans="1:31" hidden="1" x14ac:dyDescent="0.2">
      <c r="A317" t="s">
        <v>587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t="s">
        <v>472</v>
      </c>
    </row>
    <row r="318" spans="1:31" hidden="1" x14ac:dyDescent="0.2">
      <c r="A318" t="s">
        <v>588</v>
      </c>
      <c r="B318" t="s">
        <v>617</v>
      </c>
      <c r="C318" t="s">
        <v>590</v>
      </c>
      <c r="D318" t="s">
        <v>591</v>
      </c>
      <c r="E318">
        <v>1.83612</v>
      </c>
    </row>
    <row r="319" spans="1:31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592</v>
      </c>
      <c r="AB319" t="s">
        <v>509</v>
      </c>
      <c r="AC319">
        <v>4</v>
      </c>
      <c r="AD319" s="31">
        <v>0.35949074074074078</v>
      </c>
      <c r="AE319">
        <v>2023</v>
      </c>
    </row>
    <row r="320" spans="1:31" x14ac:dyDescent="0.2">
      <c r="A320">
        <v>13</v>
      </c>
      <c r="B320" t="s">
        <v>583</v>
      </c>
      <c r="C320">
        <v>1</v>
      </c>
      <c r="D320" t="s">
        <v>607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618</v>
      </c>
      <c r="N320">
        <v>0</v>
      </c>
      <c r="O320">
        <v>0</v>
      </c>
      <c r="P320">
        <v>0</v>
      </c>
      <c r="Q320">
        <v>0</v>
      </c>
      <c r="R320" t="s">
        <v>586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 t="s">
        <v>473</v>
      </c>
    </row>
    <row r="321" spans="1:31" hidden="1" x14ac:dyDescent="0.2">
      <c r="A321" t="s">
        <v>587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 t="s">
        <v>472</v>
      </c>
    </row>
    <row r="322" spans="1:31" hidden="1" x14ac:dyDescent="0.2">
      <c r="A322" t="s">
        <v>588</v>
      </c>
      <c r="B322" t="s">
        <v>609</v>
      </c>
      <c r="C322" t="s">
        <v>590</v>
      </c>
      <c r="D322" t="s">
        <v>591</v>
      </c>
      <c r="E322">
        <v>1.8364929999999999</v>
      </c>
    </row>
    <row r="323" spans="1:31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P323">
        <v>1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 t="s">
        <v>592</v>
      </c>
      <c r="AB323" t="s">
        <v>509</v>
      </c>
      <c r="AC323">
        <v>4</v>
      </c>
      <c r="AD323" s="31">
        <v>0.35950231481481482</v>
      </c>
      <c r="AE323">
        <v>2023</v>
      </c>
    </row>
    <row r="324" spans="1:31" hidden="1" x14ac:dyDescent="0.2">
      <c r="A324">
        <v>13</v>
      </c>
      <c r="B324" t="s">
        <v>583</v>
      </c>
      <c r="C324">
        <v>0</v>
      </c>
      <c r="D324" t="s">
        <v>584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619</v>
      </c>
      <c r="N324">
        <v>0</v>
      </c>
      <c r="O324">
        <v>0</v>
      </c>
      <c r="P324">
        <v>0</v>
      </c>
      <c r="Q324">
        <v>0</v>
      </c>
      <c r="R324" t="s">
        <v>586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 t="s">
        <v>473</v>
      </c>
    </row>
    <row r="325" spans="1:31" hidden="1" x14ac:dyDescent="0.2">
      <c r="A325" t="s">
        <v>587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 t="s">
        <v>472</v>
      </c>
    </row>
    <row r="326" spans="1:31" hidden="1" x14ac:dyDescent="0.2">
      <c r="A326" t="s">
        <v>588</v>
      </c>
      <c r="B326" t="s">
        <v>589</v>
      </c>
      <c r="C326" t="s">
        <v>590</v>
      </c>
      <c r="D326" t="s">
        <v>591</v>
      </c>
      <c r="E326">
        <v>1.8370120000000001</v>
      </c>
    </row>
    <row r="327" spans="1:31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592</v>
      </c>
      <c r="AB327" t="s">
        <v>509</v>
      </c>
      <c r="AC327">
        <v>4</v>
      </c>
      <c r="AD327" s="31">
        <v>0.35951388888888891</v>
      </c>
      <c r="AE327">
        <v>2023</v>
      </c>
    </row>
    <row r="328" spans="1:31" x14ac:dyDescent="0.2">
      <c r="A328">
        <v>14</v>
      </c>
      <c r="B328" t="s">
        <v>583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620</v>
      </c>
      <c r="N328">
        <v>0</v>
      </c>
      <c r="O328">
        <v>0</v>
      </c>
      <c r="P328">
        <v>0</v>
      </c>
      <c r="Q328">
        <v>0</v>
      </c>
      <c r="R328" t="s">
        <v>586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t="s">
        <v>473</v>
      </c>
    </row>
    <row r="329" spans="1:31" hidden="1" x14ac:dyDescent="0.2">
      <c r="A329" t="s">
        <v>587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 t="s">
        <v>472</v>
      </c>
    </row>
    <row r="330" spans="1:31" hidden="1" x14ac:dyDescent="0.2">
      <c r="A330" t="s">
        <v>588</v>
      </c>
      <c r="B330" t="s">
        <v>621</v>
      </c>
      <c r="C330" t="s">
        <v>590</v>
      </c>
      <c r="D330" t="s">
        <v>591</v>
      </c>
      <c r="E330">
        <v>1.836937</v>
      </c>
    </row>
    <row r="331" spans="1:31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592</v>
      </c>
      <c r="AB331" t="s">
        <v>509</v>
      </c>
      <c r="AC331">
        <v>4</v>
      </c>
      <c r="AD331" s="31">
        <v>0.35952546296296295</v>
      </c>
      <c r="AE331">
        <v>2023</v>
      </c>
    </row>
    <row r="332" spans="1:31" hidden="1" x14ac:dyDescent="0.2">
      <c r="A332">
        <v>14</v>
      </c>
      <c r="B332" t="s">
        <v>583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622</v>
      </c>
      <c r="N332">
        <v>0</v>
      </c>
      <c r="O332">
        <v>0</v>
      </c>
      <c r="P332">
        <v>0</v>
      </c>
      <c r="Q332">
        <v>0</v>
      </c>
      <c r="R332" t="s">
        <v>586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t="s">
        <v>473</v>
      </c>
    </row>
    <row r="333" spans="1:31" hidden="1" x14ac:dyDescent="0.2">
      <c r="A333" t="s">
        <v>587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t="s">
        <v>472</v>
      </c>
    </row>
    <row r="334" spans="1:31" hidden="1" x14ac:dyDescent="0.2">
      <c r="A334" t="s">
        <v>588</v>
      </c>
      <c r="B334" t="s">
        <v>621</v>
      </c>
      <c r="C334" t="s">
        <v>590</v>
      </c>
      <c r="D334" t="s">
        <v>591</v>
      </c>
      <c r="E334">
        <v>1.836867</v>
      </c>
    </row>
    <row r="335" spans="1:31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592</v>
      </c>
      <c r="AB335" t="s">
        <v>509</v>
      </c>
      <c r="AC335">
        <v>4</v>
      </c>
      <c r="AD335" s="31">
        <v>0.35953703703703704</v>
      </c>
      <c r="AE335">
        <v>2023</v>
      </c>
    </row>
    <row r="336" spans="1:31" x14ac:dyDescent="0.2">
      <c r="A336">
        <v>14</v>
      </c>
      <c r="B336" t="s">
        <v>583</v>
      </c>
      <c r="C336">
        <v>1</v>
      </c>
      <c r="D336" t="s">
        <v>623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624</v>
      </c>
      <c r="N336">
        <v>0</v>
      </c>
      <c r="O336">
        <v>0</v>
      </c>
      <c r="P336">
        <v>0</v>
      </c>
      <c r="Q336">
        <v>0</v>
      </c>
      <c r="R336" t="s">
        <v>586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 t="s">
        <v>473</v>
      </c>
    </row>
    <row r="337" spans="1:31" hidden="1" x14ac:dyDescent="0.2">
      <c r="A337" t="s">
        <v>587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472</v>
      </c>
    </row>
    <row r="338" spans="1:31" hidden="1" x14ac:dyDescent="0.2">
      <c r="A338" t="s">
        <v>588</v>
      </c>
      <c r="B338" t="s">
        <v>625</v>
      </c>
      <c r="C338" t="s">
        <v>590</v>
      </c>
      <c r="D338" t="s">
        <v>591</v>
      </c>
      <c r="E338">
        <v>1.8362620000000001</v>
      </c>
    </row>
    <row r="339" spans="1:31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 t="s">
        <v>592</v>
      </c>
      <c r="AB339" t="s">
        <v>509</v>
      </c>
      <c r="AC339">
        <v>4</v>
      </c>
      <c r="AD339" s="31">
        <v>0.35954861111111108</v>
      </c>
      <c r="AE339">
        <v>2023</v>
      </c>
    </row>
    <row r="340" spans="1:31" hidden="1" x14ac:dyDescent="0.2">
      <c r="A340">
        <v>14</v>
      </c>
      <c r="B340" t="s">
        <v>583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626</v>
      </c>
      <c r="N340">
        <v>0</v>
      </c>
      <c r="O340">
        <v>0</v>
      </c>
      <c r="P340">
        <v>0</v>
      </c>
      <c r="Q340">
        <v>0</v>
      </c>
      <c r="R340" t="s">
        <v>627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 t="s">
        <v>473</v>
      </c>
    </row>
    <row r="341" spans="1:31" hidden="1" x14ac:dyDescent="0.2">
      <c r="A341" t="s">
        <v>587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 t="s">
        <v>472</v>
      </c>
    </row>
    <row r="342" spans="1:31" hidden="1" x14ac:dyDescent="0.2">
      <c r="A342" t="s">
        <v>588</v>
      </c>
      <c r="B342" t="s">
        <v>621</v>
      </c>
      <c r="C342" t="s">
        <v>590</v>
      </c>
      <c r="D342" t="s">
        <v>591</v>
      </c>
      <c r="E342">
        <v>1.83657</v>
      </c>
    </row>
    <row r="343" spans="1:31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P343">
        <v>1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592</v>
      </c>
      <c r="AB343" t="s">
        <v>509</v>
      </c>
      <c r="AC343">
        <v>4</v>
      </c>
      <c r="AD343" s="31">
        <v>0.35956018518518523</v>
      </c>
      <c r="AE343">
        <v>2023</v>
      </c>
    </row>
    <row r="344" spans="1:31" x14ac:dyDescent="0.2">
      <c r="A344">
        <v>14</v>
      </c>
      <c r="B344" t="s">
        <v>628</v>
      </c>
      <c r="C344">
        <v>1</v>
      </c>
      <c r="D344" t="s">
        <v>629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630</v>
      </c>
      <c r="N344">
        <v>0</v>
      </c>
      <c r="O344">
        <v>0</v>
      </c>
      <c r="P344">
        <v>0</v>
      </c>
      <c r="Q344">
        <v>0</v>
      </c>
      <c r="R344" t="s">
        <v>586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 t="s">
        <v>473</v>
      </c>
    </row>
    <row r="345" spans="1:31" hidden="1" x14ac:dyDescent="0.2">
      <c r="A345" t="s">
        <v>587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 t="s">
        <v>472</v>
      </c>
    </row>
    <row r="346" spans="1:31" hidden="1" x14ac:dyDescent="0.2">
      <c r="A346" t="s">
        <v>588</v>
      </c>
      <c r="B346" t="s">
        <v>631</v>
      </c>
      <c r="C346" t="s">
        <v>590</v>
      </c>
      <c r="D346" t="s">
        <v>591</v>
      </c>
      <c r="E346">
        <v>1.836954</v>
      </c>
    </row>
    <row r="347" spans="1:31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P347">
        <v>1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 t="s">
        <v>592</v>
      </c>
      <c r="AB347" t="s">
        <v>509</v>
      </c>
      <c r="AC347">
        <v>4</v>
      </c>
      <c r="AD347" s="31">
        <v>0.35957175925925927</v>
      </c>
      <c r="AE347">
        <v>2023</v>
      </c>
    </row>
    <row r="348" spans="1:31" hidden="1" x14ac:dyDescent="0.2">
      <c r="A348">
        <v>14</v>
      </c>
      <c r="B348" t="s">
        <v>628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632</v>
      </c>
      <c r="N348">
        <v>0</v>
      </c>
      <c r="O348">
        <v>0</v>
      </c>
      <c r="P348">
        <v>0</v>
      </c>
      <c r="Q348">
        <v>0</v>
      </c>
      <c r="R348" t="s">
        <v>586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t="s">
        <v>473</v>
      </c>
    </row>
    <row r="349" spans="1:31" hidden="1" x14ac:dyDescent="0.2">
      <c r="A349" t="s">
        <v>587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t="s">
        <v>472</v>
      </c>
    </row>
    <row r="350" spans="1:31" hidden="1" x14ac:dyDescent="0.2">
      <c r="A350" t="s">
        <v>588</v>
      </c>
      <c r="B350" t="s">
        <v>601</v>
      </c>
      <c r="C350" t="s">
        <v>590</v>
      </c>
      <c r="D350" t="s">
        <v>591</v>
      </c>
      <c r="E350">
        <v>1.836646</v>
      </c>
    </row>
    <row r="351" spans="1:31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 t="s">
        <v>592</v>
      </c>
      <c r="AB351" t="s">
        <v>509</v>
      </c>
      <c r="AC351">
        <v>4</v>
      </c>
      <c r="AD351" s="31">
        <v>0.35958333333333337</v>
      </c>
      <c r="AE351">
        <v>2023</v>
      </c>
    </row>
    <row r="352" spans="1:31" x14ac:dyDescent="0.2">
      <c r="A352">
        <v>14</v>
      </c>
      <c r="B352" t="s">
        <v>633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634</v>
      </c>
      <c r="N352">
        <v>0</v>
      </c>
      <c r="O352">
        <v>0</v>
      </c>
      <c r="P352">
        <v>0</v>
      </c>
      <c r="Q352">
        <v>0</v>
      </c>
      <c r="R352" t="s">
        <v>586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473</v>
      </c>
    </row>
    <row r="353" spans="1:31" hidden="1" x14ac:dyDescent="0.2">
      <c r="A353" t="s">
        <v>587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 t="s">
        <v>472</v>
      </c>
    </row>
    <row r="354" spans="1:31" hidden="1" x14ac:dyDescent="0.2">
      <c r="A354" t="s">
        <v>588</v>
      </c>
      <c r="B354" t="s">
        <v>635</v>
      </c>
      <c r="C354" t="s">
        <v>590</v>
      </c>
      <c r="D354" t="s">
        <v>591</v>
      </c>
      <c r="E354">
        <v>1.8358779999999999</v>
      </c>
    </row>
    <row r="355" spans="1:31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P355">
        <v>1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592</v>
      </c>
      <c r="AB355" t="s">
        <v>509</v>
      </c>
      <c r="AC355">
        <v>4</v>
      </c>
      <c r="AD355" s="31">
        <v>0.3595949074074074</v>
      </c>
      <c r="AE355">
        <v>2023</v>
      </c>
    </row>
    <row r="356" spans="1:31" hidden="1" x14ac:dyDescent="0.2">
      <c r="A356">
        <v>14</v>
      </c>
      <c r="B356" t="s">
        <v>633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636</v>
      </c>
      <c r="N356">
        <v>0</v>
      </c>
      <c r="O356">
        <v>0</v>
      </c>
      <c r="P356">
        <v>0</v>
      </c>
      <c r="Q356">
        <v>0</v>
      </c>
      <c r="R356" t="s">
        <v>586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 t="s">
        <v>473</v>
      </c>
    </row>
    <row r="357" spans="1:31" hidden="1" x14ac:dyDescent="0.2">
      <c r="A357" t="s">
        <v>587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t="s">
        <v>472</v>
      </c>
    </row>
    <row r="358" spans="1:31" hidden="1" x14ac:dyDescent="0.2">
      <c r="A358" t="s">
        <v>588</v>
      </c>
      <c r="B358" t="s">
        <v>612</v>
      </c>
      <c r="C358" t="s">
        <v>590</v>
      </c>
      <c r="D358" t="s">
        <v>591</v>
      </c>
      <c r="E358">
        <v>1.8350329999999999</v>
      </c>
    </row>
    <row r="359" spans="1:31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 t="s">
        <v>592</v>
      </c>
      <c r="AB359" t="s">
        <v>509</v>
      </c>
      <c r="AC359">
        <v>4</v>
      </c>
      <c r="AD359" s="31">
        <v>0.3596064814814815</v>
      </c>
      <c r="AE359">
        <v>2023</v>
      </c>
    </row>
    <row r="360" spans="1:31" x14ac:dyDescent="0.2">
      <c r="A360">
        <v>14</v>
      </c>
      <c r="B360" t="s">
        <v>633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637</v>
      </c>
      <c r="N360">
        <v>0</v>
      </c>
      <c r="O360">
        <v>0</v>
      </c>
      <c r="P360">
        <v>0</v>
      </c>
      <c r="Q360">
        <v>0</v>
      </c>
      <c r="R360" t="s">
        <v>586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t="s">
        <v>473</v>
      </c>
    </row>
    <row r="361" spans="1:31" hidden="1" x14ac:dyDescent="0.2">
      <c r="A361" t="s">
        <v>587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 t="s">
        <v>472</v>
      </c>
    </row>
    <row r="362" spans="1:31" hidden="1" x14ac:dyDescent="0.2">
      <c r="A362" t="s">
        <v>588</v>
      </c>
      <c r="B362" t="s">
        <v>638</v>
      </c>
      <c r="C362" t="s">
        <v>590</v>
      </c>
      <c r="D362" t="s">
        <v>591</v>
      </c>
      <c r="E362">
        <v>1.8353409999999999</v>
      </c>
    </row>
    <row r="363" spans="1:31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P363">
        <v>1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 t="s">
        <v>592</v>
      </c>
      <c r="AB363" t="s">
        <v>509</v>
      </c>
      <c r="AC363">
        <v>4</v>
      </c>
      <c r="AD363" s="31">
        <v>0.35961805555555554</v>
      </c>
      <c r="AE363">
        <v>2023</v>
      </c>
    </row>
    <row r="364" spans="1:31" hidden="1" x14ac:dyDescent="0.2">
      <c r="A364">
        <v>14</v>
      </c>
      <c r="B364" t="s">
        <v>633</v>
      </c>
      <c r="C364">
        <v>0</v>
      </c>
      <c r="D364" t="s">
        <v>629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639</v>
      </c>
      <c r="N364">
        <v>0</v>
      </c>
      <c r="O364">
        <v>0</v>
      </c>
      <c r="P364">
        <v>0</v>
      </c>
      <c r="Q364">
        <v>0</v>
      </c>
      <c r="R364" t="s">
        <v>586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 t="s">
        <v>473</v>
      </c>
    </row>
    <row r="365" spans="1:31" hidden="1" x14ac:dyDescent="0.2">
      <c r="A365" t="s">
        <v>587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t="s">
        <v>472</v>
      </c>
    </row>
    <row r="366" spans="1:31" hidden="1" x14ac:dyDescent="0.2">
      <c r="A366" t="s">
        <v>588</v>
      </c>
      <c r="B366" t="s">
        <v>631</v>
      </c>
      <c r="C366" t="s">
        <v>590</v>
      </c>
      <c r="D366" t="s">
        <v>591</v>
      </c>
      <c r="E366">
        <v>1.836109</v>
      </c>
    </row>
    <row r="367" spans="1:31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 t="s">
        <v>592</v>
      </c>
      <c r="AB367" t="s">
        <v>509</v>
      </c>
      <c r="AC367">
        <v>4</v>
      </c>
      <c r="AD367" s="31">
        <v>0.35962962962962958</v>
      </c>
      <c r="AE367">
        <v>2023</v>
      </c>
    </row>
    <row r="368" spans="1:31" x14ac:dyDescent="0.2">
      <c r="A368">
        <v>14</v>
      </c>
      <c r="B368" t="s">
        <v>583</v>
      </c>
      <c r="C368">
        <v>1</v>
      </c>
      <c r="D368" t="s">
        <v>604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640</v>
      </c>
      <c r="N368">
        <v>0</v>
      </c>
      <c r="O368">
        <v>0</v>
      </c>
      <c r="P368">
        <v>0</v>
      </c>
      <c r="Q368">
        <v>0</v>
      </c>
      <c r="R368" t="s">
        <v>586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t="s">
        <v>473</v>
      </c>
    </row>
    <row r="369" spans="1:31" hidden="1" x14ac:dyDescent="0.2">
      <c r="A369" t="s">
        <v>587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 t="s">
        <v>472</v>
      </c>
    </row>
    <row r="370" spans="1:31" hidden="1" x14ac:dyDescent="0.2">
      <c r="A370" t="s">
        <v>588</v>
      </c>
      <c r="B370" t="s">
        <v>606</v>
      </c>
      <c r="C370" t="s">
        <v>590</v>
      </c>
      <c r="D370" t="s">
        <v>591</v>
      </c>
      <c r="E370">
        <v>1.837107</v>
      </c>
    </row>
    <row r="371" spans="1:31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P371">
        <v>1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 t="s">
        <v>592</v>
      </c>
      <c r="AB371" t="s">
        <v>509</v>
      </c>
      <c r="AC371">
        <v>4</v>
      </c>
      <c r="AD371" s="31">
        <v>0.35964120370370373</v>
      </c>
      <c r="AE371">
        <v>2023</v>
      </c>
    </row>
    <row r="372" spans="1:31" hidden="1" x14ac:dyDescent="0.2">
      <c r="A372">
        <v>14</v>
      </c>
      <c r="B372" t="s">
        <v>583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641</v>
      </c>
      <c r="N372">
        <v>0</v>
      </c>
      <c r="O372">
        <v>0</v>
      </c>
      <c r="P372">
        <v>0</v>
      </c>
      <c r="Q372">
        <v>0</v>
      </c>
      <c r="R372" t="s">
        <v>586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 t="s">
        <v>473</v>
      </c>
    </row>
    <row r="373" spans="1:31" hidden="1" x14ac:dyDescent="0.2">
      <c r="A373" t="s">
        <v>587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t="s">
        <v>472</v>
      </c>
    </row>
    <row r="374" spans="1:31" hidden="1" x14ac:dyDescent="0.2">
      <c r="A374" t="s">
        <v>588</v>
      </c>
      <c r="B374" t="s">
        <v>601</v>
      </c>
      <c r="C374" t="s">
        <v>590</v>
      </c>
      <c r="D374" t="s">
        <v>591</v>
      </c>
      <c r="E374">
        <v>1.8371839999999999</v>
      </c>
    </row>
    <row r="375" spans="1:31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592</v>
      </c>
      <c r="AB375" t="s">
        <v>509</v>
      </c>
      <c r="AC375">
        <v>4</v>
      </c>
      <c r="AD375" s="31">
        <v>0.35965277777777777</v>
      </c>
      <c r="AE375">
        <v>2023</v>
      </c>
    </row>
    <row r="376" spans="1:31" x14ac:dyDescent="0.2">
      <c r="A376">
        <v>13</v>
      </c>
      <c r="B376" t="s">
        <v>583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642</v>
      </c>
      <c r="N376">
        <v>0</v>
      </c>
      <c r="O376">
        <v>0</v>
      </c>
      <c r="P376">
        <v>0</v>
      </c>
      <c r="Q376">
        <v>0</v>
      </c>
      <c r="R376" t="s">
        <v>586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 t="s">
        <v>473</v>
      </c>
    </row>
    <row r="377" spans="1:31" hidden="1" x14ac:dyDescent="0.2">
      <c r="A377" t="s">
        <v>587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 t="s">
        <v>472</v>
      </c>
    </row>
    <row r="378" spans="1:31" hidden="1" x14ac:dyDescent="0.2">
      <c r="A378" t="s">
        <v>588</v>
      </c>
      <c r="B378" t="s">
        <v>601</v>
      </c>
      <c r="C378" t="s">
        <v>590</v>
      </c>
      <c r="D378" t="s">
        <v>591</v>
      </c>
      <c r="E378">
        <v>1.8371839999999999</v>
      </c>
    </row>
    <row r="379" spans="1:31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 t="s">
        <v>592</v>
      </c>
      <c r="AB379" t="s">
        <v>509</v>
      </c>
      <c r="AC379">
        <v>4</v>
      </c>
      <c r="AD379" s="31">
        <v>0.35966435185185186</v>
      </c>
      <c r="AE379">
        <v>2023</v>
      </c>
    </row>
    <row r="380" spans="1:31" hidden="1" x14ac:dyDescent="0.2">
      <c r="A380">
        <v>13</v>
      </c>
      <c r="B380" t="s">
        <v>583</v>
      </c>
      <c r="C380">
        <v>0</v>
      </c>
      <c r="D380" t="s">
        <v>595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643</v>
      </c>
      <c r="N380">
        <v>0</v>
      </c>
      <c r="O380">
        <v>0</v>
      </c>
      <c r="P380">
        <v>0</v>
      </c>
      <c r="Q380">
        <v>0</v>
      </c>
      <c r="R380" t="s">
        <v>586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t="s">
        <v>473</v>
      </c>
    </row>
    <row r="381" spans="1:31" hidden="1" x14ac:dyDescent="0.2">
      <c r="A381" t="s">
        <v>587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t="s">
        <v>472</v>
      </c>
    </row>
    <row r="382" spans="1:31" hidden="1" x14ac:dyDescent="0.2">
      <c r="A382" t="s">
        <v>588</v>
      </c>
      <c r="B382" t="s">
        <v>597</v>
      </c>
      <c r="C382" t="s">
        <v>590</v>
      </c>
      <c r="D382" t="s">
        <v>591</v>
      </c>
      <c r="E382">
        <v>1.836185</v>
      </c>
    </row>
    <row r="383" spans="1:31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592</v>
      </c>
      <c r="AB383" t="s">
        <v>509</v>
      </c>
      <c r="AC383">
        <v>4</v>
      </c>
      <c r="AD383" s="31">
        <v>0.3596759259259259</v>
      </c>
      <c r="AE383">
        <v>2023</v>
      </c>
    </row>
    <row r="384" spans="1:31" hidden="1" x14ac:dyDescent="0.2">
      <c r="A384" t="s">
        <v>587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t="s">
        <v>472</v>
      </c>
    </row>
    <row r="385" spans="1:31" x14ac:dyDescent="0.2">
      <c r="A385">
        <v>14</v>
      </c>
      <c r="B385" t="s">
        <v>583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644</v>
      </c>
      <c r="N385">
        <v>0</v>
      </c>
      <c r="O385">
        <v>0</v>
      </c>
      <c r="P385">
        <v>0</v>
      </c>
      <c r="Q385">
        <v>0</v>
      </c>
      <c r="R385" t="s">
        <v>627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 t="s">
        <v>473</v>
      </c>
    </row>
    <row r="386" spans="1:31" hidden="1" x14ac:dyDescent="0.2">
      <c r="A386" t="s">
        <v>588</v>
      </c>
      <c r="B386" t="s">
        <v>645</v>
      </c>
      <c r="C386" t="s">
        <v>590</v>
      </c>
      <c r="D386" t="s">
        <v>591</v>
      </c>
      <c r="E386">
        <v>1.8357250000000001</v>
      </c>
    </row>
    <row r="387" spans="1:31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P387">
        <v>1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592</v>
      </c>
      <c r="AB387" t="s">
        <v>509</v>
      </c>
      <c r="AC387">
        <v>4</v>
      </c>
      <c r="AD387" s="31">
        <v>0.35968749999999999</v>
      </c>
      <c r="AE387">
        <v>2023</v>
      </c>
    </row>
    <row r="388" spans="1:31" hidden="1" x14ac:dyDescent="0.2">
      <c r="A388" t="s">
        <v>587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t="s">
        <v>472</v>
      </c>
    </row>
    <row r="389" spans="1:31" hidden="1" x14ac:dyDescent="0.2">
      <c r="A389">
        <v>14</v>
      </c>
      <c r="B389" t="s">
        <v>583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646</v>
      </c>
      <c r="N389">
        <v>0</v>
      </c>
      <c r="O389">
        <v>0</v>
      </c>
      <c r="P389">
        <v>0</v>
      </c>
      <c r="Q389">
        <v>0</v>
      </c>
      <c r="R389" t="s">
        <v>627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t="s">
        <v>473</v>
      </c>
    </row>
    <row r="390" spans="1:31" hidden="1" x14ac:dyDescent="0.2">
      <c r="A390" t="s">
        <v>588</v>
      </c>
      <c r="B390" t="s">
        <v>601</v>
      </c>
      <c r="C390" t="s">
        <v>590</v>
      </c>
      <c r="D390" t="s">
        <v>591</v>
      </c>
      <c r="E390">
        <v>1.835955</v>
      </c>
    </row>
    <row r="391" spans="1:31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592</v>
      </c>
      <c r="AB391" t="s">
        <v>509</v>
      </c>
      <c r="AC391">
        <v>4</v>
      </c>
      <c r="AD391" s="31">
        <v>0.35969907407407403</v>
      </c>
      <c r="AE391">
        <v>2023</v>
      </c>
    </row>
    <row r="392" spans="1:31" hidden="1" x14ac:dyDescent="0.2">
      <c r="A392" t="s">
        <v>587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t="s">
        <v>472</v>
      </c>
    </row>
    <row r="393" spans="1:31" x14ac:dyDescent="0.2">
      <c r="A393">
        <v>14</v>
      </c>
      <c r="B393" t="s">
        <v>583</v>
      </c>
      <c r="C393">
        <v>1</v>
      </c>
      <c r="D393" t="s">
        <v>629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647</v>
      </c>
      <c r="N393">
        <v>0</v>
      </c>
      <c r="O393">
        <v>0</v>
      </c>
      <c r="P393">
        <v>0</v>
      </c>
      <c r="Q393">
        <v>0</v>
      </c>
      <c r="R393" t="s">
        <v>586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 t="s">
        <v>473</v>
      </c>
    </row>
    <row r="394" spans="1:31" hidden="1" x14ac:dyDescent="0.2">
      <c r="A394" t="s">
        <v>588</v>
      </c>
      <c r="B394" t="s">
        <v>631</v>
      </c>
      <c r="C394" t="s">
        <v>590</v>
      </c>
      <c r="D394" t="s">
        <v>591</v>
      </c>
      <c r="E394">
        <v>1.8368770000000001</v>
      </c>
    </row>
    <row r="395" spans="1:31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P395">
        <v>1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s">
        <v>592</v>
      </c>
      <c r="AB395" t="s">
        <v>509</v>
      </c>
      <c r="AC395">
        <v>4</v>
      </c>
      <c r="AD395" s="31">
        <v>0.35971064814814818</v>
      </c>
      <c r="AE395">
        <v>2023</v>
      </c>
    </row>
    <row r="396" spans="1:31" hidden="1" x14ac:dyDescent="0.2">
      <c r="A396" t="s">
        <v>587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t="s">
        <v>472</v>
      </c>
    </row>
    <row r="397" spans="1:31" hidden="1" x14ac:dyDescent="0.2">
      <c r="A397">
        <v>14</v>
      </c>
      <c r="B397" t="s">
        <v>583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648</v>
      </c>
      <c r="N397">
        <v>0</v>
      </c>
      <c r="O397">
        <v>0</v>
      </c>
      <c r="P397">
        <v>0</v>
      </c>
      <c r="Q397">
        <v>0</v>
      </c>
      <c r="R397" t="s">
        <v>627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 t="s">
        <v>473</v>
      </c>
    </row>
    <row r="398" spans="1:31" hidden="1" x14ac:dyDescent="0.2">
      <c r="A398" t="s">
        <v>588</v>
      </c>
      <c r="B398" t="s">
        <v>617</v>
      </c>
      <c r="C398" t="s">
        <v>590</v>
      </c>
      <c r="D398" t="s">
        <v>591</v>
      </c>
      <c r="E398">
        <v>1.8377220000000001</v>
      </c>
    </row>
    <row r="399" spans="1:31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 t="s">
        <v>592</v>
      </c>
      <c r="AB399" t="s">
        <v>509</v>
      </c>
      <c r="AC399">
        <v>4</v>
      </c>
      <c r="AD399" s="31">
        <v>0.35972222222222222</v>
      </c>
      <c r="AE399">
        <v>2023</v>
      </c>
    </row>
    <row r="400" spans="1:31" hidden="1" x14ac:dyDescent="0.2">
      <c r="A400" t="s">
        <v>587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 t="s">
        <v>472</v>
      </c>
    </row>
    <row r="401" spans="1:31" hidden="1" x14ac:dyDescent="0.2">
      <c r="A401" t="s">
        <v>588</v>
      </c>
      <c r="B401" t="s">
        <v>617</v>
      </c>
      <c r="C401" t="s">
        <v>590</v>
      </c>
      <c r="D401" t="s">
        <v>591</v>
      </c>
      <c r="E401">
        <v>1.837415</v>
      </c>
    </row>
    <row r="402" spans="1:31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592</v>
      </c>
      <c r="AB402" t="s">
        <v>509</v>
      </c>
      <c r="AC402">
        <v>4</v>
      </c>
      <c r="AD402" s="31">
        <v>0.35973379629629632</v>
      </c>
      <c r="AE402">
        <v>2023</v>
      </c>
    </row>
    <row r="403" spans="1:31" x14ac:dyDescent="0.2">
      <c r="A403">
        <v>14</v>
      </c>
      <c r="B403" t="s">
        <v>583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649</v>
      </c>
      <c r="N403">
        <v>0</v>
      </c>
      <c r="O403">
        <v>0</v>
      </c>
      <c r="P403">
        <v>0</v>
      </c>
      <c r="Q403">
        <v>0</v>
      </c>
      <c r="R403" t="s">
        <v>627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 t="s">
        <v>473</v>
      </c>
    </row>
    <row r="404" spans="1:31" hidden="1" x14ac:dyDescent="0.2">
      <c r="A404" t="s">
        <v>587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t="s">
        <v>472</v>
      </c>
    </row>
    <row r="405" spans="1:31" hidden="1" x14ac:dyDescent="0.2">
      <c r="A405">
        <v>14</v>
      </c>
      <c r="B405" t="s">
        <v>583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650</v>
      </c>
      <c r="N405">
        <v>0</v>
      </c>
      <c r="O405">
        <v>0</v>
      </c>
      <c r="P405">
        <v>0</v>
      </c>
      <c r="Q405">
        <v>0</v>
      </c>
      <c r="R405" t="s">
        <v>586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 t="s">
        <v>473</v>
      </c>
    </row>
    <row r="406" spans="1:31" hidden="1" x14ac:dyDescent="0.2">
      <c r="A406" t="s">
        <v>588</v>
      </c>
      <c r="B406" t="s">
        <v>635</v>
      </c>
      <c r="C406" t="s">
        <v>590</v>
      </c>
      <c r="D406" t="s">
        <v>591</v>
      </c>
      <c r="E406">
        <v>1.836954</v>
      </c>
    </row>
    <row r="407" spans="1:31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 t="s">
        <v>592</v>
      </c>
      <c r="AB407" t="s">
        <v>509</v>
      </c>
      <c r="AC407">
        <v>4</v>
      </c>
      <c r="AD407" s="31">
        <v>0.35974537037037035</v>
      </c>
      <c r="AE407">
        <v>2023</v>
      </c>
    </row>
    <row r="408" spans="1:31" hidden="1" x14ac:dyDescent="0.2">
      <c r="A408" t="s">
        <v>587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t="s">
        <v>472</v>
      </c>
    </row>
    <row r="409" spans="1:31" hidden="1" x14ac:dyDescent="0.2">
      <c r="A409" t="s">
        <v>588</v>
      </c>
      <c r="B409" t="s">
        <v>635</v>
      </c>
      <c r="C409" t="s">
        <v>590</v>
      </c>
      <c r="D409" t="s">
        <v>591</v>
      </c>
      <c r="E409">
        <v>1.8365689999999999</v>
      </c>
    </row>
    <row r="410" spans="1:31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P410">
        <v>1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 t="s">
        <v>592</v>
      </c>
      <c r="AB410" t="s">
        <v>509</v>
      </c>
      <c r="AC410">
        <v>4</v>
      </c>
      <c r="AD410" s="31">
        <v>0.35975694444444445</v>
      </c>
      <c r="AE410">
        <v>2023</v>
      </c>
    </row>
    <row r="411" spans="1:31" x14ac:dyDescent="0.2">
      <c r="A411">
        <v>14</v>
      </c>
      <c r="B411" t="s">
        <v>583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P411">
        <v>0</v>
      </c>
      <c r="Q411">
        <v>0</v>
      </c>
      <c r="R411" t="s">
        <v>586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t="s">
        <v>473</v>
      </c>
    </row>
    <row r="412" spans="1:31" hidden="1" x14ac:dyDescent="0.2">
      <c r="A412" t="s">
        <v>587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 t="s">
        <v>472</v>
      </c>
    </row>
    <row r="413" spans="1:31" hidden="1" x14ac:dyDescent="0.2">
      <c r="A413" t="s">
        <v>588</v>
      </c>
      <c r="B413" t="s">
        <v>612</v>
      </c>
      <c r="C413" t="s">
        <v>590</v>
      </c>
      <c r="D413" t="s">
        <v>591</v>
      </c>
      <c r="E413">
        <v>1.8365689999999999</v>
      </c>
    </row>
    <row r="414" spans="1:31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592</v>
      </c>
      <c r="AB414" t="s">
        <v>509</v>
      </c>
      <c r="AC414">
        <v>4</v>
      </c>
      <c r="AD414" s="31">
        <v>0.35976851851851849</v>
      </c>
      <c r="AE414">
        <v>2023</v>
      </c>
    </row>
    <row r="415" spans="1:31" hidden="1" x14ac:dyDescent="0.2">
      <c r="A415">
        <v>14</v>
      </c>
      <c r="B415" t="s">
        <v>583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P415">
        <v>0</v>
      </c>
      <c r="Q415">
        <v>0</v>
      </c>
      <c r="R415" t="s">
        <v>586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 t="s">
        <v>473</v>
      </c>
    </row>
    <row r="416" spans="1:31" hidden="1" x14ac:dyDescent="0.2">
      <c r="A416" t="s">
        <v>587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 t="s">
        <v>472</v>
      </c>
    </row>
    <row r="417" spans="1:31" hidden="1" x14ac:dyDescent="0.2">
      <c r="A417" t="s">
        <v>588</v>
      </c>
      <c r="B417" t="s">
        <v>635</v>
      </c>
      <c r="C417" t="s">
        <v>590</v>
      </c>
      <c r="D417" t="s">
        <v>591</v>
      </c>
      <c r="E417">
        <v>1.836646</v>
      </c>
    </row>
    <row r="418" spans="1:31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 t="s">
        <v>592</v>
      </c>
      <c r="AB418" t="s">
        <v>509</v>
      </c>
      <c r="AC418">
        <v>4</v>
      </c>
      <c r="AD418" s="31">
        <v>0.35978009259259264</v>
      </c>
      <c r="AE418">
        <v>2023</v>
      </c>
    </row>
    <row r="419" spans="1:31" x14ac:dyDescent="0.2">
      <c r="A419">
        <v>13</v>
      </c>
      <c r="B419" t="s">
        <v>583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P419">
        <v>0</v>
      </c>
      <c r="Q419">
        <v>0</v>
      </c>
      <c r="R419" t="s">
        <v>627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t="s">
        <v>473</v>
      </c>
    </row>
    <row r="420" spans="1:31" hidden="1" x14ac:dyDescent="0.2">
      <c r="A420" t="s">
        <v>587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t="s">
        <v>472</v>
      </c>
    </row>
    <row r="421" spans="1:31" hidden="1" x14ac:dyDescent="0.2">
      <c r="A421" t="s">
        <v>588</v>
      </c>
      <c r="B421" t="s">
        <v>621</v>
      </c>
      <c r="C421" t="s">
        <v>590</v>
      </c>
      <c r="D421" t="s">
        <v>591</v>
      </c>
      <c r="E421">
        <v>1.8370299999999999</v>
      </c>
    </row>
    <row r="422" spans="1:31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P422">
        <v>1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 t="s">
        <v>592</v>
      </c>
      <c r="AB422" t="s">
        <v>509</v>
      </c>
      <c r="AC422">
        <v>4</v>
      </c>
      <c r="AD422" s="31">
        <v>0.35979166666666668</v>
      </c>
      <c r="AE422">
        <v>2023</v>
      </c>
    </row>
    <row r="423" spans="1:31" hidden="1" x14ac:dyDescent="0.2">
      <c r="A423">
        <v>13</v>
      </c>
      <c r="B423" t="s">
        <v>583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P423">
        <v>0</v>
      </c>
      <c r="Q423">
        <v>0</v>
      </c>
      <c r="R423" t="s">
        <v>586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t="s">
        <v>473</v>
      </c>
    </row>
    <row r="424" spans="1:31" hidden="1" x14ac:dyDescent="0.2">
      <c r="A424" t="s">
        <v>587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t="s">
        <v>472</v>
      </c>
    </row>
    <row r="425" spans="1:31" hidden="1" x14ac:dyDescent="0.2">
      <c r="A425" t="s">
        <v>588</v>
      </c>
      <c r="B425" t="s">
        <v>638</v>
      </c>
      <c r="C425" t="s">
        <v>590</v>
      </c>
      <c r="D425" t="s">
        <v>591</v>
      </c>
      <c r="E425">
        <v>1.8369530000000001</v>
      </c>
    </row>
    <row r="426" spans="1:31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P426">
        <v>1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592</v>
      </c>
      <c r="AB426" t="s">
        <v>509</v>
      </c>
      <c r="AC426">
        <v>4</v>
      </c>
      <c r="AD426" s="31">
        <v>0.35980324074074077</v>
      </c>
      <c r="AE426">
        <v>2023</v>
      </c>
    </row>
    <row r="427" spans="1:31" x14ac:dyDescent="0.2">
      <c r="A427">
        <v>14</v>
      </c>
      <c r="B427" t="s">
        <v>583</v>
      </c>
      <c r="C427">
        <v>1</v>
      </c>
      <c r="D427" t="s">
        <v>651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P427">
        <v>0</v>
      </c>
      <c r="Q427">
        <v>0</v>
      </c>
      <c r="R427" t="s">
        <v>586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t="s">
        <v>473</v>
      </c>
    </row>
    <row r="428" spans="1:31" hidden="1" x14ac:dyDescent="0.2">
      <c r="A428" t="s">
        <v>587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 t="s">
        <v>472</v>
      </c>
    </row>
    <row r="429" spans="1:31" hidden="1" x14ac:dyDescent="0.2">
      <c r="A429" t="s">
        <v>588</v>
      </c>
      <c r="B429" t="s">
        <v>652</v>
      </c>
      <c r="C429" t="s">
        <v>590</v>
      </c>
      <c r="D429" t="s">
        <v>591</v>
      </c>
      <c r="E429">
        <v>1.837337</v>
      </c>
    </row>
    <row r="430" spans="1:31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P430">
        <v>1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 t="s">
        <v>592</v>
      </c>
      <c r="AB430" t="s">
        <v>509</v>
      </c>
      <c r="AC430">
        <v>4</v>
      </c>
      <c r="AD430" s="31">
        <v>0.35981481481481481</v>
      </c>
      <c r="AE430">
        <v>2023</v>
      </c>
    </row>
    <row r="431" spans="1:31" hidden="1" x14ac:dyDescent="0.2">
      <c r="A431">
        <v>14</v>
      </c>
      <c r="B431" t="s">
        <v>583</v>
      </c>
      <c r="C431">
        <v>0</v>
      </c>
      <c r="D431" t="s">
        <v>604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P431">
        <v>0</v>
      </c>
      <c r="Q431">
        <v>0</v>
      </c>
      <c r="R431" t="s">
        <v>627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t="s">
        <v>473</v>
      </c>
    </row>
    <row r="432" spans="1:31" hidden="1" x14ac:dyDescent="0.2">
      <c r="A432" t="s">
        <v>587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t="s">
        <v>472</v>
      </c>
    </row>
    <row r="433" spans="1:31" hidden="1" x14ac:dyDescent="0.2">
      <c r="A433" t="s">
        <v>588</v>
      </c>
      <c r="B433" t="s">
        <v>606</v>
      </c>
      <c r="C433" t="s">
        <v>590</v>
      </c>
      <c r="D433" t="s">
        <v>591</v>
      </c>
      <c r="E433">
        <v>1.8372599999999999</v>
      </c>
    </row>
    <row r="434" spans="1:31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592</v>
      </c>
      <c r="AB434" t="s">
        <v>509</v>
      </c>
      <c r="AC434">
        <v>4</v>
      </c>
      <c r="AD434" s="31">
        <v>0.3598263888888889</v>
      </c>
      <c r="AE434">
        <v>2023</v>
      </c>
    </row>
    <row r="435" spans="1:31" x14ac:dyDescent="0.2">
      <c r="A435">
        <v>13</v>
      </c>
      <c r="B435" t="s">
        <v>583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P435">
        <v>0</v>
      </c>
      <c r="Q435">
        <v>0</v>
      </c>
      <c r="R435" t="s">
        <v>586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473</v>
      </c>
    </row>
    <row r="436" spans="1:31" hidden="1" x14ac:dyDescent="0.2">
      <c r="A436" t="s">
        <v>587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 t="s">
        <v>472</v>
      </c>
    </row>
    <row r="437" spans="1:31" hidden="1" x14ac:dyDescent="0.2">
      <c r="A437" t="s">
        <v>588</v>
      </c>
      <c r="B437" t="s">
        <v>617</v>
      </c>
      <c r="C437" t="s">
        <v>590</v>
      </c>
      <c r="D437" t="s">
        <v>591</v>
      </c>
      <c r="E437">
        <v>1.8378749999999999</v>
      </c>
    </row>
    <row r="438" spans="1:31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P438">
        <v>1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 t="s">
        <v>592</v>
      </c>
      <c r="AB438" t="s">
        <v>509</v>
      </c>
      <c r="AC438">
        <v>4</v>
      </c>
      <c r="AD438" s="31">
        <v>0.35983796296296294</v>
      </c>
      <c r="AE438">
        <v>2023</v>
      </c>
    </row>
    <row r="439" spans="1:31" hidden="1" x14ac:dyDescent="0.2">
      <c r="A439">
        <v>13</v>
      </c>
      <c r="B439" t="s">
        <v>583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P439">
        <v>0</v>
      </c>
      <c r="Q439">
        <v>0</v>
      </c>
      <c r="R439" t="s">
        <v>586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 t="s">
        <v>473</v>
      </c>
    </row>
    <row r="440" spans="1:31" hidden="1" x14ac:dyDescent="0.2">
      <c r="A440" t="s">
        <v>587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t="s">
        <v>472</v>
      </c>
    </row>
    <row r="441" spans="1:31" hidden="1" x14ac:dyDescent="0.2">
      <c r="A441" t="s">
        <v>588</v>
      </c>
      <c r="B441" t="s">
        <v>621</v>
      </c>
      <c r="C441" t="s">
        <v>590</v>
      </c>
      <c r="D441" t="s">
        <v>591</v>
      </c>
      <c r="E441">
        <v>1.838336</v>
      </c>
    </row>
    <row r="442" spans="1:31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P442">
        <v>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 t="s">
        <v>592</v>
      </c>
      <c r="AB442" t="s">
        <v>509</v>
      </c>
      <c r="AC442">
        <v>4</v>
      </c>
      <c r="AD442" s="31">
        <v>0.35984953703703698</v>
      </c>
      <c r="AE442">
        <v>2023</v>
      </c>
    </row>
    <row r="443" spans="1:31" x14ac:dyDescent="0.2">
      <c r="A443">
        <v>14</v>
      </c>
      <c r="B443" t="s">
        <v>583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P443">
        <v>0</v>
      </c>
      <c r="Q443">
        <v>0</v>
      </c>
      <c r="R443" t="s">
        <v>586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 t="s">
        <v>473</v>
      </c>
    </row>
    <row r="444" spans="1:31" hidden="1" x14ac:dyDescent="0.2">
      <c r="A444" t="s">
        <v>587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t="s">
        <v>472</v>
      </c>
    </row>
    <row r="445" spans="1:31" hidden="1" x14ac:dyDescent="0.2">
      <c r="A445" t="s">
        <v>588</v>
      </c>
      <c r="B445" t="s">
        <v>594</v>
      </c>
      <c r="C445" t="s">
        <v>590</v>
      </c>
      <c r="D445" t="s">
        <v>591</v>
      </c>
      <c r="E445">
        <v>1.8384130000000001</v>
      </c>
    </row>
    <row r="446" spans="1:31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P446">
        <v>1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 t="s">
        <v>592</v>
      </c>
      <c r="AB446" t="s">
        <v>509</v>
      </c>
      <c r="AC446">
        <v>4</v>
      </c>
      <c r="AD446" s="31">
        <v>0.35986111111111113</v>
      </c>
      <c r="AE446">
        <v>2023</v>
      </c>
    </row>
    <row r="447" spans="1:31" hidden="1" x14ac:dyDescent="0.2">
      <c r="A447">
        <v>14</v>
      </c>
      <c r="B447" t="s">
        <v>583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P447">
        <v>0</v>
      </c>
      <c r="Q447">
        <v>0</v>
      </c>
      <c r="R447" t="s">
        <v>586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t="s">
        <v>473</v>
      </c>
    </row>
    <row r="448" spans="1:31" hidden="1" x14ac:dyDescent="0.2">
      <c r="A448" t="s">
        <v>587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t="s">
        <v>472</v>
      </c>
    </row>
    <row r="449" spans="1:31" hidden="1" x14ac:dyDescent="0.2">
      <c r="A449" t="s">
        <v>588</v>
      </c>
      <c r="B449" t="s">
        <v>612</v>
      </c>
      <c r="C449" t="s">
        <v>590</v>
      </c>
      <c r="D449" t="s">
        <v>591</v>
      </c>
      <c r="E449">
        <v>1.838106</v>
      </c>
    </row>
    <row r="450" spans="1:31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P450">
        <v>1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592</v>
      </c>
      <c r="AB450" t="s">
        <v>509</v>
      </c>
      <c r="AC450">
        <v>4</v>
      </c>
      <c r="AD450" s="31">
        <v>0.35987268518518517</v>
      </c>
      <c r="AE450">
        <v>2023</v>
      </c>
    </row>
    <row r="451" spans="1:31" x14ac:dyDescent="0.2">
      <c r="A451">
        <v>14</v>
      </c>
      <c r="B451" t="s">
        <v>653</v>
      </c>
      <c r="C451">
        <v>1</v>
      </c>
      <c r="D451" t="s">
        <v>604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654</v>
      </c>
      <c r="N451">
        <v>0</v>
      </c>
      <c r="O451">
        <v>0</v>
      </c>
      <c r="P451">
        <v>0</v>
      </c>
      <c r="Q451">
        <v>0</v>
      </c>
      <c r="R451" t="s">
        <v>586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t="s">
        <v>473</v>
      </c>
    </row>
    <row r="452" spans="1:31" hidden="1" x14ac:dyDescent="0.2">
      <c r="A452" t="s">
        <v>587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 t="s">
        <v>472</v>
      </c>
    </row>
    <row r="453" spans="1:31" hidden="1" x14ac:dyDescent="0.2">
      <c r="A453" t="s">
        <v>588</v>
      </c>
      <c r="B453" t="s">
        <v>606</v>
      </c>
      <c r="C453" t="s">
        <v>590</v>
      </c>
      <c r="D453" t="s">
        <v>591</v>
      </c>
      <c r="E453">
        <v>1.8380289999999999</v>
      </c>
    </row>
    <row r="454" spans="1:31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P454">
        <v>1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 t="s">
        <v>592</v>
      </c>
      <c r="AB454" t="s">
        <v>509</v>
      </c>
      <c r="AC454">
        <v>4</v>
      </c>
      <c r="AD454" s="31">
        <v>0.35988425925925926</v>
      </c>
      <c r="AE454">
        <v>2023</v>
      </c>
    </row>
    <row r="455" spans="1:31" hidden="1" x14ac:dyDescent="0.2">
      <c r="A455">
        <v>14</v>
      </c>
      <c r="B455" t="s">
        <v>653</v>
      </c>
      <c r="C455">
        <v>0</v>
      </c>
      <c r="D455" t="s">
        <v>655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656</v>
      </c>
      <c r="N455">
        <v>0</v>
      </c>
      <c r="O455">
        <v>0</v>
      </c>
      <c r="P455">
        <v>0</v>
      </c>
      <c r="Q455">
        <v>0</v>
      </c>
      <c r="R455" t="s">
        <v>586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t="s">
        <v>473</v>
      </c>
    </row>
    <row r="456" spans="1:31" hidden="1" x14ac:dyDescent="0.2">
      <c r="A456" t="s">
        <v>587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 t="s">
        <v>472</v>
      </c>
    </row>
    <row r="457" spans="1:31" hidden="1" x14ac:dyDescent="0.2">
      <c r="A457" t="s">
        <v>588</v>
      </c>
      <c r="B457" t="s">
        <v>657</v>
      </c>
      <c r="C457" t="s">
        <v>590</v>
      </c>
      <c r="D457" t="s">
        <v>591</v>
      </c>
      <c r="E457">
        <v>1.838336</v>
      </c>
    </row>
    <row r="458" spans="1:31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P458">
        <v>1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 t="s">
        <v>592</v>
      </c>
      <c r="AB458" t="s">
        <v>509</v>
      </c>
      <c r="AC458">
        <v>4</v>
      </c>
      <c r="AD458" s="31">
        <v>0.3598958333333333</v>
      </c>
      <c r="AE458">
        <v>2023</v>
      </c>
    </row>
    <row r="459" spans="1:31" x14ac:dyDescent="0.2">
      <c r="A459">
        <v>14</v>
      </c>
      <c r="B459" t="s">
        <v>633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658</v>
      </c>
      <c r="N459">
        <v>0</v>
      </c>
      <c r="O459">
        <v>0</v>
      </c>
      <c r="P459">
        <v>0</v>
      </c>
      <c r="Q459">
        <v>0</v>
      </c>
      <c r="R459" t="s">
        <v>586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 t="s">
        <v>473</v>
      </c>
    </row>
    <row r="460" spans="1:31" hidden="1" x14ac:dyDescent="0.2">
      <c r="A460" t="s">
        <v>587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 t="s">
        <v>472</v>
      </c>
    </row>
    <row r="461" spans="1:31" hidden="1" x14ac:dyDescent="0.2">
      <c r="A461" t="s">
        <v>588</v>
      </c>
      <c r="B461" t="s">
        <v>601</v>
      </c>
      <c r="C461" t="s">
        <v>590</v>
      </c>
      <c r="D461" t="s">
        <v>591</v>
      </c>
      <c r="E461">
        <v>1.8380289999999999</v>
      </c>
    </row>
    <row r="462" spans="1:31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P462">
        <v>1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592</v>
      </c>
      <c r="AB462" t="s">
        <v>509</v>
      </c>
      <c r="AC462">
        <v>4</v>
      </c>
      <c r="AD462" s="31">
        <v>0.3599074074074074</v>
      </c>
      <c r="AE462">
        <v>2023</v>
      </c>
    </row>
    <row r="463" spans="1:31" hidden="1" x14ac:dyDescent="0.2">
      <c r="A463">
        <v>14</v>
      </c>
      <c r="B463" t="s">
        <v>633</v>
      </c>
      <c r="C463">
        <v>0</v>
      </c>
      <c r="D463" t="s">
        <v>604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659</v>
      </c>
      <c r="N463">
        <v>0</v>
      </c>
      <c r="O463">
        <v>0</v>
      </c>
      <c r="P463">
        <v>0</v>
      </c>
      <c r="Q463">
        <v>0</v>
      </c>
      <c r="R463" t="s">
        <v>586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 t="s">
        <v>473</v>
      </c>
    </row>
    <row r="464" spans="1:31" hidden="1" x14ac:dyDescent="0.2">
      <c r="A464" t="s">
        <v>587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 t="s">
        <v>472</v>
      </c>
    </row>
    <row r="465" spans="1:31" hidden="1" x14ac:dyDescent="0.2">
      <c r="A465" t="s">
        <v>588</v>
      </c>
      <c r="B465" t="s">
        <v>606</v>
      </c>
      <c r="C465" t="s">
        <v>590</v>
      </c>
      <c r="D465" t="s">
        <v>591</v>
      </c>
      <c r="E465">
        <v>1.838797</v>
      </c>
    </row>
    <row r="466" spans="1:31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P466">
        <v>1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 t="s">
        <v>592</v>
      </c>
      <c r="AB466" t="s">
        <v>509</v>
      </c>
      <c r="AC466">
        <v>4</v>
      </c>
      <c r="AD466" s="31">
        <v>0.35991898148148144</v>
      </c>
      <c r="AE466">
        <v>2023</v>
      </c>
    </row>
    <row r="467" spans="1:31" x14ac:dyDescent="0.2">
      <c r="A467">
        <v>14</v>
      </c>
      <c r="B467" t="s">
        <v>583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660</v>
      </c>
      <c r="N467">
        <v>0</v>
      </c>
      <c r="O467">
        <v>0</v>
      </c>
      <c r="P467">
        <v>0</v>
      </c>
      <c r="Q467">
        <v>0</v>
      </c>
      <c r="R467" t="s">
        <v>586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t="s">
        <v>473</v>
      </c>
    </row>
    <row r="468" spans="1:31" hidden="1" x14ac:dyDescent="0.2">
      <c r="A468" t="s">
        <v>587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 t="s">
        <v>472</v>
      </c>
    </row>
    <row r="469" spans="1:31" hidden="1" x14ac:dyDescent="0.2">
      <c r="A469" t="s">
        <v>588</v>
      </c>
      <c r="B469" t="s">
        <v>645</v>
      </c>
      <c r="C469" t="s">
        <v>590</v>
      </c>
      <c r="D469" t="s">
        <v>591</v>
      </c>
      <c r="E469">
        <v>1.8389500000000001</v>
      </c>
    </row>
    <row r="470" spans="1:31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P470">
        <v>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 t="s">
        <v>592</v>
      </c>
      <c r="AB470" t="s">
        <v>509</v>
      </c>
      <c r="AC470">
        <v>4</v>
      </c>
      <c r="AD470" s="31">
        <v>0.35993055555555559</v>
      </c>
      <c r="AE470">
        <v>2023</v>
      </c>
    </row>
    <row r="471" spans="1:31" hidden="1" x14ac:dyDescent="0.2">
      <c r="A471">
        <v>14</v>
      </c>
      <c r="B471" t="s">
        <v>583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661</v>
      </c>
      <c r="N471">
        <v>0</v>
      </c>
      <c r="O471">
        <v>0</v>
      </c>
      <c r="P471">
        <v>0</v>
      </c>
      <c r="Q471">
        <v>0</v>
      </c>
      <c r="R471" t="s">
        <v>627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t="s">
        <v>473</v>
      </c>
    </row>
    <row r="472" spans="1:31" hidden="1" x14ac:dyDescent="0.2">
      <c r="A472" t="s">
        <v>587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 t="s">
        <v>472</v>
      </c>
    </row>
    <row r="473" spans="1:31" hidden="1" x14ac:dyDescent="0.2">
      <c r="A473" t="s">
        <v>588</v>
      </c>
      <c r="B473" t="s">
        <v>635</v>
      </c>
      <c r="C473" t="s">
        <v>590</v>
      </c>
      <c r="D473" t="s">
        <v>591</v>
      </c>
      <c r="E473">
        <v>1.8394109999999999</v>
      </c>
    </row>
    <row r="474" spans="1:31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P474">
        <v>1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 t="s">
        <v>592</v>
      </c>
      <c r="AB474" t="s">
        <v>509</v>
      </c>
      <c r="AC474">
        <v>4</v>
      </c>
      <c r="AD474" s="31">
        <v>0.35994212962962963</v>
      </c>
      <c r="AE474">
        <v>2023</v>
      </c>
    </row>
    <row r="475" spans="1:31" x14ac:dyDescent="0.2">
      <c r="A475">
        <v>13</v>
      </c>
      <c r="B475" t="s">
        <v>583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662</v>
      </c>
      <c r="N475">
        <v>0</v>
      </c>
      <c r="O475">
        <v>0</v>
      </c>
      <c r="P475">
        <v>0</v>
      </c>
      <c r="Q475">
        <v>0</v>
      </c>
      <c r="R475" t="s">
        <v>627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 t="s">
        <v>473</v>
      </c>
    </row>
    <row r="476" spans="1:31" hidden="1" x14ac:dyDescent="0.2">
      <c r="A476" t="s">
        <v>587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 t="s">
        <v>472</v>
      </c>
    </row>
    <row r="477" spans="1:31" hidden="1" x14ac:dyDescent="0.2">
      <c r="A477" t="s">
        <v>588</v>
      </c>
      <c r="B477" t="s">
        <v>599</v>
      </c>
      <c r="C477" t="s">
        <v>590</v>
      </c>
      <c r="D477" t="s">
        <v>591</v>
      </c>
      <c r="E477">
        <v>1.8387199999999999</v>
      </c>
    </row>
    <row r="478" spans="1:31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P478">
        <v>1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592</v>
      </c>
      <c r="AB478" t="s">
        <v>509</v>
      </c>
      <c r="AC478">
        <v>4</v>
      </c>
      <c r="AD478" s="31">
        <v>0.35995370370370372</v>
      </c>
      <c r="AE478">
        <v>2023</v>
      </c>
    </row>
    <row r="479" spans="1:31" hidden="1" x14ac:dyDescent="0.2">
      <c r="A479">
        <v>13</v>
      </c>
      <c r="B479" t="s">
        <v>583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663</v>
      </c>
      <c r="N479">
        <v>0</v>
      </c>
      <c r="O479">
        <v>0</v>
      </c>
      <c r="P479">
        <v>0</v>
      </c>
      <c r="Q479">
        <v>0</v>
      </c>
      <c r="R479" t="s">
        <v>627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 t="s">
        <v>473</v>
      </c>
    </row>
    <row r="480" spans="1:31" hidden="1" x14ac:dyDescent="0.2">
      <c r="A480" t="s">
        <v>587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 t="s">
        <v>472</v>
      </c>
    </row>
    <row r="481" spans="1:31" hidden="1" x14ac:dyDescent="0.2">
      <c r="A481" t="s">
        <v>588</v>
      </c>
      <c r="B481" t="s">
        <v>645</v>
      </c>
      <c r="C481" t="s">
        <v>590</v>
      </c>
      <c r="D481" t="s">
        <v>591</v>
      </c>
      <c r="E481">
        <v>1.8382590000000001</v>
      </c>
    </row>
    <row r="482" spans="1:31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P482">
        <v>1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592</v>
      </c>
      <c r="AB482" t="s">
        <v>509</v>
      </c>
      <c r="AC482">
        <v>4</v>
      </c>
      <c r="AD482" s="31">
        <v>0.35996527777777776</v>
      </c>
      <c r="AE482">
        <v>2023</v>
      </c>
    </row>
    <row r="483" spans="1:31" x14ac:dyDescent="0.2">
      <c r="A483">
        <v>14</v>
      </c>
      <c r="B483" t="s">
        <v>633</v>
      </c>
      <c r="C483">
        <v>1</v>
      </c>
      <c r="D483" t="s">
        <v>607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664</v>
      </c>
      <c r="N483">
        <v>0</v>
      </c>
      <c r="O483">
        <v>0</v>
      </c>
      <c r="P483">
        <v>0</v>
      </c>
      <c r="Q483">
        <v>0</v>
      </c>
      <c r="R483" t="s">
        <v>627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t="s">
        <v>473</v>
      </c>
    </row>
    <row r="484" spans="1:31" hidden="1" x14ac:dyDescent="0.2">
      <c r="A484" t="s">
        <v>587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 t="s">
        <v>472</v>
      </c>
    </row>
    <row r="485" spans="1:31" hidden="1" x14ac:dyDescent="0.2">
      <c r="A485" t="s">
        <v>588</v>
      </c>
      <c r="B485" t="s">
        <v>609</v>
      </c>
      <c r="C485" t="s">
        <v>590</v>
      </c>
      <c r="D485" t="s">
        <v>591</v>
      </c>
      <c r="E485">
        <v>1.8381050000000001</v>
      </c>
    </row>
    <row r="486" spans="1:31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 t="s">
        <v>592</v>
      </c>
      <c r="AB486" t="s">
        <v>509</v>
      </c>
      <c r="AC486">
        <v>4</v>
      </c>
      <c r="AD486" s="31">
        <v>0.35997685185185185</v>
      </c>
      <c r="AE486">
        <v>2023</v>
      </c>
    </row>
    <row r="487" spans="1:31" hidden="1" x14ac:dyDescent="0.2">
      <c r="A487">
        <v>14</v>
      </c>
      <c r="B487" t="s">
        <v>633</v>
      </c>
      <c r="C487">
        <v>0</v>
      </c>
      <c r="D487" t="s">
        <v>584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665</v>
      </c>
      <c r="N487">
        <v>0</v>
      </c>
      <c r="O487">
        <v>0</v>
      </c>
      <c r="P487">
        <v>0</v>
      </c>
      <c r="Q487">
        <v>0</v>
      </c>
      <c r="R487" t="s">
        <v>627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 t="s">
        <v>473</v>
      </c>
    </row>
    <row r="488" spans="1:31" hidden="1" x14ac:dyDescent="0.2">
      <c r="A488" t="s">
        <v>587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 t="s">
        <v>472</v>
      </c>
    </row>
    <row r="489" spans="1:31" hidden="1" x14ac:dyDescent="0.2">
      <c r="A489" t="s">
        <v>588</v>
      </c>
      <c r="B489" t="s">
        <v>589</v>
      </c>
      <c r="C489" t="s">
        <v>590</v>
      </c>
      <c r="D489" t="s">
        <v>591</v>
      </c>
      <c r="E489">
        <v>1.838643</v>
      </c>
    </row>
    <row r="490" spans="1:31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P490">
        <v>1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592</v>
      </c>
      <c r="AB490" t="s">
        <v>509</v>
      </c>
      <c r="AC490">
        <v>4</v>
      </c>
      <c r="AD490" s="31">
        <v>0.35998842592592589</v>
      </c>
      <c r="AE490">
        <v>2023</v>
      </c>
    </row>
    <row r="491" spans="1:31" x14ac:dyDescent="0.2">
      <c r="A491">
        <v>14</v>
      </c>
      <c r="B491" t="s">
        <v>583</v>
      </c>
      <c r="C491">
        <v>1</v>
      </c>
      <c r="D491" t="s">
        <v>584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666</v>
      </c>
      <c r="N491">
        <v>0</v>
      </c>
      <c r="O491">
        <v>0</v>
      </c>
      <c r="P491">
        <v>0</v>
      </c>
      <c r="Q491">
        <v>0</v>
      </c>
      <c r="R491" t="s">
        <v>627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473</v>
      </c>
    </row>
    <row r="492" spans="1:31" hidden="1" x14ac:dyDescent="0.2">
      <c r="A492" t="s">
        <v>587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 t="s">
        <v>472</v>
      </c>
    </row>
    <row r="493" spans="1:31" hidden="1" x14ac:dyDescent="0.2">
      <c r="A493" t="s">
        <v>588</v>
      </c>
      <c r="B493" t="s">
        <v>589</v>
      </c>
      <c r="C493" t="s">
        <v>590</v>
      </c>
      <c r="D493" t="s">
        <v>591</v>
      </c>
      <c r="E493">
        <v>1.839181</v>
      </c>
    </row>
    <row r="494" spans="1:31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592</v>
      </c>
      <c r="AB494" t="s">
        <v>509</v>
      </c>
      <c r="AC494">
        <v>4</v>
      </c>
      <c r="AD494" s="31">
        <v>0.36000000000000004</v>
      </c>
      <c r="AE494">
        <v>2023</v>
      </c>
    </row>
    <row r="495" spans="1:31" hidden="1" x14ac:dyDescent="0.2">
      <c r="A495">
        <v>14</v>
      </c>
      <c r="B495" t="s">
        <v>583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667</v>
      </c>
      <c r="N495">
        <v>0</v>
      </c>
      <c r="O495">
        <v>0</v>
      </c>
      <c r="P495">
        <v>0</v>
      </c>
      <c r="Q495">
        <v>0</v>
      </c>
      <c r="R495" t="s">
        <v>627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 t="s">
        <v>473</v>
      </c>
    </row>
    <row r="496" spans="1:31" hidden="1" x14ac:dyDescent="0.2">
      <c r="A496" t="s">
        <v>587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 t="s">
        <v>472</v>
      </c>
    </row>
    <row r="497" spans="1:31" hidden="1" x14ac:dyDescent="0.2">
      <c r="A497" t="s">
        <v>588</v>
      </c>
      <c r="B497" t="s">
        <v>601</v>
      </c>
      <c r="C497" t="s">
        <v>590</v>
      </c>
      <c r="D497" t="s">
        <v>591</v>
      </c>
      <c r="E497">
        <v>1.8397950000000001</v>
      </c>
    </row>
    <row r="498" spans="1:31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P498">
        <v>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 t="s">
        <v>592</v>
      </c>
      <c r="AB498" t="s">
        <v>509</v>
      </c>
      <c r="AC498">
        <v>4</v>
      </c>
      <c r="AD498" s="31">
        <v>0.36001157407407408</v>
      </c>
      <c r="AE498">
        <v>2023</v>
      </c>
    </row>
    <row r="499" spans="1:31" x14ac:dyDescent="0.2">
      <c r="A499">
        <v>14</v>
      </c>
      <c r="B499" t="s">
        <v>583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668</v>
      </c>
      <c r="N499">
        <v>0</v>
      </c>
      <c r="O499">
        <v>0</v>
      </c>
      <c r="P499">
        <v>0</v>
      </c>
      <c r="Q499">
        <v>0</v>
      </c>
      <c r="R499" t="s">
        <v>627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 t="s">
        <v>473</v>
      </c>
    </row>
    <row r="500" spans="1:31" hidden="1" x14ac:dyDescent="0.2">
      <c r="A500" t="s">
        <v>587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 t="s">
        <v>472</v>
      </c>
    </row>
    <row r="501" spans="1:31" hidden="1" x14ac:dyDescent="0.2">
      <c r="A501" t="s">
        <v>588</v>
      </c>
      <c r="B501" t="s">
        <v>638</v>
      </c>
      <c r="C501" t="s">
        <v>590</v>
      </c>
      <c r="D501" t="s">
        <v>591</v>
      </c>
      <c r="E501">
        <v>1.840025</v>
      </c>
    </row>
    <row r="502" spans="1:31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P502">
        <v>1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592</v>
      </c>
      <c r="AB502" t="s">
        <v>509</v>
      </c>
      <c r="AC502">
        <v>4</v>
      </c>
      <c r="AD502" s="31">
        <v>0.36002314814814818</v>
      </c>
      <c r="AE502">
        <v>2023</v>
      </c>
    </row>
    <row r="503" spans="1:31" hidden="1" x14ac:dyDescent="0.2">
      <c r="A503">
        <v>14</v>
      </c>
      <c r="B503" t="s">
        <v>583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669</v>
      </c>
      <c r="N503">
        <v>0</v>
      </c>
      <c r="O503">
        <v>0</v>
      </c>
      <c r="P503">
        <v>0</v>
      </c>
      <c r="Q503">
        <v>0</v>
      </c>
      <c r="R503" t="s">
        <v>627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 t="s">
        <v>473</v>
      </c>
    </row>
    <row r="504" spans="1:31" hidden="1" x14ac:dyDescent="0.2">
      <c r="A504" t="s">
        <v>587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 t="s">
        <v>472</v>
      </c>
    </row>
    <row r="505" spans="1:31" hidden="1" x14ac:dyDescent="0.2">
      <c r="A505" t="s">
        <v>588</v>
      </c>
      <c r="B505" t="s">
        <v>635</v>
      </c>
      <c r="C505" t="s">
        <v>590</v>
      </c>
      <c r="D505" t="s">
        <v>591</v>
      </c>
      <c r="E505">
        <v>1.8392569999999999</v>
      </c>
    </row>
    <row r="506" spans="1:31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P506">
        <v>1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 t="s">
        <v>592</v>
      </c>
      <c r="AB506" t="s">
        <v>509</v>
      </c>
      <c r="AC506">
        <v>4</v>
      </c>
      <c r="AD506" s="31">
        <v>0.36003472222222221</v>
      </c>
      <c r="AE506">
        <v>2023</v>
      </c>
    </row>
    <row r="507" spans="1:31" x14ac:dyDescent="0.2">
      <c r="A507">
        <v>14</v>
      </c>
      <c r="B507" t="s">
        <v>583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670</v>
      </c>
      <c r="N507">
        <v>0</v>
      </c>
      <c r="O507">
        <v>0</v>
      </c>
      <c r="P507">
        <v>0</v>
      </c>
      <c r="Q507">
        <v>0</v>
      </c>
      <c r="R507" t="s">
        <v>627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 t="s">
        <v>473</v>
      </c>
    </row>
    <row r="508" spans="1:31" hidden="1" x14ac:dyDescent="0.2">
      <c r="A508" t="s">
        <v>587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 t="s">
        <v>472</v>
      </c>
    </row>
    <row r="509" spans="1:31" hidden="1" x14ac:dyDescent="0.2">
      <c r="A509" t="s">
        <v>588</v>
      </c>
      <c r="B509" t="s">
        <v>612</v>
      </c>
      <c r="C509" t="s">
        <v>590</v>
      </c>
      <c r="D509" t="s">
        <v>591</v>
      </c>
      <c r="E509">
        <v>1.8389500000000001</v>
      </c>
    </row>
    <row r="510" spans="1:31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P510">
        <v>1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592</v>
      </c>
      <c r="AB510" t="s">
        <v>509</v>
      </c>
      <c r="AC510">
        <v>4</v>
      </c>
      <c r="AD510" s="31">
        <v>0.36004629629629631</v>
      </c>
      <c r="AE510">
        <v>2023</v>
      </c>
    </row>
    <row r="511" spans="1:31" hidden="1" x14ac:dyDescent="0.2">
      <c r="A511">
        <v>14</v>
      </c>
      <c r="B511" t="s">
        <v>583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671</v>
      </c>
      <c r="N511">
        <v>0</v>
      </c>
      <c r="O511">
        <v>0</v>
      </c>
      <c r="P511">
        <v>0</v>
      </c>
      <c r="Q511">
        <v>0</v>
      </c>
      <c r="R511" t="s">
        <v>627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 t="s">
        <v>473</v>
      </c>
    </row>
    <row r="512" spans="1:31" hidden="1" x14ac:dyDescent="0.2">
      <c r="A512" t="s">
        <v>587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 t="s">
        <v>472</v>
      </c>
    </row>
    <row r="513" spans="1:31" hidden="1" x14ac:dyDescent="0.2">
      <c r="A513" t="s">
        <v>588</v>
      </c>
      <c r="B513" t="s">
        <v>638</v>
      </c>
      <c r="C513" t="s">
        <v>590</v>
      </c>
      <c r="D513" t="s">
        <v>591</v>
      </c>
      <c r="E513">
        <v>1.839334</v>
      </c>
    </row>
    <row r="514" spans="1:31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P514">
        <v>1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592</v>
      </c>
      <c r="AB514" t="s">
        <v>509</v>
      </c>
      <c r="AC514">
        <v>4</v>
      </c>
      <c r="AD514" s="31">
        <v>0.36005787037037035</v>
      </c>
      <c r="AE514">
        <v>2023</v>
      </c>
    </row>
    <row r="515" spans="1:31" x14ac:dyDescent="0.2">
      <c r="A515">
        <v>13</v>
      </c>
      <c r="B515" t="s">
        <v>583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672</v>
      </c>
      <c r="N515">
        <v>0</v>
      </c>
      <c r="O515">
        <v>0</v>
      </c>
      <c r="P515">
        <v>0</v>
      </c>
      <c r="Q515">
        <v>0</v>
      </c>
      <c r="R515" t="s">
        <v>627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473</v>
      </c>
    </row>
    <row r="516" spans="1:31" hidden="1" x14ac:dyDescent="0.2">
      <c r="A516" t="s">
        <v>587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 t="s">
        <v>472</v>
      </c>
    </row>
    <row r="517" spans="1:31" hidden="1" x14ac:dyDescent="0.2">
      <c r="A517" t="s">
        <v>588</v>
      </c>
      <c r="B517" t="s">
        <v>601</v>
      </c>
      <c r="C517" t="s">
        <v>590</v>
      </c>
      <c r="D517" t="s">
        <v>591</v>
      </c>
      <c r="E517">
        <v>1.8396410000000001</v>
      </c>
    </row>
    <row r="518" spans="1:31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P518">
        <v>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 t="s">
        <v>592</v>
      </c>
      <c r="AB518" t="s">
        <v>509</v>
      </c>
      <c r="AC518">
        <v>4</v>
      </c>
      <c r="AD518" s="31">
        <v>0.3600694444444445</v>
      </c>
      <c r="AE518">
        <v>2023</v>
      </c>
    </row>
    <row r="519" spans="1:31" hidden="1" x14ac:dyDescent="0.2">
      <c r="A519">
        <v>13</v>
      </c>
      <c r="B519" t="s">
        <v>583</v>
      </c>
      <c r="C519">
        <v>0</v>
      </c>
      <c r="D519" t="s">
        <v>655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673</v>
      </c>
      <c r="N519">
        <v>0</v>
      </c>
      <c r="O519">
        <v>0</v>
      </c>
      <c r="P519">
        <v>0</v>
      </c>
      <c r="Q519">
        <v>0</v>
      </c>
      <c r="R519" t="s">
        <v>586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 t="s">
        <v>473</v>
      </c>
    </row>
    <row r="520" spans="1:31" hidden="1" x14ac:dyDescent="0.2">
      <c r="A520" t="s">
        <v>587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 t="s">
        <v>472</v>
      </c>
    </row>
    <row r="521" spans="1:31" hidden="1" x14ac:dyDescent="0.2">
      <c r="A521" t="s">
        <v>588</v>
      </c>
      <c r="B521" t="s">
        <v>657</v>
      </c>
      <c r="C521" t="s">
        <v>590</v>
      </c>
      <c r="D521" t="s">
        <v>591</v>
      </c>
      <c r="E521">
        <v>1.840179</v>
      </c>
    </row>
    <row r="522" spans="1:31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P522">
        <v>1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592</v>
      </c>
      <c r="AB522" t="s">
        <v>509</v>
      </c>
      <c r="AC522">
        <v>4</v>
      </c>
      <c r="AD522" s="31">
        <v>0.36008101851851854</v>
      </c>
      <c r="AE522">
        <v>2023</v>
      </c>
    </row>
    <row r="523" spans="1:31" x14ac:dyDescent="0.2">
      <c r="A523">
        <v>14</v>
      </c>
      <c r="B523" t="s">
        <v>583</v>
      </c>
      <c r="C523">
        <v>1</v>
      </c>
      <c r="D523" t="s">
        <v>604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674</v>
      </c>
      <c r="N523">
        <v>0</v>
      </c>
      <c r="O523">
        <v>0</v>
      </c>
      <c r="P523">
        <v>0</v>
      </c>
      <c r="Q523">
        <v>0</v>
      </c>
      <c r="R523" t="s">
        <v>627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 t="s">
        <v>473</v>
      </c>
    </row>
    <row r="524" spans="1:31" hidden="1" x14ac:dyDescent="0.2">
      <c r="A524" t="s">
        <v>587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 t="s">
        <v>472</v>
      </c>
    </row>
    <row r="525" spans="1:31" hidden="1" x14ac:dyDescent="0.2">
      <c r="A525" t="s">
        <v>588</v>
      </c>
      <c r="B525" t="s">
        <v>606</v>
      </c>
      <c r="C525" t="s">
        <v>590</v>
      </c>
      <c r="D525" t="s">
        <v>591</v>
      </c>
      <c r="E525">
        <v>1.8400259999999999</v>
      </c>
    </row>
    <row r="526" spans="1:31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P526">
        <v>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592</v>
      </c>
      <c r="AB526" t="s">
        <v>509</v>
      </c>
      <c r="AC526">
        <v>4</v>
      </c>
      <c r="AD526" s="31">
        <v>0.36009259259259258</v>
      </c>
      <c r="AE526">
        <v>2023</v>
      </c>
    </row>
    <row r="527" spans="1:31" hidden="1" x14ac:dyDescent="0.2">
      <c r="A527">
        <v>14</v>
      </c>
      <c r="B527" t="s">
        <v>583</v>
      </c>
      <c r="C527">
        <v>0</v>
      </c>
      <c r="D527" t="s">
        <v>607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675</v>
      </c>
      <c r="N527">
        <v>0</v>
      </c>
      <c r="O527">
        <v>0</v>
      </c>
      <c r="P527">
        <v>0</v>
      </c>
      <c r="Q527">
        <v>0</v>
      </c>
      <c r="R527" t="s">
        <v>627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 t="s">
        <v>473</v>
      </c>
    </row>
    <row r="528" spans="1:31" hidden="1" x14ac:dyDescent="0.2">
      <c r="A528" t="s">
        <v>587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 t="s">
        <v>472</v>
      </c>
    </row>
    <row r="529" spans="1:31" hidden="1" x14ac:dyDescent="0.2">
      <c r="A529" t="s">
        <v>588</v>
      </c>
      <c r="B529" t="s">
        <v>609</v>
      </c>
      <c r="C529" t="s">
        <v>590</v>
      </c>
      <c r="D529" t="s">
        <v>591</v>
      </c>
      <c r="E529">
        <v>1.8399490000000001</v>
      </c>
    </row>
    <row r="530" spans="1:31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P530">
        <v>1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592</v>
      </c>
      <c r="AB530" t="s">
        <v>509</v>
      </c>
      <c r="AC530">
        <v>4</v>
      </c>
      <c r="AD530" s="31">
        <v>0.36010416666666667</v>
      </c>
      <c r="AE530">
        <v>2023</v>
      </c>
    </row>
    <row r="531" spans="1:31" x14ac:dyDescent="0.2">
      <c r="A531">
        <v>14</v>
      </c>
      <c r="B531" t="s">
        <v>583</v>
      </c>
      <c r="C531">
        <v>1</v>
      </c>
      <c r="D531" t="s">
        <v>584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676</v>
      </c>
      <c r="N531">
        <v>0</v>
      </c>
      <c r="O531">
        <v>0</v>
      </c>
      <c r="P531">
        <v>0</v>
      </c>
      <c r="Q531">
        <v>0</v>
      </c>
      <c r="R531" t="s">
        <v>627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 t="s">
        <v>473</v>
      </c>
    </row>
    <row r="532" spans="1:31" hidden="1" x14ac:dyDescent="0.2">
      <c r="A532" t="s">
        <v>587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 t="s">
        <v>472</v>
      </c>
    </row>
    <row r="533" spans="1:31" hidden="1" x14ac:dyDescent="0.2">
      <c r="A533" t="s">
        <v>588</v>
      </c>
      <c r="B533" t="s">
        <v>589</v>
      </c>
      <c r="C533" t="s">
        <v>590</v>
      </c>
      <c r="D533" t="s">
        <v>591</v>
      </c>
      <c r="E533">
        <v>1.8404100000000001</v>
      </c>
    </row>
    <row r="534" spans="1:31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P534">
        <v>1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592</v>
      </c>
      <c r="AB534" t="s">
        <v>509</v>
      </c>
      <c r="AC534">
        <v>4</v>
      </c>
      <c r="AD534" s="31">
        <v>0.36011574074074071</v>
      </c>
      <c r="AE534">
        <v>2023</v>
      </c>
    </row>
    <row r="535" spans="1:31" hidden="1" x14ac:dyDescent="0.2">
      <c r="A535">
        <v>14</v>
      </c>
      <c r="B535" t="s">
        <v>583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677</v>
      </c>
      <c r="N535">
        <v>0</v>
      </c>
      <c r="O535">
        <v>0</v>
      </c>
      <c r="P535">
        <v>0</v>
      </c>
      <c r="Q535">
        <v>0</v>
      </c>
      <c r="R535" t="s">
        <v>627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 t="s">
        <v>473</v>
      </c>
    </row>
    <row r="536" spans="1:31" hidden="1" x14ac:dyDescent="0.2">
      <c r="A536" t="s">
        <v>587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 t="s">
        <v>472</v>
      </c>
    </row>
    <row r="537" spans="1:31" hidden="1" x14ac:dyDescent="0.2">
      <c r="A537" t="s">
        <v>588</v>
      </c>
      <c r="B537" t="s">
        <v>594</v>
      </c>
      <c r="C537" t="s">
        <v>590</v>
      </c>
      <c r="D537" t="s">
        <v>591</v>
      </c>
      <c r="E537">
        <v>1.8400259999999999</v>
      </c>
    </row>
    <row r="538" spans="1:31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P538">
        <v>1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 t="s">
        <v>592</v>
      </c>
      <c r="AB538" t="s">
        <v>509</v>
      </c>
      <c r="AC538">
        <v>4</v>
      </c>
      <c r="AD538" s="31">
        <v>0.3601273148148148</v>
      </c>
      <c r="AE538">
        <v>2023</v>
      </c>
    </row>
    <row r="539" spans="1:31" x14ac:dyDescent="0.2">
      <c r="A539">
        <v>14</v>
      </c>
      <c r="B539" t="s">
        <v>633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P539">
        <v>0</v>
      </c>
      <c r="Q539">
        <v>0</v>
      </c>
      <c r="R539" t="s">
        <v>627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 t="s">
        <v>473</v>
      </c>
    </row>
    <row r="540" spans="1:31" hidden="1" x14ac:dyDescent="0.2">
      <c r="A540" t="s">
        <v>587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472</v>
      </c>
    </row>
    <row r="541" spans="1:31" hidden="1" x14ac:dyDescent="0.2">
      <c r="A541" t="s">
        <v>588</v>
      </c>
      <c r="B541" t="s">
        <v>635</v>
      </c>
      <c r="C541" t="s">
        <v>590</v>
      </c>
      <c r="D541" t="s">
        <v>591</v>
      </c>
      <c r="E541">
        <v>1.840333</v>
      </c>
    </row>
    <row r="542" spans="1:31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P542">
        <v>1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592</v>
      </c>
      <c r="AB542" t="s">
        <v>509</v>
      </c>
      <c r="AC542">
        <v>4</v>
      </c>
      <c r="AD542" s="31">
        <v>0.36013888888888884</v>
      </c>
      <c r="AE542">
        <v>2023</v>
      </c>
    </row>
    <row r="543" spans="1:31" hidden="1" x14ac:dyDescent="0.2">
      <c r="A543">
        <v>14</v>
      </c>
      <c r="B543" t="s">
        <v>633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P543">
        <v>0</v>
      </c>
      <c r="Q543">
        <v>0</v>
      </c>
      <c r="R543" t="s">
        <v>627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 t="s">
        <v>473</v>
      </c>
    </row>
    <row r="544" spans="1:31" hidden="1" x14ac:dyDescent="0.2">
      <c r="A544" t="s">
        <v>587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 t="s">
        <v>472</v>
      </c>
    </row>
    <row r="545" spans="1:31" hidden="1" x14ac:dyDescent="0.2">
      <c r="A545" t="s">
        <v>588</v>
      </c>
      <c r="B545" t="s">
        <v>617</v>
      </c>
      <c r="C545" t="s">
        <v>590</v>
      </c>
      <c r="D545" t="s">
        <v>591</v>
      </c>
      <c r="E545">
        <v>1.8407169999999999</v>
      </c>
    </row>
    <row r="546" spans="1:31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P546">
        <v>1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 t="s">
        <v>592</v>
      </c>
      <c r="AB546" t="s">
        <v>509</v>
      </c>
      <c r="AC546">
        <v>4</v>
      </c>
      <c r="AD546" s="31">
        <v>0.36015046296296299</v>
      </c>
      <c r="AE546">
        <v>2023</v>
      </c>
    </row>
    <row r="547" spans="1:31" x14ac:dyDescent="0.2">
      <c r="A547">
        <v>14</v>
      </c>
      <c r="B547" t="s">
        <v>633</v>
      </c>
      <c r="C547">
        <v>1</v>
      </c>
      <c r="D547" t="s">
        <v>651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P547">
        <v>0</v>
      </c>
      <c r="Q547">
        <v>0</v>
      </c>
      <c r="R547" t="s">
        <v>627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 t="s">
        <v>473</v>
      </c>
    </row>
    <row r="548" spans="1:31" hidden="1" x14ac:dyDescent="0.2">
      <c r="A548" t="s">
        <v>587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 t="s">
        <v>472</v>
      </c>
    </row>
    <row r="549" spans="1:31" hidden="1" x14ac:dyDescent="0.2">
      <c r="A549" t="s">
        <v>588</v>
      </c>
      <c r="B549" t="s">
        <v>652</v>
      </c>
      <c r="C549" t="s">
        <v>590</v>
      </c>
      <c r="D549" t="s">
        <v>591</v>
      </c>
      <c r="E549">
        <v>1.8413310000000001</v>
      </c>
    </row>
    <row r="550" spans="1:31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P550">
        <v>1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592</v>
      </c>
      <c r="AB550" t="s">
        <v>509</v>
      </c>
      <c r="AC550">
        <v>4</v>
      </c>
      <c r="AD550" s="31">
        <v>0.36016203703703703</v>
      </c>
      <c r="AE550">
        <v>2023</v>
      </c>
    </row>
    <row r="551" spans="1:31" hidden="1" x14ac:dyDescent="0.2">
      <c r="A551">
        <v>14</v>
      </c>
      <c r="B551" t="s">
        <v>633</v>
      </c>
      <c r="C551">
        <v>0</v>
      </c>
      <c r="D551" t="s">
        <v>604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P551">
        <v>0</v>
      </c>
      <c r="Q551">
        <v>0</v>
      </c>
      <c r="R551" t="s">
        <v>627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 t="s">
        <v>473</v>
      </c>
    </row>
    <row r="552" spans="1:31" hidden="1" x14ac:dyDescent="0.2">
      <c r="A552" t="s">
        <v>587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 t="s">
        <v>472</v>
      </c>
    </row>
    <row r="553" spans="1:31" hidden="1" x14ac:dyDescent="0.2">
      <c r="A553" t="s">
        <v>588</v>
      </c>
      <c r="B553" t="s">
        <v>606</v>
      </c>
      <c r="C553" t="s">
        <v>590</v>
      </c>
      <c r="D553" t="s">
        <v>591</v>
      </c>
      <c r="E553">
        <v>1.841178</v>
      </c>
    </row>
    <row r="554" spans="1:31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P554">
        <v>1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592</v>
      </c>
      <c r="AB554" t="s">
        <v>509</v>
      </c>
      <c r="AC554">
        <v>4</v>
      </c>
      <c r="AD554" s="31">
        <v>0.36017361111111112</v>
      </c>
      <c r="AE554">
        <v>2023</v>
      </c>
    </row>
    <row r="555" spans="1:31" x14ac:dyDescent="0.2">
      <c r="A555">
        <v>14</v>
      </c>
      <c r="B555" t="s">
        <v>628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P555">
        <v>0</v>
      </c>
      <c r="Q555">
        <v>0</v>
      </c>
      <c r="R555" t="s">
        <v>627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 t="s">
        <v>473</v>
      </c>
    </row>
    <row r="556" spans="1:31" hidden="1" x14ac:dyDescent="0.2">
      <c r="A556" t="s">
        <v>587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 t="s">
        <v>472</v>
      </c>
    </row>
    <row r="557" spans="1:31" hidden="1" x14ac:dyDescent="0.2">
      <c r="A557" t="s">
        <v>588</v>
      </c>
      <c r="B557" t="s">
        <v>638</v>
      </c>
      <c r="C557" t="s">
        <v>590</v>
      </c>
      <c r="D557" t="s">
        <v>591</v>
      </c>
      <c r="E557">
        <v>1.8411010000000001</v>
      </c>
    </row>
    <row r="558" spans="1:31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P558">
        <v>1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 t="s">
        <v>592</v>
      </c>
      <c r="AB558" t="s">
        <v>509</v>
      </c>
      <c r="AC558">
        <v>4</v>
      </c>
      <c r="AD558" s="31">
        <v>0.36018518518518516</v>
      </c>
      <c r="AE558">
        <v>2023</v>
      </c>
    </row>
    <row r="559" spans="1:31" hidden="1" x14ac:dyDescent="0.2">
      <c r="A559">
        <v>14</v>
      </c>
      <c r="B559" t="s">
        <v>628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P559">
        <v>0</v>
      </c>
      <c r="Q559">
        <v>0</v>
      </c>
      <c r="R559" t="s">
        <v>678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 t="s">
        <v>473</v>
      </c>
    </row>
    <row r="560" spans="1:31" hidden="1" x14ac:dyDescent="0.2">
      <c r="A560" t="s">
        <v>587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 t="s">
        <v>472</v>
      </c>
    </row>
    <row r="561" spans="1:31" hidden="1" x14ac:dyDescent="0.2">
      <c r="A561" t="s">
        <v>588</v>
      </c>
      <c r="B561" t="s">
        <v>635</v>
      </c>
      <c r="C561" t="s">
        <v>590</v>
      </c>
      <c r="D561" t="s">
        <v>591</v>
      </c>
      <c r="E561">
        <v>1.8406400000000001</v>
      </c>
    </row>
    <row r="562" spans="1:31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P562">
        <v>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592</v>
      </c>
      <c r="AB562" t="s">
        <v>509</v>
      </c>
      <c r="AC562">
        <v>4</v>
      </c>
      <c r="AD562" s="31">
        <v>0.36019675925925926</v>
      </c>
      <c r="AE562">
        <v>2023</v>
      </c>
    </row>
    <row r="563" spans="1:31" x14ac:dyDescent="0.2">
      <c r="A563">
        <v>14</v>
      </c>
      <c r="B563" t="s">
        <v>633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P563">
        <v>0</v>
      </c>
      <c r="Q563">
        <v>0</v>
      </c>
      <c r="R563" t="s">
        <v>627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 t="s">
        <v>473</v>
      </c>
    </row>
    <row r="564" spans="1:31" hidden="1" x14ac:dyDescent="0.2">
      <c r="A564" t="s">
        <v>587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 t="s">
        <v>472</v>
      </c>
    </row>
    <row r="565" spans="1:31" hidden="1" x14ac:dyDescent="0.2">
      <c r="A565" t="s">
        <v>588</v>
      </c>
      <c r="B565" t="s">
        <v>599</v>
      </c>
      <c r="C565" t="s">
        <v>590</v>
      </c>
      <c r="D565" t="s">
        <v>591</v>
      </c>
      <c r="E565">
        <v>1.8404100000000001</v>
      </c>
    </row>
    <row r="566" spans="1:31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P566">
        <v>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 t="s">
        <v>592</v>
      </c>
      <c r="AB566" t="s">
        <v>509</v>
      </c>
      <c r="AC566">
        <v>4</v>
      </c>
      <c r="AD566" s="31">
        <v>0.3602083333333333</v>
      </c>
      <c r="AE566">
        <v>2023</v>
      </c>
    </row>
    <row r="567" spans="1:31" hidden="1" x14ac:dyDescent="0.2">
      <c r="A567" t="s">
        <v>679</v>
      </c>
    </row>
  </sheetData>
  <autoFilter ref="A79:AF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719</v>
      </c>
      <c r="P8" t="s">
        <v>715</v>
      </c>
      <c r="R8" t="s">
        <v>709</v>
      </c>
      <c r="T8" t="s">
        <v>710</v>
      </c>
      <c r="V8" t="s">
        <v>711</v>
      </c>
      <c r="X8" t="s">
        <v>712</v>
      </c>
      <c r="Z8" t="s">
        <v>714</v>
      </c>
      <c r="AB8" t="s">
        <v>713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680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681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682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684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356</v>
      </c>
      <c r="I19" t="s">
        <v>683</v>
      </c>
      <c r="J19">
        <v>100</v>
      </c>
    </row>
    <row r="20" spans="2:28" x14ac:dyDescent="0.2">
      <c r="H20" t="s">
        <v>356</v>
      </c>
      <c r="I20" t="s">
        <v>683</v>
      </c>
      <c r="J20">
        <f>J19/G19</f>
        <v>40.816326530612244</v>
      </c>
    </row>
    <row r="22" spans="2:28" x14ac:dyDescent="0.2">
      <c r="T22" t="s">
        <v>718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717</v>
      </c>
      <c r="R23" t="s">
        <v>716</v>
      </c>
      <c r="T23" t="s">
        <v>717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Previous</vt:lpstr>
      <vt:lpstr>Previous2023</vt:lpstr>
      <vt:lpstr>early2023</vt:lpstr>
      <vt:lpstr>current2023</vt:lpstr>
      <vt:lpstr>future2023</vt:lpstr>
      <vt:lpstr>futureICD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2024-03-01T13:26:57Z</dcterms:modified>
</cp:coreProperties>
</file>